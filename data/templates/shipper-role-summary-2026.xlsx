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6510" yWindow="960" windowWidth="24795" windowHeight="1312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<sst xmlns="http://schemas.openxmlformats.org/spreadsheetml/2006/main" count="38296" uniqueCount="18369">
  <si>
    <t>Date of shipment</t>
  </si>
  <si>
    <t>Flight#</t>
  </si>
  <si>
    <t>MAWB#</t>
  </si>
  <si>
    <t>Dest</t>
  </si>
  <si>
    <t>PCS</t>
  </si>
  <si>
    <t>est WT</t>
  </si>
  <si>
    <t>Exe date on..</t>
  </si>
  <si>
    <t>TK0171</t>
  </si>
  <si>
    <t>235-98380752</t>
  </si>
  <si>
    <t>MAD</t>
  </si>
  <si>
    <t>CX257</t>
  </si>
  <si>
    <t>160-17591490</t>
  </si>
  <si>
    <t>LHR</t>
  </si>
  <si>
    <t>160-17591486</t>
  </si>
  <si>
    <t>CX037</t>
  </si>
  <si>
    <t>160-17591464</t>
  </si>
  <si>
    <t>160-17591453</t>
  </si>
  <si>
    <t>160-17591475</t>
  </si>
  <si>
    <t>K4702</t>
  </si>
  <si>
    <t>752-30219416</t>
  </si>
  <si>
    <t>TLV</t>
  </si>
  <si>
    <t>752-30218694</t>
  </si>
  <si>
    <t>752-30219442</t>
  </si>
  <si>
    <t>752-30219431</t>
  </si>
  <si>
    <t>752-30219420</t>
  </si>
  <si>
    <t>SV977</t>
  </si>
  <si>
    <t>065-49010824</t>
  </si>
  <si>
    <t>RUH</t>
  </si>
  <si>
    <t>065-49875954</t>
  </si>
  <si>
    <t>065-49875965</t>
  </si>
  <si>
    <t>065-49875976</t>
  </si>
  <si>
    <t>065-49010846</t>
  </si>
  <si>
    <t>5C852</t>
  </si>
  <si>
    <t>752-30218683</t>
  </si>
  <si>
    <t>752-30219276</t>
  </si>
  <si>
    <t>752-30219280</t>
  </si>
  <si>
    <t>752-30219291</t>
  </si>
  <si>
    <t>752-30219302</t>
  </si>
  <si>
    <t>752-30219313</t>
  </si>
  <si>
    <t>752-30219405</t>
  </si>
  <si>
    <t>QR8415</t>
  </si>
  <si>
    <t>157-00115780</t>
  </si>
  <si>
    <t>BUD</t>
  </si>
  <si>
    <t>157-00116082</t>
  </si>
  <si>
    <t>157-00115975</t>
  </si>
  <si>
    <t>157-00116071</t>
  </si>
  <si>
    <t>157-00115964</t>
  </si>
  <si>
    <t>157-00115953</t>
  </si>
  <si>
    <t>157-00115942</t>
  </si>
  <si>
    <t>157-00115931</t>
  </si>
  <si>
    <t>157-00115883</t>
  </si>
  <si>
    <t>157-00115872</t>
  </si>
  <si>
    <t>157-00115861</t>
  </si>
  <si>
    <t>157-00115776</t>
  </si>
  <si>
    <t>157-00115894</t>
  </si>
  <si>
    <t>157-00115920</t>
  </si>
  <si>
    <t>157-00115916</t>
  </si>
  <si>
    <t>157-00115905</t>
  </si>
  <si>
    <t>157-00116115</t>
  </si>
  <si>
    <t>157-00116104</t>
  </si>
  <si>
    <t>157-00116093</t>
  </si>
  <si>
    <t>157-00114321</t>
  </si>
  <si>
    <t>157-00116060</t>
  </si>
  <si>
    <t>157-00115990</t>
  </si>
  <si>
    <t>157-00116001</t>
  </si>
  <si>
    <t>157-00116126</t>
  </si>
  <si>
    <t>157-00116130</t>
  </si>
  <si>
    <t>157-00116045</t>
  </si>
  <si>
    <t>157-00116034</t>
  </si>
  <si>
    <t>157-00116012</t>
  </si>
  <si>
    <t>157-00114354</t>
  </si>
  <si>
    <t>157-00116023</t>
  </si>
  <si>
    <t>157-00114376</t>
  </si>
  <si>
    <t>157-00114332</t>
  </si>
  <si>
    <t>157-00114310</t>
  </si>
  <si>
    <t>157-00116056</t>
  </si>
  <si>
    <t>157-00114343</t>
  </si>
  <si>
    <t>157-00114365</t>
  </si>
  <si>
    <t>157-00115986</t>
  </si>
  <si>
    <t>157-00116185</t>
  </si>
  <si>
    <t>157-00116174</t>
  </si>
  <si>
    <t>157-00116163</t>
  </si>
  <si>
    <t>157-00116152</t>
  </si>
  <si>
    <t>157-00116141</t>
  </si>
  <si>
    <t>157-00115846</t>
  </si>
  <si>
    <t>157-00115835</t>
  </si>
  <si>
    <t>157-00115824</t>
  </si>
  <si>
    <t>157-00115813</t>
  </si>
  <si>
    <t>157-00115802</t>
  </si>
  <si>
    <t>157-00115791</t>
  </si>
  <si>
    <t>QR8435</t>
  </si>
  <si>
    <t>157-00116325</t>
  </si>
  <si>
    <t>157-00116336</t>
  </si>
  <si>
    <t>157-00116255</t>
  </si>
  <si>
    <t>157-00116314</t>
  </si>
  <si>
    <t>157-00116303</t>
  </si>
  <si>
    <t>157-00116373</t>
  </si>
  <si>
    <t>157-00116266</t>
  </si>
  <si>
    <t>157-00116362</t>
  </si>
  <si>
    <t>157-00116351</t>
  </si>
  <si>
    <t>157-00116340</t>
  </si>
  <si>
    <t>157-00116244</t>
  </si>
  <si>
    <t>157-00116270</t>
  </si>
  <si>
    <t>157-00116233</t>
  </si>
  <si>
    <t>157-00114391</t>
  </si>
  <si>
    <t>157-00114380</t>
  </si>
  <si>
    <t>157-00116384</t>
  </si>
  <si>
    <t>157-00116292</t>
  </si>
  <si>
    <t>157-00115850</t>
  </si>
  <si>
    <t>157-00116281</t>
  </si>
  <si>
    <t>157-00116222</t>
  </si>
  <si>
    <t>157-00116211</t>
  </si>
  <si>
    <t>157-00116200</t>
  </si>
  <si>
    <t>157-00114450</t>
  </si>
  <si>
    <t>157-00116196</t>
  </si>
  <si>
    <t>157-00114446</t>
  </si>
  <si>
    <t>157-00114435</t>
  </si>
  <si>
    <t>157-00114424</t>
  </si>
  <si>
    <t>157-00114413</t>
  </si>
  <si>
    <t>157-00114402</t>
  </si>
  <si>
    <t>QR8411</t>
  </si>
  <si>
    <t>157-49846495</t>
  </si>
  <si>
    <t>LGG</t>
  </si>
  <si>
    <t>157-49846381</t>
  </si>
  <si>
    <t>157-49846370</t>
  </si>
  <si>
    <t>157-49846716</t>
  </si>
  <si>
    <t>157-49846392</t>
  </si>
  <si>
    <t>157-49846521</t>
  </si>
  <si>
    <t>157-49846672</t>
  </si>
  <si>
    <t>157-49846510</t>
  </si>
  <si>
    <t>157-49846506</t>
  </si>
  <si>
    <t>157-49846403</t>
  </si>
  <si>
    <t>157-49846355</t>
  </si>
  <si>
    <t>157-49846532</t>
  </si>
  <si>
    <t>157-49846366</t>
  </si>
  <si>
    <t>157-49846543</t>
  </si>
  <si>
    <t>157-49846683</t>
  </si>
  <si>
    <t>157-49846694</t>
  </si>
  <si>
    <t>157-49846554</t>
  </si>
  <si>
    <t>157-49846720</t>
  </si>
  <si>
    <t>157-49846602</t>
  </si>
  <si>
    <t>157-49846344</t>
  </si>
  <si>
    <t>157-49846661</t>
  </si>
  <si>
    <t>157-49846705</t>
  </si>
  <si>
    <t>157-49846635</t>
  </si>
  <si>
    <t>157-49846646</t>
  </si>
  <si>
    <t>157-49846613</t>
  </si>
  <si>
    <t>157-49846425</t>
  </si>
  <si>
    <t>157-49846436</t>
  </si>
  <si>
    <t>157-49846650</t>
  </si>
  <si>
    <t>157-49846440</t>
  </si>
  <si>
    <t>157-49846473</t>
  </si>
  <si>
    <t>157-00107214</t>
  </si>
  <si>
    <t>157-49846451</t>
  </si>
  <si>
    <t>157-00107236</t>
  </si>
  <si>
    <t>157-00107240</t>
  </si>
  <si>
    <t>157-49846624</t>
  </si>
  <si>
    <t>157-00107225</t>
  </si>
  <si>
    <t>157-49846462</t>
  </si>
  <si>
    <t>157-00107262</t>
  </si>
  <si>
    <t>157-00107273</t>
  </si>
  <si>
    <t>157-00107284</t>
  </si>
  <si>
    <t>157-49846484</t>
  </si>
  <si>
    <t>157-00114505</t>
  </si>
  <si>
    <t>157-00114516</t>
  </si>
  <si>
    <t>157-00114520</t>
  </si>
  <si>
    <t>157-49846580</t>
  </si>
  <si>
    <t>157-49846576</t>
  </si>
  <si>
    <t>157-49846414</t>
  </si>
  <si>
    <t>157-49846565</t>
  </si>
  <si>
    <t>160-17591442</t>
  </si>
  <si>
    <t>160-17591431</t>
  </si>
  <si>
    <t>QR8433</t>
  </si>
  <si>
    <t>157-49845972</t>
  </si>
  <si>
    <t>157-49845983</t>
  </si>
  <si>
    <t>157-49845935</t>
  </si>
  <si>
    <t>157-49845994</t>
  </si>
  <si>
    <t>157-49846005</t>
  </si>
  <si>
    <t>157-49846016</t>
  </si>
  <si>
    <t>157-49846086</t>
  </si>
  <si>
    <t>157-49846090</t>
  </si>
  <si>
    <t>157-49846020</t>
  </si>
  <si>
    <t>157-49845946</t>
  </si>
  <si>
    <t>QR8465</t>
  </si>
  <si>
    <t>157-00110961</t>
  </si>
  <si>
    <t>157-49845950</t>
  </si>
  <si>
    <t>157-49845961</t>
  </si>
  <si>
    <t>157-49846101</t>
  </si>
  <si>
    <t>157-49846263</t>
  </si>
  <si>
    <t>157-49846112</t>
  </si>
  <si>
    <t>157-49846042</t>
  </si>
  <si>
    <t>157-49846274</t>
  </si>
  <si>
    <t>157-49846123</t>
  </si>
  <si>
    <t>157-49846285</t>
  </si>
  <si>
    <t>157-49846134</t>
  </si>
  <si>
    <t>157-49846145</t>
  </si>
  <si>
    <t>157-49846296</t>
  </si>
  <si>
    <t>157-49846322</t>
  </si>
  <si>
    <t>157-49846156</t>
  </si>
  <si>
    <t>157-49846311</t>
  </si>
  <si>
    <t>157-49846300</t>
  </si>
  <si>
    <t>157-49846160</t>
  </si>
  <si>
    <t>TK6351</t>
  </si>
  <si>
    <t>235-96279481</t>
  </si>
  <si>
    <t>GRU</t>
  </si>
  <si>
    <t>235-96279492</t>
  </si>
  <si>
    <t>SV981</t>
  </si>
  <si>
    <t>065-49011432</t>
  </si>
  <si>
    <t>065-49011421</t>
  </si>
  <si>
    <t>065-49011410</t>
  </si>
  <si>
    <t>065-49010754</t>
  </si>
  <si>
    <t>065-49010802</t>
  </si>
  <si>
    <t>5Y8030</t>
  </si>
  <si>
    <t>369-10816993</t>
  </si>
  <si>
    <t>VCP</t>
  </si>
  <si>
    <t>369-10816960</t>
  </si>
  <si>
    <t>SCL</t>
  </si>
  <si>
    <t>369-10816886</t>
  </si>
  <si>
    <t>369-10816982</t>
  </si>
  <si>
    <t>369-10816971</t>
  </si>
  <si>
    <t>369-10816945</t>
  </si>
  <si>
    <t>369-10816934</t>
  </si>
  <si>
    <t>369-10816912</t>
  </si>
  <si>
    <t>369-10816901</t>
  </si>
  <si>
    <t>369-10816875</t>
  </si>
  <si>
    <t>369-10816864</t>
  </si>
  <si>
    <t>369-10816853</t>
  </si>
  <si>
    <t>369-10816816</t>
  </si>
  <si>
    <t>369-10816805</t>
  </si>
  <si>
    <t>369-10816794</t>
  </si>
  <si>
    <t>369-10816750</t>
  </si>
  <si>
    <t>369-10816746</t>
  </si>
  <si>
    <t>369-10816735</t>
  </si>
  <si>
    <t>369-10816831</t>
  </si>
  <si>
    <t>369-10816820</t>
  </si>
  <si>
    <t>369-10816783</t>
  </si>
  <si>
    <t>BOG</t>
  </si>
  <si>
    <t>369-10816761</t>
  </si>
  <si>
    <t>5Y8050</t>
  </si>
  <si>
    <t>369-10816621</t>
  </si>
  <si>
    <t>369-10816632</t>
  </si>
  <si>
    <t>369-10816654</t>
  </si>
  <si>
    <t>369-10816643</t>
  </si>
  <si>
    <t>369-10816676</t>
  </si>
  <si>
    <t>369-10816595</t>
  </si>
  <si>
    <t>369-10816536</t>
  </si>
  <si>
    <t>369-10816525</t>
  </si>
  <si>
    <t>369-10816514</t>
  </si>
  <si>
    <t>369-10816492</t>
  </si>
  <si>
    <t>369-10816481</t>
  </si>
  <si>
    <t>157-00106794</t>
  </si>
  <si>
    <t>157-00116804</t>
  </si>
  <si>
    <t>157-00116911</t>
  </si>
  <si>
    <t>157-00116933</t>
  </si>
  <si>
    <t>157-00116922</t>
  </si>
  <si>
    <t>157-00116745</t>
  </si>
  <si>
    <t>157-00116734</t>
  </si>
  <si>
    <t>157-00116756</t>
  </si>
  <si>
    <t>157-00116723</t>
  </si>
  <si>
    <t>157-00116760</t>
  </si>
  <si>
    <t>157-00116771</t>
  </si>
  <si>
    <t>157-00116782</t>
  </si>
  <si>
    <t>157-00116793</t>
  </si>
  <si>
    <t>157-00116815</t>
  </si>
  <si>
    <t>157-00116826</t>
  </si>
  <si>
    <t>157-00116830</t>
  </si>
  <si>
    <t>157-00116841</t>
  </si>
  <si>
    <t>157-00116852</t>
  </si>
  <si>
    <t>157-00116863</t>
  </si>
  <si>
    <t>157-00116966</t>
  </si>
  <si>
    <t>157-00116955</t>
  </si>
  <si>
    <t>157-00116944</t>
  </si>
  <si>
    <t>157-00114074</t>
  </si>
  <si>
    <t>157-00116896</t>
  </si>
  <si>
    <t>157-00116900</t>
  </si>
  <si>
    <t>157-00114085</t>
  </si>
  <si>
    <t>157-00114096</t>
  </si>
  <si>
    <t>157-00114100</t>
  </si>
  <si>
    <t>157-00114111</t>
  </si>
  <si>
    <t>157-00114155</t>
  </si>
  <si>
    <t>157-00114240</t>
  </si>
  <si>
    <t>157-00114214</t>
  </si>
  <si>
    <t>157-00114225</t>
  </si>
  <si>
    <t>157-00116874</t>
  </si>
  <si>
    <t>157-00116885</t>
  </si>
  <si>
    <t>157-00114144</t>
  </si>
  <si>
    <t>157-00114203</t>
  </si>
  <si>
    <t>157-00114122</t>
  </si>
  <si>
    <t>157-00114133</t>
  </si>
  <si>
    <t>157-00114166</t>
  </si>
  <si>
    <t>157-00114170</t>
  </si>
  <si>
    <t>157-00114181</t>
  </si>
  <si>
    <t>157-00114192</t>
  </si>
  <si>
    <t>369-99879791</t>
  </si>
  <si>
    <t>369-99879813</t>
  </si>
  <si>
    <t>369-99879802</t>
  </si>
  <si>
    <t>369-99879721</t>
  </si>
  <si>
    <t>EZE</t>
  </si>
  <si>
    <t>160-17591420</t>
  </si>
  <si>
    <t>160-17591416</t>
  </si>
  <si>
    <t>157-00115533</t>
  </si>
  <si>
    <t>157-00115673</t>
  </si>
  <si>
    <t>157-00115544</t>
  </si>
  <si>
    <t>157-00115555</t>
  </si>
  <si>
    <t>157-00115662</t>
  </si>
  <si>
    <t>157-00115566</t>
  </si>
  <si>
    <t>157-00115684</t>
  </si>
  <si>
    <t>157-00115570</t>
  </si>
  <si>
    <t>157-00115581</t>
  </si>
  <si>
    <t>157-00115695</t>
  </si>
  <si>
    <t>157-00115706</t>
  </si>
  <si>
    <t>157-00115710</t>
  </si>
  <si>
    <t>157-00115721</t>
  </si>
  <si>
    <t>157-00115592</t>
  </si>
  <si>
    <t>157-00115603</t>
  </si>
  <si>
    <t>157-00115732</t>
  </si>
  <si>
    <t>157-00115754</t>
  </si>
  <si>
    <t>157-00115765</t>
  </si>
  <si>
    <t>157-00115614</t>
  </si>
  <si>
    <t>157-00115625</t>
  </si>
  <si>
    <t>157-00115636</t>
  </si>
  <si>
    <t>157-00115743</t>
  </si>
  <si>
    <t>157-00115651</t>
  </si>
  <si>
    <t>157-00115640</t>
  </si>
  <si>
    <t>SV983</t>
  </si>
  <si>
    <t>065-49010710</t>
  </si>
  <si>
    <t>065-49011373</t>
  </si>
  <si>
    <t>065-49010721</t>
  </si>
  <si>
    <t>065-49011362</t>
  </si>
  <si>
    <t>065-49010706</t>
  </si>
  <si>
    <t>065-49010732</t>
  </si>
  <si>
    <t>065-49011406</t>
  </si>
  <si>
    <t>065-49011395</t>
  </si>
  <si>
    <t>065-49011384</t>
  </si>
  <si>
    <t>065-49010695</t>
  </si>
  <si>
    <t>K4270</t>
  </si>
  <si>
    <t>936-00289741</t>
  </si>
  <si>
    <t>936-00289730</t>
  </si>
  <si>
    <t>TK6267</t>
  </si>
  <si>
    <t>235-98789950</t>
  </si>
  <si>
    <t>235-98383213</t>
  </si>
  <si>
    <t>369-99886194</t>
  </si>
  <si>
    <t>MIA</t>
  </si>
  <si>
    <t>369-99886183</t>
  </si>
  <si>
    <t>369-99879706</t>
  </si>
  <si>
    <t>369-99879710</t>
  </si>
  <si>
    <t>369-10816724</t>
  </si>
  <si>
    <t>LIM</t>
  </si>
  <si>
    <t>369-10816713</t>
  </si>
  <si>
    <t>369-10816702</t>
  </si>
  <si>
    <t>369-10816691</t>
  </si>
  <si>
    <t>369-10816665</t>
  </si>
  <si>
    <t>369-10816610</t>
  </si>
  <si>
    <t>369-10816606</t>
  </si>
  <si>
    <t>369-10816540</t>
  </si>
  <si>
    <t>369-10816584</t>
  </si>
  <si>
    <t>369-10816562</t>
  </si>
  <si>
    <t>369-10816551</t>
  </si>
  <si>
    <t>369-10816503</t>
  </si>
  <si>
    <t>369-10816470</t>
  </si>
  <si>
    <t>369-10816466</t>
  </si>
  <si>
    <t>369-10816455</t>
  </si>
  <si>
    <t>369-10816444</t>
  </si>
  <si>
    <t>369-10816433</t>
  </si>
  <si>
    <t>369-10816422</t>
  </si>
  <si>
    <t>369-10816411</t>
  </si>
  <si>
    <t>369-10816400</t>
  </si>
  <si>
    <t>369-10816396</t>
  </si>
  <si>
    <t>369-10816385</t>
  </si>
  <si>
    <t>369-10816374</t>
  </si>
  <si>
    <t>369-10816326</t>
  </si>
  <si>
    <t>369-10816330</t>
  </si>
  <si>
    <t>369-10816363</t>
  </si>
  <si>
    <t>369-10816352</t>
  </si>
  <si>
    <t>369-10816341</t>
  </si>
  <si>
    <t>5Y8230</t>
  </si>
  <si>
    <t>369-10816131</t>
  </si>
  <si>
    <t>369-10816120</t>
  </si>
  <si>
    <t>369-10816153</t>
  </si>
  <si>
    <t>369-10816142</t>
  </si>
  <si>
    <t>K4704</t>
  </si>
  <si>
    <t>752-30218661</t>
  </si>
  <si>
    <t>752-30219136</t>
  </si>
  <si>
    <t>752-30219140</t>
  </si>
  <si>
    <t>752-30219151</t>
  </si>
  <si>
    <t>752-30219162</t>
  </si>
  <si>
    <t>752-30219173</t>
  </si>
  <si>
    <t>5C770</t>
  </si>
  <si>
    <t>752-30219070</t>
  </si>
  <si>
    <t>752-30219066</t>
  </si>
  <si>
    <t>752-30219055</t>
  </si>
  <si>
    <t>752-30219103</t>
  </si>
  <si>
    <t>752-30219092</t>
  </si>
  <si>
    <t>752-30219081</t>
  </si>
  <si>
    <t>752-30219114</t>
  </si>
  <si>
    <t>752-30218650</t>
  </si>
  <si>
    <t>160-17591405</t>
  </si>
  <si>
    <t>160-17591394</t>
  </si>
  <si>
    <t>CX007</t>
  </si>
  <si>
    <t>160-17591335</t>
  </si>
  <si>
    <t>160-17591324</t>
  </si>
  <si>
    <t>160-17591346</t>
  </si>
  <si>
    <t>157-00111053</t>
  </si>
  <si>
    <t>157-00111042</t>
  </si>
  <si>
    <t>157-00111031</t>
  </si>
  <si>
    <t>157-00111086</t>
  </si>
  <si>
    <t>157-00111064</t>
  </si>
  <si>
    <t>157-00110725</t>
  </si>
  <si>
    <t>157-00110714</t>
  </si>
  <si>
    <t>157-00110703</t>
  </si>
  <si>
    <t>157-00110692</t>
  </si>
  <si>
    <t>157-00110891</t>
  </si>
  <si>
    <t>157-00110880</t>
  </si>
  <si>
    <t>157-00110736</t>
  </si>
  <si>
    <t>157-00110854</t>
  </si>
  <si>
    <t>157-00111075</t>
  </si>
  <si>
    <t>157-00111020</t>
  </si>
  <si>
    <t>157-00110876</t>
  </si>
  <si>
    <t>157-00110740</t>
  </si>
  <si>
    <t>157-00110751</t>
  </si>
  <si>
    <t>157-00110902</t>
  </si>
  <si>
    <t>157-00110762</t>
  </si>
  <si>
    <t>157-00110913</t>
  </si>
  <si>
    <t>157-00110773</t>
  </si>
  <si>
    <t>157-00110924</t>
  </si>
  <si>
    <t>157-00110935</t>
  </si>
  <si>
    <t>157-00110950</t>
  </si>
  <si>
    <t>157-00110946</t>
  </si>
  <si>
    <t>157-00110784</t>
  </si>
  <si>
    <t>157-00110795</t>
  </si>
  <si>
    <t>157-00110806</t>
  </si>
  <si>
    <t>157-00111016</t>
  </si>
  <si>
    <t>157-00110810</t>
  </si>
  <si>
    <t>157-00110821</t>
  </si>
  <si>
    <t>157-00110983</t>
  </si>
  <si>
    <t>157-00111005</t>
  </si>
  <si>
    <t>157-00110994</t>
  </si>
  <si>
    <t>157-00110972</t>
  </si>
  <si>
    <t>CV7856</t>
  </si>
  <si>
    <t>172-04324445</t>
  </si>
  <si>
    <t>172-04324364</t>
  </si>
  <si>
    <t>5C760</t>
  </si>
  <si>
    <t>752-30218882</t>
  </si>
  <si>
    <t>752-30218871</t>
  </si>
  <si>
    <t>752-30218860</t>
  </si>
  <si>
    <t>752-30218182</t>
  </si>
  <si>
    <t>752-30218904</t>
  </si>
  <si>
    <t>752-30218915</t>
  </si>
  <si>
    <t>752-30218941</t>
  </si>
  <si>
    <t>752-30218893</t>
  </si>
  <si>
    <t>752-30218952</t>
  </si>
  <si>
    <t>752-30218930</t>
  </si>
  <si>
    <t>752-30218926</t>
  </si>
  <si>
    <t>5Y8052</t>
  </si>
  <si>
    <t>369-99879614</t>
  </si>
  <si>
    <t>369-99879625</t>
  </si>
  <si>
    <t>369-99879474</t>
  </si>
  <si>
    <t>369-99879485</t>
  </si>
  <si>
    <t>369-99879636</t>
  </si>
  <si>
    <t>369-99879640</t>
  </si>
  <si>
    <t>369-99879651</t>
  </si>
  <si>
    <t>369-99888633</t>
  </si>
  <si>
    <t>369-99888622</t>
  </si>
  <si>
    <t>369-99888655</t>
  </si>
  <si>
    <t>369-99428873</t>
  </si>
  <si>
    <t>369-99888530</t>
  </si>
  <si>
    <t>369-99888541</t>
  </si>
  <si>
    <t>369-99888526</t>
  </si>
  <si>
    <t>369-99888644</t>
  </si>
  <si>
    <t>369-99888611</t>
  </si>
  <si>
    <t>369-99888515</t>
  </si>
  <si>
    <t>369-99888504</t>
  </si>
  <si>
    <t>369-99888493</t>
  </si>
  <si>
    <t>369-99888460</t>
  </si>
  <si>
    <t>369-99888456</t>
  </si>
  <si>
    <t>369-99888482</t>
  </si>
  <si>
    <t>369-99888471</t>
  </si>
  <si>
    <t>369-99888375</t>
  </si>
  <si>
    <t>369-99888364</t>
  </si>
  <si>
    <t>369-99888353</t>
  </si>
  <si>
    <t>369-99888423</t>
  </si>
  <si>
    <t>369-99888412</t>
  </si>
  <si>
    <t>369-99888331</t>
  </si>
  <si>
    <t>369-99888320</t>
  </si>
  <si>
    <t>369-99888390</t>
  </si>
  <si>
    <t>369-99888386</t>
  </si>
  <si>
    <t>369-99888434</t>
  </si>
  <si>
    <t>369-99888401</t>
  </si>
  <si>
    <t>369-99888202</t>
  </si>
  <si>
    <t>369-99888191</t>
  </si>
  <si>
    <t>369-99888180</t>
  </si>
  <si>
    <t>369-99888143</t>
  </si>
  <si>
    <t>369-99888132</t>
  </si>
  <si>
    <t>369-99888121</t>
  </si>
  <si>
    <t>369-99888154</t>
  </si>
  <si>
    <t>369-99888176</t>
  </si>
  <si>
    <t>369-99888165</t>
  </si>
  <si>
    <t>369-99887830</t>
  </si>
  <si>
    <t>369-99887351</t>
  </si>
  <si>
    <t>160-16278360</t>
  </si>
  <si>
    <t>160-17591313</t>
  </si>
  <si>
    <t>TK171</t>
  </si>
  <si>
    <t>235-98382340</t>
  </si>
  <si>
    <t>CV7335</t>
  </si>
  <si>
    <t>172-04324353</t>
  </si>
  <si>
    <t>752-30218786</t>
  </si>
  <si>
    <t>752-30218775</t>
  </si>
  <si>
    <t>752-30218764</t>
  </si>
  <si>
    <t>752-30218171</t>
  </si>
  <si>
    <t>752-30218856</t>
  </si>
  <si>
    <t>752-30218834</t>
  </si>
  <si>
    <t>752-30218823</t>
  </si>
  <si>
    <t>752-30218812</t>
  </si>
  <si>
    <t>752-30218753</t>
  </si>
  <si>
    <t>752-30218742</t>
  </si>
  <si>
    <t>752-30218731</t>
  </si>
  <si>
    <t>752-30218160</t>
  </si>
  <si>
    <t>752-30218720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</si>
  <si>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</si>
  <si>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</si>
  <si>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</si>
  <si>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</si>
  <si>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</si>
  <si>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</si>
  <si>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</si>
  <si>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</si>
  <si>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</si>
  <si>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</si>
  <si>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</si>
  <si>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065-49011071</t>
  </si>
  <si>
    <t>065-49011292</t>
  </si>
  <si>
    <t>065-49011303</t>
  </si>
  <si>
    <t>065-49011093</t>
  </si>
  <si>
    <t>065-49011314</t>
  </si>
  <si>
    <t>065-49011325</t>
  </si>
  <si>
    <t>157-00110681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</si>
  <si>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</si>
  <si>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</si>
  <si>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</si>
  <si>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</si>
  <si>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</si>
  <si>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</si>
  <si>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</si>
  <si>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</si>
  <si>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</si>
  <si>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</si>
  <si>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</si>
  <si>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</si>
  <si>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</si>
  <si>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</si>
  <si>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</si>
  <si>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</si>
  <si>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</si>
  <si>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</si>
  <si>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</si>
  <si>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</si>
  <si>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</si>
  <si>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</si>
  <si>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</si>
  <si>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</si>
  <si>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</si>
  <si>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</si>
  <si>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</si>
  <si>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</si>
  <si>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</si>
  <si>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</si>
  <si>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</si>
  <si>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</si>
  <si>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</si>
  <si>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</si>
  <si>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</si>
  <si>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</si>
  <si>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</si>
  <si>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</si>
  <si>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</si>
  <si>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</si>
  <si>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</si>
  <si>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</si>
  <si>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</si>
  <si>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</si>
  <si>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</si>
  <si>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</si>
  <si>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</si>
  <si>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</si>
  <si>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</si>
  <si>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</si>
  <si>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</si>
  <si>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</si>
  <si>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</si>
  <si>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</si>
  <si>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160-16278356</t>
  </si>
  <si>
    <t>160-16278345</t>
  </si>
  <si>
    <t>160-16278323</t>
  </si>
  <si>
    <t>160-16278312</t>
  </si>
  <si>
    <t>160-16278334</t>
  </si>
  <si>
    <t>157-00111823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</si>
  <si>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</si>
  <si>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</si>
  <si>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</si>
  <si>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</si>
  <si>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</si>
  <si>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</si>
  <si>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</si>
  <si>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</si>
  <si>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</si>
  <si>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</si>
  <si>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</si>
  <si>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</si>
  <si>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</si>
  <si>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</si>
  <si>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</si>
  <si>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</si>
  <si>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</si>
  <si>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</si>
  <si>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</si>
  <si>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</si>
  <si>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</si>
  <si>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</si>
  <si>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</si>
  <si>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</si>
  <si>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</si>
  <si>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</si>
  <si>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</si>
  <si>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</si>
  <si>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</si>
  <si>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</si>
  <si>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</si>
  <si>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</si>
  <si>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</si>
  <si>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</si>
  <si>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</si>
  <si>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</si>
  <si>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</si>
  <si>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</si>
  <si>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</si>
  <si>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</si>
  <si>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</si>
  <si>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</si>
  <si>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</si>
  <si>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</si>
  <si>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</si>
  <si>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</si>
  <si>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</si>
  <si>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</si>
  <si>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</si>
  <si>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</si>
  <si>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</si>
  <si>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</si>
  <si>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</si>
  <si>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</si>
  <si>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</si>
  <si>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</si>
  <si>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</si>
  <si>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</si>
  <si>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</si>
  <si>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</si>
  <si>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</si>
  <si>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</si>
  <si>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</si>
  <si>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</si>
  <si>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</si>
  <si>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</si>
  <si>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</si>
  <si>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</si>
  <si>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</si>
  <si>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</si>
  <si>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</si>
  <si>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</si>
  <si>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</si>
  <si>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</si>
  <si>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</si>
  <si>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</si>
  <si>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</si>
  <si>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</si>
  <si>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</si>
  <si>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</si>
  <si>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</si>
  <si>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</si>
  <si>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</si>
  <si>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</si>
  <si>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</si>
  <si>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</si>
  <si>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</si>
  <si>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</si>
  <si>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</si>
  <si>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</si>
  <si>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</si>
  <si>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</si>
  <si>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</si>
  <si>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</si>
  <si>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</si>
  <si>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</si>
  <si>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</si>
  <si>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</si>
  <si>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</si>
  <si>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369-98899990</t>
  </si>
  <si>
    <t>065-49011255</t>
  </si>
  <si>
    <t>065-49011060</t>
  </si>
  <si>
    <t>065-49011270</t>
  </si>
  <si>
    <t>065-49011266</t>
  </si>
  <si>
    <t>065-49011056</t>
  </si>
  <si>
    <t>065-49011045</t>
  </si>
  <si>
    <t>157-43055552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</si>
  <si>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</si>
  <si>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</si>
  <si>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</si>
  <si>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</si>
  <si>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</si>
  <si>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</si>
  <si>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</si>
  <si>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</si>
  <si>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</si>
  <si>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</si>
  <si>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</si>
  <si>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</si>
  <si>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</si>
  <si>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</si>
  <si>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</si>
  <si>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</si>
  <si>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</si>
  <si>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</si>
  <si>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</si>
  <si>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</si>
  <si>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</si>
  <si>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</si>
  <si>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</si>
  <si>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</si>
  <si>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</si>
  <si>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</si>
  <si>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</si>
  <si>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</si>
  <si>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</si>
  <si>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</si>
  <si>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</si>
  <si>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</si>
  <si>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</si>
  <si>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</si>
  <si>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</si>
  <si>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</si>
  <si>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</si>
  <si>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</si>
  <si>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</si>
  <si>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</si>
  <si>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</si>
  <si>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</si>
  <si>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</si>
  <si>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</si>
  <si>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</si>
  <si>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</si>
  <si>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</si>
  <si>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</si>
  <si>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</si>
  <si>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</si>
  <si>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</si>
  <si>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</si>
  <si>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</si>
  <si>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</si>
  <si>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</si>
  <si>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</si>
  <si>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</si>
  <si>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</si>
  <si>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</si>
  <si>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</si>
  <si>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</si>
  <si>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</si>
  <si>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</si>
  <si>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</si>
  <si>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</si>
  <si>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</si>
  <si>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</si>
  <si>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</si>
  <si>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</si>
  <si>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</si>
  <si>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</si>
  <si>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</si>
  <si>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</si>
  <si>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</si>
  <si>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</si>
  <si>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</si>
  <si>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</si>
  <si>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</si>
  <si>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</si>
  <si>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</si>
  <si>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</si>
  <si>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</si>
  <si>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</si>
  <si>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</si>
  <si>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</si>
  <si>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</si>
  <si>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</si>
  <si>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</si>
  <si>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</si>
  <si>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</si>
  <si>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</si>
  <si>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</si>
  <si>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</si>
  <si>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369-99886916</t>
  </si>
  <si>
    <t>369-99886905</t>
  </si>
  <si>
    <t>369-99886894</t>
  </si>
  <si>
    <t>369-99886791</t>
  </si>
  <si>
    <t>369-99886846</t>
  </si>
  <si>
    <t>369-99886883</t>
  </si>
  <si>
    <t>369-99886872</t>
  </si>
  <si>
    <t>369-99886861</t>
  </si>
  <si>
    <t>369-99886780</t>
  </si>
  <si>
    <t>369-99886754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</si>
  <si>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</si>
  <si>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</si>
  <si>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</si>
  <si>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</si>
  <si>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</si>
  <si>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</si>
  <si>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</si>
  <si>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</si>
  <si>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</si>
  <si>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</si>
  <si>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</si>
  <si>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</si>
  <si>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</si>
  <si>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</si>
  <si>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</si>
  <si>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</si>
  <si>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</si>
  <si>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</si>
  <si>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369-99886080</t>
  </si>
  <si>
    <t>369-99885100</t>
  </si>
  <si>
    <t>369-99879500</t>
  </si>
  <si>
    <t>369-99879511</t>
  </si>
  <si>
    <t>369-99879522</t>
  </si>
  <si>
    <t>369-99879430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</si>
  <si>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</si>
  <si>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</si>
  <si>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</si>
  <si>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</si>
  <si>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</si>
  <si>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</si>
  <si>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</si>
  <si>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</si>
  <si>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</si>
  <si>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</si>
  <si>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</si>
  <si>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</si>
  <si>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</si>
  <si>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</si>
  <si>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</si>
  <si>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</si>
  <si>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</si>
  <si>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</si>
  <si>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</si>
  <si>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</si>
  <si>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</si>
  <si>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</si>
  <si>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</si>
  <si>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</si>
  <si>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</si>
  <si>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</si>
  <si>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</si>
  <si>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</si>
  <si>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</si>
  <si>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</si>
  <si>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</si>
  <si>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</si>
  <si>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</si>
  <si>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</si>
  <si>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</si>
  <si>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</si>
  <si>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</si>
  <si>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</si>
  <si>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</si>
  <si>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</si>
  <si>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</si>
  <si>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</si>
  <si>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</si>
  <si>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</si>
  <si>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</si>
  <si>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</si>
  <si>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</si>
  <si>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</si>
  <si>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</si>
  <si>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</si>
  <si>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</si>
  <si>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</si>
  <si>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</si>
  <si>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</si>
  <si>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</si>
  <si>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</si>
  <si>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</si>
  <si>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</si>
  <si>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</si>
  <si>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</si>
  <si>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</si>
  <si>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</si>
  <si>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</si>
  <si>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</si>
  <si>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</si>
  <si>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</si>
  <si>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</si>
  <si>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</si>
  <si>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</si>
  <si>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</si>
  <si>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</si>
  <si>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</si>
  <si>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</si>
  <si>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</si>
  <si>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</si>
  <si>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</si>
  <si>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</si>
  <si>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</si>
  <si>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</si>
  <si>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</si>
  <si>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</si>
  <si>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</si>
  <si>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</si>
  <si>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</si>
  <si>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</si>
  <si>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</si>
  <si>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</si>
  <si>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</si>
  <si>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</si>
  <si>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</si>
  <si>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</si>
  <si>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</si>
  <si>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</si>
  <si>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</si>
  <si>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</si>
  <si>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</si>
  <si>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</si>
  <si>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</si>
  <si>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</si>
  <si>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</si>
  <si>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</si>
  <si>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</si>
  <si>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</si>
  <si>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</si>
  <si>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</si>
  <si>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</si>
  <si>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</si>
  <si>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</si>
  <si>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</si>
  <si>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</si>
  <si>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</si>
  <si>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</si>
  <si>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</si>
  <si>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</si>
  <si>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</si>
  <si>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</si>
  <si>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</si>
  <si>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</si>
  <si>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</si>
  <si>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</si>
  <si>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</si>
  <si>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</si>
  <si>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</si>
  <si>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</si>
  <si>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</si>
  <si>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</si>
  <si>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</si>
  <si>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</si>
  <si>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</si>
  <si>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</si>
  <si>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</si>
  <si>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</si>
  <si>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</si>
  <si>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</si>
  <si>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</si>
  <si>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</si>
  <si>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</si>
  <si>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</si>
  <si>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</si>
  <si>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</si>
  <si>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</si>
  <si>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</si>
  <si>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</si>
  <si>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</si>
  <si>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</si>
  <si>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</si>
  <si>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</si>
  <si>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</si>
  <si>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</si>
  <si>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</si>
  <si>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</si>
  <si>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</si>
  <si>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</si>
  <si>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</si>
  <si>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</si>
  <si>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</si>
  <si>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</si>
  <si>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</si>
  <si>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</si>
  <si>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</si>
  <si>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</si>
  <si>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</si>
  <si>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</si>
  <si>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</si>
  <si>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</si>
  <si>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</si>
  <si>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</si>
  <si>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</si>
  <si>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</si>
  <si>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</si>
  <si>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</si>
  <si>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</si>
  <si>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</si>
  <si>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</si>
  <si>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</si>
  <si>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</si>
  <si>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</si>
  <si>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</si>
  <si>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172-04324250</t>
  </si>
  <si>
    <t>172-04324283</t>
  </si>
  <si>
    <t>160-16278220</t>
  </si>
  <si>
    <t>160-16278216</t>
  </si>
  <si>
    <t>160-16278194</t>
  </si>
  <si>
    <t>160-16278183</t>
  </si>
  <si>
    <t>160-16278205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</si>
  <si>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</si>
  <si>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</si>
  <si>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</si>
  <si>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</si>
  <si>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</si>
  <si>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</si>
  <si>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</si>
  <si>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</si>
  <si>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</si>
  <si>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</si>
  <si>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</si>
  <si>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</si>
  <si>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</si>
  <si>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</si>
  <si>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</si>
  <si>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</si>
  <si>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</si>
  <si>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</si>
  <si>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</si>
  <si>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</si>
  <si>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</si>
  <si>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</si>
  <si>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</si>
  <si>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</si>
  <si>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</si>
  <si>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</si>
  <si>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</si>
  <si>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</si>
  <si>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</si>
  <si>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</si>
  <si>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</si>
  <si>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</si>
  <si>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</si>
  <si>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</si>
  <si>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</si>
  <si>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</si>
  <si>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</si>
  <si>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</si>
  <si>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</si>
  <si>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</si>
  <si>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</si>
  <si>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</si>
  <si>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</si>
  <si>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</si>
  <si>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</si>
  <si>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</si>
  <si>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</si>
  <si>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</si>
  <si>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</si>
  <si>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</si>
  <si>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</si>
  <si>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</si>
  <si>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</si>
  <si>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</si>
  <si>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</si>
  <si>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</si>
  <si>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</si>
  <si>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</si>
  <si>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</si>
  <si>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</si>
  <si>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</si>
  <si>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</si>
  <si>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</si>
  <si>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</si>
  <si>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</si>
  <si>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</si>
  <si>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</si>
  <si>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</si>
  <si>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</si>
  <si>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</si>
  <si>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</si>
  <si>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</si>
  <si>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</si>
  <si>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</si>
  <si>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369-99884363</t>
  </si>
  <si>
    <t>369-99884470</t>
  </si>
  <si>
    <t>369-99884466</t>
  </si>
  <si>
    <t>369-99884455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</si>
  <si>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</si>
  <si>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</si>
  <si>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</si>
  <si>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</si>
  <si>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</si>
  <si>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</si>
  <si>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</si>
  <si>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</si>
  <si>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5C850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</si>
  <si>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</si>
  <si>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</si>
  <si>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</si>
  <si>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</si>
  <si>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</si>
  <si>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</si>
  <si>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</si>
  <si>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</si>
  <si>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</si>
  <si>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</si>
  <si>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</si>
  <si>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</si>
  <si>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</si>
  <si>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</si>
  <si>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</si>
  <si>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</si>
  <si>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</si>
  <si>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</si>
  <si>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</si>
  <si>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</si>
  <si>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</si>
  <si>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</si>
  <si>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</si>
  <si>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</si>
  <si>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</si>
  <si>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</si>
  <si>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</si>
  <si>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</si>
  <si>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</si>
  <si>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</si>
  <si>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</si>
  <si>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</si>
  <si>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</si>
  <si>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</si>
  <si>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</si>
  <si>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</si>
  <si>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</si>
  <si>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</si>
  <si>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</si>
  <si>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</si>
  <si>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</si>
  <si>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</si>
  <si>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</si>
  <si>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</si>
  <si>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</si>
  <si>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</si>
  <si>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</si>
  <si>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</si>
  <si>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</si>
  <si>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</si>
  <si>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</si>
  <si>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</si>
  <si>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</si>
  <si>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</si>
  <si>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</si>
  <si>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</si>
  <si>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</si>
  <si>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</si>
  <si>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</si>
  <si>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</si>
  <si>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</si>
  <si>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</si>
  <si>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</si>
  <si>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</si>
  <si>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</si>
  <si>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</si>
  <si>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</si>
  <si>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</si>
  <si>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</si>
  <si>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</si>
  <si>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</si>
  <si>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</si>
  <si>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</si>
  <si>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</si>
  <si>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</si>
  <si>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</si>
  <si>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</si>
  <si>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</si>
  <si>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</si>
  <si>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</si>
  <si>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</si>
  <si>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</si>
  <si>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</si>
  <si>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</si>
  <si>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</si>
  <si>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</si>
  <si>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</si>
  <si>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</si>
  <si>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</si>
  <si>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</si>
  <si>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</si>
  <si>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</si>
  <si>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</si>
  <si>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</si>
  <si>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</si>
  <si>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</si>
  <si>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</si>
  <si>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</si>
  <si>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</si>
  <si>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</si>
  <si>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</si>
  <si>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</si>
  <si>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</si>
  <si>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</si>
  <si>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</si>
  <si>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</si>
  <si>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</si>
  <si>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</si>
  <si>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</si>
  <si>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</si>
  <si>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</si>
  <si>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</si>
  <si>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</si>
  <si>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</si>
  <si>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</si>
  <si>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</si>
  <si>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</si>
  <si>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</si>
  <si>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</si>
  <si>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</si>
  <si>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</si>
  <si>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</si>
  <si>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</si>
  <si>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</si>
  <si>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</si>
  <si>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</si>
  <si>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</si>
  <si>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</si>
  <si>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</si>
  <si>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</si>
  <si>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</si>
  <si>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</si>
  <si>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</si>
  <si>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</si>
  <si>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</si>
  <si>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</si>
  <si>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</si>
  <si>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</si>
  <si>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</si>
  <si>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</si>
  <si>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</si>
  <si>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</si>
  <si>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</si>
  <si>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</si>
  <si>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</si>
  <si>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</si>
  <si>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</si>
  <si>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</si>
  <si>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</si>
  <si>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</si>
  <si>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</si>
  <si>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</si>
  <si>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</si>
  <si>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</si>
  <si>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</si>
  <si>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</si>
  <si>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</si>
  <si>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</si>
  <si>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</si>
  <si>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</si>
  <si>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</si>
  <si>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</si>
  <si>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</si>
  <si>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</si>
  <si>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</si>
  <si>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</si>
  <si>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</si>
  <si>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</si>
  <si>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</si>
  <si>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</si>
  <si>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</si>
  <si>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</si>
  <si>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</si>
  <si>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</si>
  <si>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</si>
  <si>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</si>
  <si>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</si>
  <si>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</si>
  <si>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</si>
  <si>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</si>
  <si>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</si>
  <si>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</si>
  <si>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</si>
  <si>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</si>
  <si>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</si>
  <si>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</si>
  <si>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</si>
  <si>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</si>
  <si>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</si>
  <si>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</si>
  <si>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</si>
  <si>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</si>
  <si>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</si>
  <si>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</si>
  <si>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</si>
  <si>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</si>
  <si>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</si>
  <si>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</si>
  <si>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</si>
  <si>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</si>
  <si>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</si>
  <si>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</si>
  <si>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</si>
  <si>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</si>
  <si>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</si>
  <si>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</si>
  <si>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</si>
  <si>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</si>
  <si>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</si>
  <si>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</si>
  <si>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</si>
  <si>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</si>
  <si>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</si>
  <si>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</si>
  <si>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</si>
  <si>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</si>
  <si>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</si>
  <si>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</si>
  <si>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</si>
  <si>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</si>
  <si>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</si>
  <si>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</si>
  <si>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</si>
  <si>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</si>
  <si>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</si>
  <si>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</si>
  <si>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</si>
  <si>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</si>
  <si>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</si>
  <si>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</si>
  <si>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</si>
  <si>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</si>
  <si>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</si>
  <si>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</si>
  <si>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</si>
  <si>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</si>
  <si>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</si>
  <si>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</si>
  <si>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</si>
  <si>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</si>
  <si>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</si>
  <si>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</si>
  <si>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</si>
  <si>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</si>
  <si>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</si>
  <si>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</si>
  <si>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</si>
  <si>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</si>
  <si>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</si>
  <si>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</si>
  <si>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</si>
  <si>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</si>
  <si>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</si>
  <si>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</si>
  <si>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</si>
  <si>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</si>
  <si>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</si>
  <si>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</si>
  <si>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</si>
  <si>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</si>
  <si>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</si>
  <si>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</si>
  <si>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</si>
  <si>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</si>
  <si>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</si>
  <si>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</si>
  <si>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</si>
  <si>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</si>
  <si>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</si>
  <si>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</si>
  <si>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</si>
  <si>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</si>
  <si>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</si>
  <si>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</si>
  <si>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</si>
  <si>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</si>
  <si>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</si>
  <si>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</si>
  <si>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</si>
  <si>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</si>
  <si>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</si>
  <si>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</si>
  <si>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</si>
  <si>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</si>
  <si>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</si>
  <si>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</si>
  <si>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</si>
  <si>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</si>
  <si>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</si>
  <si>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</si>
  <si>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</si>
  <si>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</si>
  <si>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</si>
  <si>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</si>
  <si>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</si>
  <si>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</si>
  <si>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</si>
  <si>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</si>
  <si>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</si>
  <si>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</si>
  <si>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</si>
  <si>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</si>
  <si>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</si>
  <si>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</si>
  <si>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</si>
  <si>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</si>
  <si>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</si>
  <si>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</si>
  <si>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</si>
  <si>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</si>
  <si>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</si>
  <si>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</si>
  <si>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</si>
  <si>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</si>
  <si>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</si>
  <si>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</si>
  <si>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</si>
  <si>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</si>
  <si>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</si>
  <si>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</si>
  <si>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</si>
  <si>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235-98376784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</si>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</sst>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1434</v>
      </c>
      <c r="C5" s="2" t="s">
        <v>15269</v>
      </c>
      <c r="D5" s="2" t="s">
        <v>122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15270</v>
      </c>
      <c r="D6" s="2" t="s">
        <v>122</v>
      </c>
      <c r="E6" s="2">
        <v>121</v>
      </c>
      <c r="F6" s="2">
        <v>2350.47</v>
      </c>
    </row>
    <row r="7" spans="3:6" x14ac:dyDescent="0.25">
      <c r="C7" s="2" t="s">
        <v>15271</v>
      </c>
      <c r="D7" s="2" t="s">
        <v>122</v>
      </c>
      <c r="E7" s="2">
        <v>141</v>
      </c>
      <c r="F7" s="2">
        <v>2903.37</v>
      </c>
    </row>
    <row r="8" spans="3:6" x14ac:dyDescent="0.25">
      <c r="C8" s="2" t="s">
        <v>15272</v>
      </c>
      <c r="D8" s="2" t="s">
        <v>122</v>
      </c>
      <c r="E8" s="2">
        <v>141</v>
      </c>
      <c r="F8" s="2">
        <v>2894.3</v>
      </c>
    </row>
    <row r="9" spans="3:6" x14ac:dyDescent="0.25">
      <c r="C9" s="2" t="s">
        <v>15273</v>
      </c>
      <c r="D9" s="2" t="s">
        <v>122</v>
      </c>
      <c r="E9" s="2">
        <v>141</v>
      </c>
      <c r="F9" s="2">
        <v>2852.3</v>
      </c>
    </row>
    <row r="10" spans="3:6" x14ac:dyDescent="0.25">
      <c r="C10" s="2" t="s">
        <v>15274</v>
      </c>
      <c r="D10" s="2" t="s">
        <v>122</v>
      </c>
      <c r="E10" s="2">
        <v>141</v>
      </c>
      <c r="F10" s="2">
        <v>2765.458</v>
      </c>
    </row>
    <row r="11" spans="3:6" x14ac:dyDescent="0.25">
      <c r="C11" s="2" t="s">
        <v>15275</v>
      </c>
      <c r="D11" s="2" t="s">
        <v>122</v>
      </c>
      <c r="E11" s="2">
        <v>141</v>
      </c>
      <c r="F11" s="2">
        <v>2806.329</v>
      </c>
    </row>
    <row r="12" spans="3:6" x14ac:dyDescent="0.25">
      <c r="C12" s="2" t="s">
        <v>15276</v>
      </c>
      <c r="D12" s="2" t="s">
        <v>122</v>
      </c>
      <c r="E12" s="2">
        <v>141</v>
      </c>
      <c r="F12" s="2">
        <v>2819.77</v>
      </c>
    </row>
    <row r="13" spans="3:6" x14ac:dyDescent="0.25">
      <c r="C13" s="2" t="s">
        <v>15277</v>
      </c>
      <c r="D13" s="2" t="s">
        <v>122</v>
      </c>
      <c r="E13" s="2">
        <v>141</v>
      </c>
      <c r="F13" s="2">
        <v>2871.93</v>
      </c>
    </row>
    <row r="14" spans="3:6" x14ac:dyDescent="0.25">
      <c r="C14" s="2" t="s">
        <v>15278</v>
      </c>
      <c r="D14" s="2" t="s">
        <v>122</v>
      </c>
      <c r="E14" s="2">
        <v>50</v>
      </c>
      <c r="F14" s="2">
        <v>989.35</v>
      </c>
    </row>
    <row r="15" spans="3:6" x14ac:dyDescent="0.25">
      <c r="C15" s="2" t="s">
        <v>15279</v>
      </c>
      <c r="D15" s="2" t="s">
        <v>122</v>
      </c>
      <c r="E15" s="2">
        <v>46</v>
      </c>
      <c r="F15" s="2">
        <v>921.06</v>
      </c>
    </row>
    <row r="16" spans="3:6" x14ac:dyDescent="0.25">
      <c r="C16" s="2" t="s">
        <v>15280</v>
      </c>
      <c r="D16" s="2" t="s">
        <v>122</v>
      </c>
      <c r="E16" s="2">
        <v>100</v>
      </c>
      <c r="F16" s="2">
        <v>2042.96</v>
      </c>
    </row>
    <row r="17" spans="3:6" x14ac:dyDescent="0.25">
      <c r="C17" s="2" t="s">
        <v>15281</v>
      </c>
      <c r="D17" s="2" t="s">
        <v>122</v>
      </c>
      <c r="E17" s="2">
        <v>100</v>
      </c>
      <c r="F17" s="2">
        <v>2019.89</v>
      </c>
    </row>
    <row r="18" spans="3:6" x14ac:dyDescent="0.25">
      <c r="C18" s="2" t="s">
        <v>15282</v>
      </c>
      <c r="D18" s="2" t="s">
        <v>122</v>
      </c>
      <c r="E18" s="2">
        <v>38</v>
      </c>
      <c r="F18" s="2">
        <v>776.41</v>
      </c>
    </row>
    <row r="19" spans="3:6" x14ac:dyDescent="0.25">
      <c r="C19" s="2" t="s">
        <v>15283</v>
      </c>
      <c r="D19" s="2" t="s">
        <v>122</v>
      </c>
      <c r="E19" s="2">
        <v>100</v>
      </c>
      <c r="F19" s="2">
        <v>2032.96</v>
      </c>
    </row>
    <row r="20" spans="3:6" x14ac:dyDescent="0.25">
      <c r="C20" s="2" t="s">
        <v>15284</v>
      </c>
      <c r="D20" s="2" t="s">
        <v>122</v>
      </c>
      <c r="E20" s="2">
        <v>100</v>
      </c>
      <c r="F20" s="2">
        <v>2018.32</v>
      </c>
    </row>
    <row r="21" spans="3:6" x14ac:dyDescent="0.25">
      <c r="C21" s="2" t="s">
        <v>15285</v>
      </c>
      <c r="D21" s="2" t="s">
        <v>122</v>
      </c>
      <c r="E21" s="2">
        <v>62</v>
      </c>
      <c r="F21" s="2">
        <v>1251.59</v>
      </c>
    </row>
    <row r="22" spans="3:6" x14ac:dyDescent="0.25">
      <c r="C22" s="2" t="s">
        <v>15286</v>
      </c>
      <c r="D22" s="2" t="s">
        <v>122</v>
      </c>
      <c r="E22" s="2">
        <v>27</v>
      </c>
      <c r="F22" s="2">
        <v>521.009</v>
      </c>
    </row>
    <row r="23" spans="3:6" x14ac:dyDescent="0.25">
      <c r="C23" s="2" t="s">
        <v>15287</v>
      </c>
      <c r="D23" s="2" t="s">
        <v>122</v>
      </c>
      <c r="E23" s="2">
        <v>55</v>
      </c>
      <c r="F23" s="2">
        <v>1098.51</v>
      </c>
    </row>
    <row r="24" spans="3:6" x14ac:dyDescent="0.25">
      <c r="C24" s="2" t="s">
        <v>15288</v>
      </c>
      <c r="D24" s="2" t="s">
        <v>122</v>
      </c>
      <c r="E24" s="2">
        <v>43</v>
      </c>
      <c r="F24" s="2">
        <v>851.36</v>
      </c>
    </row>
    <row r="25" spans="3:6" x14ac:dyDescent="0.25">
      <c r="C25" s="2" t="s">
        <v>15289</v>
      </c>
      <c r="D25" s="2" t="s">
        <v>122</v>
      </c>
      <c r="E25" s="2">
        <v>30</v>
      </c>
      <c r="F25" s="2">
        <v>632.29</v>
      </c>
    </row>
    <row r="26" spans="3:6" x14ac:dyDescent="0.25">
      <c r="C26" s="2" t="s">
        <v>15290</v>
      </c>
      <c r="D26" s="2" t="s">
        <v>122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10</v>
      </c>
      <c r="C28" s="2" t="s">
        <v>15291</v>
      </c>
      <c r="D28" s="2" t="s">
        <v>12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15292</v>
      </c>
      <c r="D29" s="2" t="s">
        <v>12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18</v>
      </c>
      <c r="C31" s="2" t="s">
        <v>15293</v>
      </c>
      <c r="D31" s="2" t="s">
        <v>20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15294</v>
      </c>
      <c r="D32" s="2" t="s">
        <v>20</v>
      </c>
      <c r="E32" s="2">
        <v>170</v>
      </c>
      <c r="F32" s="2">
        <v>2431.429</v>
      </c>
    </row>
    <row r="33" spans="3:6" x14ac:dyDescent="0.25">
      <c r="C33" s="2" t="s">
        <v>15295</v>
      </c>
      <c r="D33" s="2" t="s">
        <v>20</v>
      </c>
      <c r="E33" s="2">
        <v>102</v>
      </c>
      <c r="F33" s="2">
        <v>1943.229</v>
      </c>
    </row>
    <row r="34" spans="3:6" x14ac:dyDescent="0.25">
      <c r="C34" s="2" t="s">
        <v>15296</v>
      </c>
      <c r="D34" s="2" t="s">
        <v>20</v>
      </c>
      <c r="E34" s="2">
        <v>102</v>
      </c>
      <c r="F34" s="2">
        <v>1920.738</v>
      </c>
    </row>
    <row r="35" spans="3:6" x14ac:dyDescent="0.25">
      <c r="C35" s="2" t="s">
        <v>15297</v>
      </c>
      <c r="D35" s="2" t="s">
        <v>20</v>
      </c>
      <c r="E35" s="2">
        <v>142</v>
      </c>
      <c r="F35" s="2">
        <v>2595.649</v>
      </c>
    </row>
    <row r="36" spans="3:6" x14ac:dyDescent="0.25">
      <c r="C36" s="2" t="s">
        <v>15298</v>
      </c>
      <c r="D36" s="2" t="s">
        <v>20</v>
      </c>
      <c r="E36" s="2">
        <v>102</v>
      </c>
      <c r="F36" s="2">
        <v>1978.19</v>
      </c>
    </row>
    <row r="37" spans="3:6" x14ac:dyDescent="0.25">
      <c r="C37" s="2" t="s">
        <v>15299</v>
      </c>
      <c r="D37" s="2" t="s">
        <v>20</v>
      </c>
      <c r="E37" s="2">
        <v>142</v>
      </c>
      <c r="F37" s="2">
        <v>2706.41</v>
      </c>
    </row>
    <row r="38" spans="3:6" x14ac:dyDescent="0.25">
      <c r="C38" s="2" t="s">
        <v>15300</v>
      </c>
      <c r="D38" s="2" t="s">
        <v>20</v>
      </c>
      <c r="E38" s="2">
        <v>142</v>
      </c>
      <c r="F38" s="2">
        <v>2606.116</v>
      </c>
    </row>
    <row r="39" spans="3:6" x14ac:dyDescent="0.25">
      <c r="C39" s="2" t="s">
        <v>15301</v>
      </c>
      <c r="D39" s="2" t="s">
        <v>20</v>
      </c>
      <c r="E39" s="2">
        <v>142</v>
      </c>
      <c r="F39" s="2">
        <v>2861.27</v>
      </c>
    </row>
    <row r="40" spans="3:6" x14ac:dyDescent="0.25">
      <c r="C40" s="2" t="s">
        <v>15302</v>
      </c>
      <c r="D40" s="2" t="s">
        <v>20</v>
      </c>
      <c r="E40" s="2">
        <v>102</v>
      </c>
      <c r="F40" s="2">
        <v>1940.8</v>
      </c>
    </row>
    <row r="41" spans="3:6" x14ac:dyDescent="0.25">
      <c r="C41" s="2" t="s">
        <v>15303</v>
      </c>
      <c r="D41" s="2" t="s">
        <v>20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206</v>
      </c>
      <c r="C43" s="2" t="s">
        <v>15304</v>
      </c>
      <c r="D43" s="2" t="s">
        <v>27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15305</v>
      </c>
      <c r="D44" s="2" t="s">
        <v>27</v>
      </c>
      <c r="F44" s="2" t="s">
        <v>8758</v>
      </c>
    </row>
    <row r="45" spans="3:6" x14ac:dyDescent="0.25">
      <c r="C45" s="2" t="s">
        <v>15306</v>
      </c>
      <c r="D45" s="2" t="s">
        <v>27</v>
      </c>
      <c r="E45" s="2">
        <v>84</v>
      </c>
      <c r="F45" s="2">
        <v>1732.141</v>
      </c>
    </row>
    <row r="46" spans="3:6" x14ac:dyDescent="0.25">
      <c r="C46" s="2" t="s">
        <v>15307</v>
      </c>
      <c r="D46" s="2" t="s">
        <v>27</v>
      </c>
      <c r="E46" s="2">
        <v>101</v>
      </c>
      <c r="F46" s="2">
        <v>1733.809</v>
      </c>
    </row>
    <row r="47" spans="3:6" x14ac:dyDescent="0.25">
      <c r="C47" s="2" t="s">
        <v>15308</v>
      </c>
      <c r="D47" s="2" t="s">
        <v>27</v>
      </c>
      <c r="E47" s="2">
        <v>50</v>
      </c>
      <c r="F47" s="2">
        <v>886</v>
      </c>
    </row>
    <row r="48" spans="3:6" x14ac:dyDescent="0.25">
      <c r="C48" s="2" t="s">
        <v>15309</v>
      </c>
      <c r="D48" s="2" t="s">
        <v>27</v>
      </c>
      <c r="E48" s="2">
        <v>44</v>
      </c>
      <c r="F48" s="2">
        <v>687.87</v>
      </c>
    </row>
    <row r="49" spans="3:6" x14ac:dyDescent="0.25">
      <c r="C49" s="2" t="s">
        <v>15310</v>
      </c>
      <c r="D49" s="2" t="s">
        <v>27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2097</v>
      </c>
      <c r="C51" s="2" t="s">
        <v>15311</v>
      </c>
      <c r="D51" s="2" t="s">
        <v>27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15312</v>
      </c>
      <c r="D52" s="2" t="s">
        <v>27</v>
      </c>
      <c r="E52" s="2">
        <v>101</v>
      </c>
      <c r="F52" s="2">
        <v>1934.298</v>
      </c>
    </row>
    <row r="53" spans="3:6" x14ac:dyDescent="0.25">
      <c r="C53" s="2" t="s">
        <v>15313</v>
      </c>
      <c r="D53" s="2" t="s">
        <v>27</v>
      </c>
      <c r="E53" s="2">
        <v>42</v>
      </c>
      <c r="F53" s="2">
        <v>738.18</v>
      </c>
    </row>
    <row r="54" spans="3:6" x14ac:dyDescent="0.25">
      <c r="C54" s="2" t="s">
        <v>15314</v>
      </c>
      <c r="D54" s="2" t="s">
        <v>27</v>
      </c>
      <c r="E54" s="2">
        <v>15</v>
      </c>
      <c r="F54" s="2">
        <v>226.93</v>
      </c>
    </row>
    <row r="55" spans="3:6" x14ac:dyDescent="0.25">
      <c r="C55" s="2" t="s">
        <v>15315</v>
      </c>
      <c r="D55" s="2" t="s">
        <v>27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10</v>
      </c>
      <c r="C57" s="2" t="s">
        <v>15316</v>
      </c>
      <c r="D57" s="2" t="s">
        <v>12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15317</v>
      </c>
      <c r="D58" s="2" t="s">
        <v>12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12270</v>
      </c>
      <c r="C60" s="2" t="s">
        <v>15318</v>
      </c>
      <c r="D60" s="2" t="s">
        <v>12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15319</v>
      </c>
      <c r="D61" s="2" t="s">
        <v>12</v>
      </c>
      <c r="E61" s="2">
        <v>156</v>
      </c>
      <c r="F61" s="2">
        <v>3221.21</v>
      </c>
    </row>
    <row r="62" spans="3:6" x14ac:dyDescent="0.25">
      <c r="C62" s="2" t="s">
        <v>15320</v>
      </c>
      <c r="D62" s="2" t="s">
        <v>12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15321</v>
      </c>
      <c r="C64" s="2" t="s">
        <v>15322</v>
      </c>
      <c r="D64" s="2" t="s">
        <v>9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15323</v>
      </c>
      <c r="D65" s="2" t="s">
        <v>9</v>
      </c>
      <c r="F65" s="2" t="s">
        <v>8758</v>
      </c>
    </row>
    <row r="66" spans="3:6" x14ac:dyDescent="0.25">
      <c r="C66" s="2" t="s">
        <v>15324</v>
      </c>
      <c r="D66" s="2" t="s">
        <v>9</v>
      </c>
      <c r="F66" s="2" t="s">
        <v>8758</v>
      </c>
    </row>
    <row r="67" spans="3:6" x14ac:dyDescent="0.25">
      <c r="C67" s="2" t="s">
        <v>15325</v>
      </c>
      <c r="D67" s="2" t="s">
        <v>9</v>
      </c>
      <c r="E67" s="2">
        <v>5</v>
      </c>
      <c r="F67" s="2">
        <v>14.49</v>
      </c>
    </row>
    <row r="68" spans="3:6" x14ac:dyDescent="0.25">
      <c r="C68" s="2" t="s">
        <v>15326</v>
      </c>
      <c r="D68" s="2" t="s">
        <v>9</v>
      </c>
      <c r="E68" s="2">
        <v>141</v>
      </c>
      <c r="F68" s="2">
        <v>2849.489</v>
      </c>
    </row>
    <row r="69" spans="3:6" x14ac:dyDescent="0.25">
      <c r="C69" s="2" t="s">
        <v>15327</v>
      </c>
      <c r="D69" s="2" t="s">
        <v>9</v>
      </c>
      <c r="E69" s="2">
        <v>49</v>
      </c>
      <c r="F69" s="2">
        <v>950.84</v>
      </c>
    </row>
    <row r="70" spans="3:6" x14ac:dyDescent="0.25">
      <c r="C70" s="2" t="s">
        <v>15328</v>
      </c>
      <c r="D70" s="2" t="s">
        <v>9</v>
      </c>
      <c r="E70" s="2">
        <v>84</v>
      </c>
      <c r="F70" s="2">
        <v>1709.88</v>
      </c>
    </row>
    <row r="71" spans="3:6" x14ac:dyDescent="0.25">
      <c r="C71" s="2" t="s">
        <v>15329</v>
      </c>
      <c r="D71" s="2" t="s">
        <v>9</v>
      </c>
      <c r="E71" s="2">
        <v>60</v>
      </c>
      <c r="F71" s="2">
        <v>256.6</v>
      </c>
    </row>
    <row r="72" spans="3:6" x14ac:dyDescent="0.25">
      <c r="C72" s="2" t="s">
        <v>15330</v>
      </c>
      <c r="D72" s="2" t="s">
        <v>9</v>
      </c>
      <c r="E72" s="2">
        <v>96</v>
      </c>
      <c r="F72" s="2">
        <v>1951.429</v>
      </c>
    </row>
    <row r="73" spans="3:6" x14ac:dyDescent="0.25">
      <c r="C73" s="2" t="s">
        <v>15331</v>
      </c>
      <c r="D73" s="2" t="s">
        <v>9</v>
      </c>
      <c r="E73" s="2">
        <v>141</v>
      </c>
      <c r="F73" s="2">
        <v>2840.898</v>
      </c>
    </row>
    <row r="74" spans="3:6" x14ac:dyDescent="0.25">
      <c r="C74" s="2" t="s">
        <v>15332</v>
      </c>
      <c r="D74" s="2" t="s">
        <v>9</v>
      </c>
      <c r="E74" s="2">
        <v>205</v>
      </c>
      <c r="F74" s="2">
        <v>4066.79</v>
      </c>
    </row>
    <row r="75" spans="3:6" x14ac:dyDescent="0.25">
      <c r="C75" s="2" t="s">
        <v>15333</v>
      </c>
      <c r="D75" s="2" t="s">
        <v>9</v>
      </c>
      <c r="E75" s="2">
        <v>246</v>
      </c>
      <c r="F75" s="2">
        <v>4972.4</v>
      </c>
    </row>
    <row r="76" spans="3:6" x14ac:dyDescent="0.25">
      <c r="C76" s="2" t="s">
        <v>15334</v>
      </c>
      <c r="D76" s="2" t="s">
        <v>9</v>
      </c>
      <c r="E76" s="2">
        <v>72</v>
      </c>
      <c r="F76" s="2">
        <v>1318.42</v>
      </c>
    </row>
    <row r="77" spans="3:6" x14ac:dyDescent="0.25">
      <c r="C77" s="2" t="s">
        <v>15335</v>
      </c>
      <c r="D77" s="2" t="s">
        <v>9</v>
      </c>
      <c r="E77" s="2">
        <v>141</v>
      </c>
      <c r="F77" s="2">
        <v>2871.65</v>
      </c>
    </row>
    <row r="78" spans="3:6" x14ac:dyDescent="0.25">
      <c r="C78" s="2" t="s">
        <v>15336</v>
      </c>
      <c r="D78" s="2" t="s">
        <v>9</v>
      </c>
      <c r="E78" s="2">
        <v>123</v>
      </c>
      <c r="F78" s="2">
        <v>2459.59</v>
      </c>
    </row>
    <row r="79" spans="3:6" x14ac:dyDescent="0.25">
      <c r="C79" s="2" t="s">
        <v>15337</v>
      </c>
      <c r="D79" s="2" t="s">
        <v>9</v>
      </c>
      <c r="E79" s="2">
        <v>123</v>
      </c>
      <c r="F79" s="2">
        <v>2454.65</v>
      </c>
    </row>
    <row r="80" spans="3:6" x14ac:dyDescent="0.25">
      <c r="C80" s="2" t="s">
        <v>15338</v>
      </c>
      <c r="D80" s="2" t="s">
        <v>9</v>
      </c>
      <c r="E80" s="2">
        <v>236</v>
      </c>
      <c r="F80" s="2">
        <v>4790.75</v>
      </c>
    </row>
    <row r="81" spans="3:6" x14ac:dyDescent="0.25">
      <c r="C81" s="2" t="s">
        <v>15339</v>
      </c>
      <c r="D81" s="2" t="s">
        <v>9</v>
      </c>
      <c r="E81" s="2">
        <v>141</v>
      </c>
      <c r="F81" s="2">
        <v>2891.21</v>
      </c>
    </row>
    <row r="82" spans="3:6" x14ac:dyDescent="0.25">
      <c r="C82" s="2" t="s">
        <v>15340</v>
      </c>
      <c r="D82" s="2" t="s">
        <v>9</v>
      </c>
      <c r="E82" s="2">
        <v>141</v>
      </c>
      <c r="F82" s="2">
        <v>2639.81</v>
      </c>
    </row>
    <row r="83" spans="3:6" x14ac:dyDescent="0.25">
      <c r="C83" s="2" t="s">
        <v>15341</v>
      </c>
      <c r="D83" s="2" t="s">
        <v>9</v>
      </c>
      <c r="E83" s="2">
        <v>63</v>
      </c>
      <c r="F83" s="2">
        <v>1198.44</v>
      </c>
    </row>
    <row r="84" spans="3:6" x14ac:dyDescent="0.25">
      <c r="C84" s="2" t="s">
        <v>15342</v>
      </c>
      <c r="D84" s="2" t="s">
        <v>9</v>
      </c>
      <c r="E84" s="2">
        <v>165</v>
      </c>
      <c r="F84" s="2">
        <v>3313.43</v>
      </c>
    </row>
    <row r="85" spans="3:6" x14ac:dyDescent="0.25">
      <c r="C85" s="2" t="s">
        <v>15343</v>
      </c>
      <c r="D85" s="2" t="s">
        <v>9</v>
      </c>
      <c r="E85" s="2">
        <v>141</v>
      </c>
      <c r="F85" s="2">
        <v>2771.22</v>
      </c>
    </row>
    <row r="86" spans="3:6" x14ac:dyDescent="0.25">
      <c r="C86" s="2" t="s">
        <v>15344</v>
      </c>
      <c r="D86" s="2" t="s">
        <v>9</v>
      </c>
      <c r="E86" s="2">
        <v>141</v>
      </c>
      <c r="F86" s="2">
        <v>2882.54</v>
      </c>
    </row>
    <row r="87" spans="3:6" x14ac:dyDescent="0.25">
      <c r="C87" s="2" t="s">
        <v>15345</v>
      </c>
      <c r="D87" s="2" t="s">
        <v>9</v>
      </c>
      <c r="E87" s="2">
        <v>141</v>
      </c>
      <c r="F87" s="2">
        <v>2886.53</v>
      </c>
    </row>
    <row r="88" spans="3:6" x14ac:dyDescent="0.25">
      <c r="C88" s="2" t="s">
        <v>15346</v>
      </c>
      <c r="D88" s="2" t="s">
        <v>9</v>
      </c>
      <c r="E88" s="2">
        <v>141</v>
      </c>
      <c r="F88" s="2">
        <v>2852.2</v>
      </c>
    </row>
    <row r="89" spans="3:6" x14ac:dyDescent="0.25">
      <c r="C89" s="2" t="s">
        <v>15347</v>
      </c>
      <c r="D89" s="2" t="s">
        <v>9</v>
      </c>
      <c r="E89" s="2">
        <v>141</v>
      </c>
      <c r="F89" s="2">
        <v>2881.16</v>
      </c>
    </row>
    <row r="90" spans="3:6" x14ac:dyDescent="0.25">
      <c r="C90" s="2" t="s">
        <v>15348</v>
      </c>
      <c r="D90" s="2" t="s">
        <v>9</v>
      </c>
      <c r="E90" s="2">
        <v>79</v>
      </c>
      <c r="F90" s="2">
        <v>1425.829</v>
      </c>
    </row>
    <row r="91" spans="3:6" x14ac:dyDescent="0.25">
      <c r="C91" s="2" t="s">
        <v>15349</v>
      </c>
      <c r="D91" s="2" t="s">
        <v>9</v>
      </c>
      <c r="E91" s="2">
        <v>141</v>
      </c>
      <c r="F91" s="2">
        <v>2908.3</v>
      </c>
    </row>
    <row r="92" spans="3:6" x14ac:dyDescent="0.25">
      <c r="C92" s="2" t="s">
        <v>15350</v>
      </c>
      <c r="D92" s="2" t="s">
        <v>9</v>
      </c>
      <c r="E92" s="2">
        <v>141</v>
      </c>
      <c r="F92" s="2">
        <v>2791.2</v>
      </c>
    </row>
    <row r="93" spans="3:6" x14ac:dyDescent="0.25">
      <c r="C93" s="2" t="s">
        <v>15351</v>
      </c>
      <c r="D93" s="2" t="s">
        <v>9</v>
      </c>
      <c r="E93" s="2">
        <v>282</v>
      </c>
      <c r="F93" s="2">
        <v>5668.03</v>
      </c>
    </row>
    <row r="94" spans="3:6" x14ac:dyDescent="0.25">
      <c r="C94" s="2" t="s">
        <v>15352</v>
      </c>
      <c r="D94" s="2" t="s">
        <v>9</v>
      </c>
      <c r="E94" s="2">
        <v>92</v>
      </c>
      <c r="F94" s="2">
        <v>1849.329</v>
      </c>
    </row>
    <row r="95" spans="3:6" x14ac:dyDescent="0.25">
      <c r="C95" s="2" t="s">
        <v>15353</v>
      </c>
      <c r="D95" s="2" t="s">
        <v>9</v>
      </c>
      <c r="E95" s="2">
        <v>141</v>
      </c>
      <c r="F95" s="2">
        <v>2881.65</v>
      </c>
    </row>
    <row r="96" spans="3:6" x14ac:dyDescent="0.25">
      <c r="C96" s="2" t="s">
        <v>15354</v>
      </c>
      <c r="D96" s="2" t="s">
        <v>9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2738</v>
      </c>
      <c r="C98" s="2" t="s">
        <v>15355</v>
      </c>
      <c r="D98" s="2" t="s">
        <v>20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15356</v>
      </c>
      <c r="D99" s="2" t="s">
        <v>20</v>
      </c>
      <c r="E99" s="2">
        <v>149</v>
      </c>
      <c r="F99" s="2">
        <v>2637.139</v>
      </c>
    </row>
    <row r="100" spans="3:6" x14ac:dyDescent="0.25">
      <c r="C100" s="2" t="s">
        <v>15357</v>
      </c>
      <c r="D100" s="2" t="s">
        <v>20</v>
      </c>
      <c r="E100" s="2">
        <v>149</v>
      </c>
      <c r="F100" s="2">
        <v>2722.007</v>
      </c>
    </row>
    <row r="101" spans="3:6" x14ac:dyDescent="0.25">
      <c r="C101" s="2" t="s">
        <v>15358</v>
      </c>
      <c r="D101" s="2" t="s">
        <v>20</v>
      </c>
      <c r="E101" s="2">
        <v>149</v>
      </c>
      <c r="F101" s="2">
        <v>2655.108</v>
      </c>
    </row>
    <row r="102" spans="3:6" x14ac:dyDescent="0.25">
      <c r="C102" s="2" t="s">
        <v>15359</v>
      </c>
      <c r="D102" s="2" t="s">
        <v>20</v>
      </c>
      <c r="E102" s="2">
        <v>149</v>
      </c>
      <c r="F102" s="2">
        <v>2754.96</v>
      </c>
    </row>
    <row r="103" spans="3:6" x14ac:dyDescent="0.25">
      <c r="C103" s="2" t="s">
        <v>15360</v>
      </c>
      <c r="D103" s="2" t="s">
        <v>20</v>
      </c>
      <c r="E103" s="2">
        <v>102</v>
      </c>
      <c r="F103" s="2">
        <v>1781.389</v>
      </c>
    </row>
    <row r="104" spans="3:6" x14ac:dyDescent="0.25">
      <c r="C104" s="2" t="s">
        <v>15361</v>
      </c>
      <c r="D104" s="2" t="s">
        <v>20</v>
      </c>
      <c r="E104" s="2">
        <v>102</v>
      </c>
      <c r="F104" s="2">
        <v>1892.16</v>
      </c>
    </row>
    <row r="105" spans="3:6" x14ac:dyDescent="0.25">
      <c r="C105" s="2" t="s">
        <v>15362</v>
      </c>
      <c r="D105" s="2" t="s">
        <v>20</v>
      </c>
      <c r="E105" s="2">
        <v>149</v>
      </c>
      <c r="F105" s="2">
        <v>2628.97</v>
      </c>
    </row>
    <row r="106" spans="3:6" x14ac:dyDescent="0.25">
      <c r="C106" s="2" t="s">
        <v>15363</v>
      </c>
      <c r="D106" s="2" t="s">
        <v>20</v>
      </c>
      <c r="E106" s="2">
        <v>149</v>
      </c>
      <c r="F106" s="2">
        <v>2630.87</v>
      </c>
    </row>
    <row r="107" spans="3:6" x14ac:dyDescent="0.25">
      <c r="C107" s="2" t="s">
        <v>15364</v>
      </c>
      <c r="D107" s="2" t="s">
        <v>20</v>
      </c>
      <c r="E107" s="2">
        <v>149</v>
      </c>
      <c r="F107" s="2">
        <v>3569.93</v>
      </c>
    </row>
    <row r="108" spans="3:6" x14ac:dyDescent="0.25">
      <c r="C108" s="2" t="s">
        <v>15365</v>
      </c>
      <c r="D108" s="2" t="s">
        <v>20</v>
      </c>
      <c r="E108" s="2">
        <v>102</v>
      </c>
      <c r="F108" s="2">
        <v>2146.258</v>
      </c>
    </row>
    <row r="109" spans="3:6" x14ac:dyDescent="0.25">
      <c r="C109" s="2" t="s">
        <v>15366</v>
      </c>
      <c r="D109" s="2" t="s">
        <v>20</v>
      </c>
      <c r="E109" s="2">
        <v>102</v>
      </c>
      <c r="F109" s="2">
        <v>1996.24</v>
      </c>
    </row>
    <row r="110" spans="3:6" x14ac:dyDescent="0.25">
      <c r="C110" s="2" t="s">
        <v>15367</v>
      </c>
      <c r="D110" s="2" t="s">
        <v>20</v>
      </c>
      <c r="E110" s="2">
        <v>102</v>
      </c>
      <c r="F110" s="2">
        <v>1944.42</v>
      </c>
    </row>
    <row r="111" spans="3:6" x14ac:dyDescent="0.25">
      <c r="C111" s="2" t="s">
        <v>15368</v>
      </c>
      <c r="D111" s="2" t="s">
        <v>20</v>
      </c>
      <c r="E111" s="2">
        <v>149</v>
      </c>
      <c r="F111" s="2">
        <v>2740.208</v>
      </c>
    </row>
    <row r="112" spans="3:6" x14ac:dyDescent="0.25">
      <c r="C112" s="2" t="s">
        <v>15369</v>
      </c>
      <c r="D112" s="2" t="s">
        <v>20</v>
      </c>
      <c r="E112" s="2">
        <v>149</v>
      </c>
      <c r="F112" s="2">
        <v>2786.489</v>
      </c>
    </row>
    <row r="113" spans="3:6" x14ac:dyDescent="0.25">
      <c r="C113" s="2" t="s">
        <v>15370</v>
      </c>
      <c r="D113" s="2" t="s">
        <v>20</v>
      </c>
      <c r="E113" s="2">
        <v>102</v>
      </c>
      <c r="F113" s="2">
        <v>2374.99</v>
      </c>
    </row>
    <row r="114" spans="3:6" x14ac:dyDescent="0.25">
      <c r="C114" s="2" t="s">
        <v>15371</v>
      </c>
      <c r="D114" s="2" t="s">
        <v>20</v>
      </c>
      <c r="E114" s="2">
        <v>80</v>
      </c>
      <c r="F114" s="2">
        <v>1845.04</v>
      </c>
    </row>
    <row r="115" spans="3:6" x14ac:dyDescent="0.25">
      <c r="C115" s="2" t="s">
        <v>15372</v>
      </c>
      <c r="D115" s="2" t="s">
        <v>20</v>
      </c>
      <c r="E115" s="2">
        <v>80</v>
      </c>
      <c r="F115" s="2">
        <v>1246.628</v>
      </c>
    </row>
    <row r="116" spans="3:6" x14ac:dyDescent="0.25">
      <c r="C116" s="2" t="s">
        <v>15373</v>
      </c>
      <c r="D116" s="2" t="s">
        <v>20</v>
      </c>
      <c r="E116" s="2">
        <v>117</v>
      </c>
      <c r="F116" s="2">
        <v>2052.055</v>
      </c>
    </row>
    <row r="117" spans="3:6" x14ac:dyDescent="0.25">
      <c r="C117" s="2" t="s">
        <v>15374</v>
      </c>
      <c r="D117" s="2" t="s">
        <v>20</v>
      </c>
      <c r="E117" s="2">
        <v>105</v>
      </c>
      <c r="F117" s="2">
        <v>2452.396</v>
      </c>
    </row>
    <row r="118" spans="3:6" x14ac:dyDescent="0.25">
      <c r="C118" s="2" t="s">
        <v>15375</v>
      </c>
      <c r="D118" s="2" t="s">
        <v>20</v>
      </c>
      <c r="E118" s="2">
        <v>102</v>
      </c>
      <c r="F118" s="2">
        <v>1940.009</v>
      </c>
    </row>
    <row r="119" spans="3:6" x14ac:dyDescent="0.25">
      <c r="C119" s="2" t="s">
        <v>15376</v>
      </c>
      <c r="D119" s="2" t="s">
        <v>20</v>
      </c>
      <c r="E119" s="2">
        <v>149</v>
      </c>
      <c r="F119" s="2">
        <v>2688.88</v>
      </c>
    </row>
    <row r="120" spans="3:6" x14ac:dyDescent="0.25">
      <c r="C120" s="2" t="s">
        <v>15377</v>
      </c>
      <c r="D120" s="2" t="s">
        <v>20</v>
      </c>
      <c r="E120" s="2">
        <v>149</v>
      </c>
      <c r="F120" s="2">
        <v>2780.91</v>
      </c>
    </row>
    <row r="121" spans="3:6" x14ac:dyDescent="0.25">
      <c r="C121" s="2" t="s">
        <v>15378</v>
      </c>
      <c r="D121" s="2" t="s">
        <v>20</v>
      </c>
      <c r="E121" s="2">
        <v>149</v>
      </c>
      <c r="F121" s="2">
        <v>2822.108</v>
      </c>
    </row>
    <row r="122" spans="3:6" x14ac:dyDescent="0.25">
      <c r="C122" s="2" t="s">
        <v>15379</v>
      </c>
      <c r="D122" s="2" t="s">
        <v>20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4182</v>
      </c>
      <c r="C124" s="2" t="s">
        <v>15380</v>
      </c>
      <c r="D124" s="2" t="s">
        <v>122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15381</v>
      </c>
      <c r="D125" s="2" t="s">
        <v>122</v>
      </c>
      <c r="E125" s="2">
        <v>121</v>
      </c>
      <c r="F125" s="2">
        <v>2529.82</v>
      </c>
    </row>
    <row r="126" spans="3:6" x14ac:dyDescent="0.25">
      <c r="C126" s="2" t="s">
        <v>15382</v>
      </c>
      <c r="D126" s="2" t="s">
        <v>122</v>
      </c>
      <c r="E126" s="2">
        <v>141</v>
      </c>
      <c r="F126" s="2">
        <v>2885.6</v>
      </c>
    </row>
    <row r="127" spans="3:6" x14ac:dyDescent="0.25">
      <c r="C127" s="2" t="s">
        <v>15383</v>
      </c>
      <c r="D127" s="2" t="s">
        <v>122</v>
      </c>
      <c r="E127" s="2">
        <v>141</v>
      </c>
      <c r="F127" s="2">
        <v>2788.44</v>
      </c>
    </row>
    <row r="128" spans="3:6" x14ac:dyDescent="0.25">
      <c r="C128" s="2" t="s">
        <v>15384</v>
      </c>
      <c r="D128" s="2" t="s">
        <v>122</v>
      </c>
      <c r="E128" s="2">
        <v>141</v>
      </c>
      <c r="F128" s="2">
        <v>2795.57</v>
      </c>
    </row>
    <row r="129" spans="3:6" x14ac:dyDescent="0.25">
      <c r="C129" s="2" t="s">
        <v>15385</v>
      </c>
      <c r="D129" s="2" t="s">
        <v>122</v>
      </c>
      <c r="E129" s="2">
        <v>48</v>
      </c>
      <c r="F129" s="2">
        <v>970.68</v>
      </c>
    </row>
    <row r="130" spans="3:6" x14ac:dyDescent="0.25">
      <c r="C130" s="2" t="s">
        <v>15386</v>
      </c>
      <c r="D130" s="2" t="s">
        <v>122</v>
      </c>
      <c r="E130" s="2">
        <v>47</v>
      </c>
      <c r="F130" s="2">
        <v>927.94</v>
      </c>
    </row>
    <row r="131" spans="3:6" x14ac:dyDescent="0.25">
      <c r="C131" s="2" t="s">
        <v>15387</v>
      </c>
      <c r="D131" s="2" t="s">
        <v>122</v>
      </c>
      <c r="E131" s="2">
        <v>42</v>
      </c>
      <c r="F131" s="2">
        <v>873.93</v>
      </c>
    </row>
    <row r="132" spans="3:6" x14ac:dyDescent="0.25">
      <c r="C132" s="2" t="s">
        <v>15388</v>
      </c>
      <c r="D132" s="2" t="s">
        <v>122</v>
      </c>
      <c r="E132" s="2">
        <v>77</v>
      </c>
      <c r="F132" s="2">
        <v>1547.48</v>
      </c>
    </row>
    <row r="133" spans="3:6" x14ac:dyDescent="0.25">
      <c r="C133" s="2" t="s">
        <v>15389</v>
      </c>
      <c r="D133" s="2" t="s">
        <v>122</v>
      </c>
      <c r="E133" s="2">
        <v>34</v>
      </c>
      <c r="F133" s="2">
        <v>1256.46</v>
      </c>
    </row>
    <row r="134" spans="3:6" x14ac:dyDescent="0.25">
      <c r="C134" s="2" t="s">
        <v>15390</v>
      </c>
      <c r="D134" s="2" t="s">
        <v>122</v>
      </c>
      <c r="E134" s="2">
        <v>62</v>
      </c>
      <c r="F134" s="2">
        <v>1230.839</v>
      </c>
    </row>
    <row r="135" spans="3:6" x14ac:dyDescent="0.25">
      <c r="C135" s="2" t="s">
        <v>15391</v>
      </c>
      <c r="D135" s="2" t="s">
        <v>122</v>
      </c>
      <c r="E135" s="2">
        <v>64</v>
      </c>
      <c r="F135" s="2">
        <v>1235.16</v>
      </c>
    </row>
    <row r="136" spans="3:6" x14ac:dyDescent="0.25">
      <c r="C136" s="2" t="s">
        <v>15392</v>
      </c>
      <c r="D136" s="2" t="s">
        <v>122</v>
      </c>
      <c r="E136" s="2">
        <v>120</v>
      </c>
      <c r="F136" s="2">
        <v>2097.925</v>
      </c>
    </row>
    <row r="137" spans="3:6" x14ac:dyDescent="0.25">
      <c r="C137" s="2" t="s">
        <v>15393</v>
      </c>
      <c r="D137" s="2" t="s">
        <v>122</v>
      </c>
      <c r="E137" s="2">
        <v>158</v>
      </c>
      <c r="F137" s="2">
        <v>2457.36</v>
      </c>
    </row>
    <row r="138" spans="3:6" x14ac:dyDescent="0.25">
      <c r="C138" s="2" t="s">
        <v>15394</v>
      </c>
      <c r="D138" s="2" t="s">
        <v>122</v>
      </c>
      <c r="E138" s="2">
        <v>32</v>
      </c>
      <c r="F138" s="2">
        <v>646.16</v>
      </c>
    </row>
    <row r="139" spans="3:6" x14ac:dyDescent="0.25">
      <c r="C139" s="2" t="s">
        <v>15395</v>
      </c>
      <c r="D139" s="2" t="s">
        <v>122</v>
      </c>
      <c r="E139" s="2">
        <v>33</v>
      </c>
      <c r="F139" s="2">
        <v>639.47</v>
      </c>
    </row>
    <row r="140" spans="3:6" x14ac:dyDescent="0.25">
      <c r="C140" s="2" t="s">
        <v>15396</v>
      </c>
      <c r="D140" s="2" t="s">
        <v>122</v>
      </c>
      <c r="E140" s="2">
        <v>32</v>
      </c>
      <c r="F140" s="2">
        <v>633.43</v>
      </c>
    </row>
    <row r="141" spans="3:6" x14ac:dyDescent="0.25">
      <c r="C141" s="2" t="s">
        <v>15397</v>
      </c>
      <c r="D141" s="2" t="s">
        <v>122</v>
      </c>
      <c r="E141" s="2">
        <v>100</v>
      </c>
      <c r="F141" s="2">
        <v>2013.479</v>
      </c>
    </row>
    <row r="142" spans="3:6" x14ac:dyDescent="0.25">
      <c r="C142" s="2" t="s">
        <v>15398</v>
      </c>
      <c r="D142" s="2" t="s">
        <v>122</v>
      </c>
      <c r="E142" s="2">
        <v>100</v>
      </c>
      <c r="F142" s="2">
        <v>2065.72</v>
      </c>
    </row>
    <row r="143" spans="3:6" x14ac:dyDescent="0.25">
      <c r="C143" s="2" t="s">
        <v>15399</v>
      </c>
      <c r="D143" s="2" t="s">
        <v>122</v>
      </c>
      <c r="E143" s="2">
        <v>100</v>
      </c>
      <c r="F143" s="2">
        <v>1960.44</v>
      </c>
    </row>
    <row r="144" spans="3:6" x14ac:dyDescent="0.25">
      <c r="C144" s="2" t="s">
        <v>15400</v>
      </c>
      <c r="D144" s="2" t="s">
        <v>122</v>
      </c>
      <c r="E144" s="2">
        <v>100</v>
      </c>
      <c r="F144" s="2">
        <v>2012.259</v>
      </c>
    </row>
    <row r="145" spans="3:6" x14ac:dyDescent="0.25">
      <c r="C145" s="2" t="s">
        <v>15401</v>
      </c>
      <c r="D145" s="2" t="s">
        <v>122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324</v>
      </c>
      <c r="C147" s="2" t="s">
        <v>15402</v>
      </c>
      <c r="D147" s="2" t="s">
        <v>27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15403</v>
      </c>
      <c r="D148" s="2" t="s">
        <v>27</v>
      </c>
      <c r="E148" s="2">
        <v>98</v>
      </c>
      <c r="F148" s="2">
        <v>1942.26</v>
      </c>
    </row>
    <row r="149" spans="3:6" x14ac:dyDescent="0.25">
      <c r="C149" s="2" t="s">
        <v>15404</v>
      </c>
      <c r="D149" s="2" t="s">
        <v>27</v>
      </c>
      <c r="E149" s="2">
        <v>33</v>
      </c>
      <c r="F149" s="2">
        <v>570.46</v>
      </c>
    </row>
    <row r="150" spans="3:6" x14ac:dyDescent="0.25">
      <c r="C150" s="2" t="s">
        <v>15405</v>
      </c>
      <c r="D150" s="2" t="s">
        <v>27</v>
      </c>
      <c r="E150" s="2">
        <v>51</v>
      </c>
      <c r="F150" s="2">
        <v>912.89</v>
      </c>
    </row>
    <row r="151" spans="3:6" x14ac:dyDescent="0.25">
      <c r="C151" s="2" t="s">
        <v>15406</v>
      </c>
      <c r="D151" s="2" t="s">
        <v>27</v>
      </c>
      <c r="E151" s="2">
        <v>68</v>
      </c>
      <c r="F151" s="2">
        <v>1170.879</v>
      </c>
    </row>
    <row r="152" spans="3:6" x14ac:dyDescent="0.25">
      <c r="C152" s="2" t="s">
        <v>15407</v>
      </c>
      <c r="D152" s="2" t="s">
        <v>27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10</v>
      </c>
      <c r="C154" s="2" t="s">
        <v>15408</v>
      </c>
      <c r="D154" s="2" t="s">
        <v>12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15409</v>
      </c>
      <c r="D155" s="2" t="s">
        <v>12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15410</v>
      </c>
      <c r="C160" s="2" t="s">
        <v>15411</v>
      </c>
      <c r="D160" s="2" t="s">
        <v>42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15412</v>
      </c>
      <c r="D161" s="2" t="s">
        <v>42</v>
      </c>
      <c r="E161" s="2">
        <v>141</v>
      </c>
      <c r="F161" s="2">
        <v>2873.24</v>
      </c>
    </row>
    <row r="162" spans="3:6" x14ac:dyDescent="0.25">
      <c r="C162" s="2" t="s">
        <v>15413</v>
      </c>
      <c r="D162" s="2" t="s">
        <v>42</v>
      </c>
      <c r="E162" s="2">
        <v>117</v>
      </c>
      <c r="F162" s="2">
        <v>2732.28</v>
      </c>
    </row>
    <row r="163" spans="3:6" x14ac:dyDescent="0.25">
      <c r="C163" s="2" t="s">
        <v>15414</v>
      </c>
      <c r="D163" s="2" t="s">
        <v>42</v>
      </c>
      <c r="E163" s="2">
        <v>100</v>
      </c>
      <c r="F163" s="2">
        <v>1998.53</v>
      </c>
    </row>
    <row r="164" spans="3:6" x14ac:dyDescent="0.25">
      <c r="C164" s="2" t="s">
        <v>15415</v>
      </c>
      <c r="D164" s="2" t="s">
        <v>42</v>
      </c>
      <c r="E164" s="2">
        <v>75</v>
      </c>
      <c r="F164" s="2">
        <v>383.08</v>
      </c>
    </row>
    <row r="165" spans="3:6" x14ac:dyDescent="0.25">
      <c r="C165" s="2" t="s">
        <v>15416</v>
      </c>
      <c r="D165" s="2" t="s">
        <v>42</v>
      </c>
      <c r="E165" s="2">
        <v>30</v>
      </c>
      <c r="F165" s="2">
        <v>667.07</v>
      </c>
    </row>
    <row r="166" spans="3:6" x14ac:dyDescent="0.25">
      <c r="C166" s="2" t="s">
        <v>15417</v>
      </c>
      <c r="D166" s="2" t="s">
        <v>42</v>
      </c>
      <c r="E166" s="2">
        <v>59</v>
      </c>
      <c r="F166" s="2">
        <v>1295.8</v>
      </c>
    </row>
    <row r="167" spans="3:6" x14ac:dyDescent="0.25">
      <c r="C167" s="2" t="s">
        <v>15418</v>
      </c>
      <c r="D167" s="2" t="s">
        <v>42</v>
      </c>
      <c r="E167" s="2">
        <v>21</v>
      </c>
      <c r="F167" s="2">
        <v>373.579</v>
      </c>
    </row>
    <row r="168" spans="3:6" x14ac:dyDescent="0.25">
      <c r="C168" s="2" t="s">
        <v>15419</v>
      </c>
      <c r="D168" s="2" t="s">
        <v>42</v>
      </c>
      <c r="E168" s="2">
        <v>13</v>
      </c>
      <c r="F168" s="2">
        <v>202.689</v>
      </c>
    </row>
    <row r="169" spans="3:6" x14ac:dyDescent="0.25">
      <c r="C169" s="2" t="s">
        <v>15420</v>
      </c>
      <c r="D169" s="2" t="s">
        <v>42</v>
      </c>
      <c r="E169" s="2">
        <v>6</v>
      </c>
      <c r="F169" s="2">
        <v>161.52</v>
      </c>
    </row>
    <row r="170" spans="3:6" x14ac:dyDescent="0.25">
      <c r="C170" s="2" t="s">
        <v>15421</v>
      </c>
      <c r="D170" s="2" t="s">
        <v>42</v>
      </c>
      <c r="E170" s="2">
        <v>76</v>
      </c>
      <c r="F170" s="2">
        <v>1554.829</v>
      </c>
    </row>
    <row r="171" spans="3:6" x14ac:dyDescent="0.25">
      <c r="C171" s="2" t="s">
        <v>15422</v>
      </c>
      <c r="D171" s="2" t="s">
        <v>42</v>
      </c>
      <c r="E171" s="2">
        <v>52</v>
      </c>
      <c r="F171" s="2">
        <v>1047.83</v>
      </c>
    </row>
    <row r="172" spans="3:6" x14ac:dyDescent="0.25">
      <c r="C172" s="2" t="s">
        <v>15423</v>
      </c>
      <c r="D172" s="2" t="s">
        <v>42</v>
      </c>
      <c r="E172" s="2">
        <v>20</v>
      </c>
      <c r="F172" s="2">
        <v>107</v>
      </c>
    </row>
    <row r="173" spans="3:6" x14ac:dyDescent="0.25">
      <c r="C173" s="2" t="s">
        <v>15424</v>
      </c>
      <c r="D173" s="2" t="s">
        <v>42</v>
      </c>
      <c r="E173" s="2">
        <v>141</v>
      </c>
      <c r="F173" s="2">
        <v>2782.88</v>
      </c>
    </row>
    <row r="174" spans="3:6" x14ac:dyDescent="0.25">
      <c r="C174" s="2" t="s">
        <v>15425</v>
      </c>
      <c r="D174" s="2" t="s">
        <v>42</v>
      </c>
      <c r="E174" s="2">
        <v>97</v>
      </c>
      <c r="F174" s="2">
        <v>1800.604</v>
      </c>
    </row>
    <row r="175" spans="3:6" x14ac:dyDescent="0.25">
      <c r="C175" s="2" t="s">
        <v>15426</v>
      </c>
      <c r="D175" s="2" t="s">
        <v>42</v>
      </c>
      <c r="E175" s="2">
        <v>123</v>
      </c>
      <c r="F175" s="2">
        <v>2652.989</v>
      </c>
    </row>
    <row r="176" spans="3:6" x14ac:dyDescent="0.25">
      <c r="C176" s="2" t="s">
        <v>15427</v>
      </c>
      <c r="D176" s="2" t="s">
        <v>42</v>
      </c>
      <c r="E176" s="2">
        <v>141</v>
      </c>
      <c r="F176" s="2">
        <v>2955.6</v>
      </c>
    </row>
    <row r="177" spans="3:6" x14ac:dyDescent="0.25">
      <c r="C177" s="2" t="s">
        <v>15428</v>
      </c>
      <c r="D177" s="2" t="s">
        <v>42</v>
      </c>
      <c r="E177" s="2">
        <v>26</v>
      </c>
      <c r="F177" s="2">
        <v>559.92</v>
      </c>
    </row>
    <row r="178" spans="3:6" x14ac:dyDescent="0.25">
      <c r="C178" s="2" t="s">
        <v>15429</v>
      </c>
      <c r="D178" s="2" t="s">
        <v>42</v>
      </c>
      <c r="E178" s="2">
        <v>75</v>
      </c>
      <c r="F178" s="2">
        <v>400.23</v>
      </c>
    </row>
    <row r="179" spans="3:6" x14ac:dyDescent="0.25">
      <c r="C179" s="2" t="s">
        <v>15430</v>
      </c>
      <c r="D179" s="2" t="s">
        <v>42</v>
      </c>
      <c r="E179" s="2">
        <v>10</v>
      </c>
      <c r="F179" s="2">
        <v>197.86</v>
      </c>
    </row>
    <row r="180" spans="3:6" x14ac:dyDescent="0.25">
      <c r="C180" s="2" t="s">
        <v>15431</v>
      </c>
      <c r="D180" s="2" t="s">
        <v>42</v>
      </c>
      <c r="E180" s="2">
        <v>65</v>
      </c>
      <c r="F180" s="2">
        <v>1298.04</v>
      </c>
    </row>
    <row r="181" spans="3:6" x14ac:dyDescent="0.25">
      <c r="C181" s="2" t="s">
        <v>15432</v>
      </c>
      <c r="D181" s="2" t="s">
        <v>42</v>
      </c>
      <c r="E181" s="2">
        <v>94</v>
      </c>
      <c r="F181" s="2">
        <v>1836.468</v>
      </c>
    </row>
    <row r="182" spans="3:6" x14ac:dyDescent="0.25">
      <c r="C182" s="2" t="s">
        <v>15433</v>
      </c>
      <c r="D182" s="2" t="s">
        <v>42</v>
      </c>
      <c r="E182" s="2">
        <v>134</v>
      </c>
      <c r="F182" s="2">
        <v>2691.95</v>
      </c>
    </row>
    <row r="183" spans="3:6" x14ac:dyDescent="0.25">
      <c r="C183" s="2" t="s">
        <v>15434</v>
      </c>
      <c r="D183" s="2" t="s">
        <v>42</v>
      </c>
      <c r="E183" s="2">
        <v>69</v>
      </c>
      <c r="F183" s="2">
        <v>1335.639</v>
      </c>
    </row>
    <row r="184" spans="3:6" x14ac:dyDescent="0.25">
      <c r="C184" s="2" t="s">
        <v>15435</v>
      </c>
      <c r="D184" s="2" t="s">
        <v>42</v>
      </c>
      <c r="E184" s="2">
        <v>80</v>
      </c>
      <c r="F184" s="2">
        <v>1312.248</v>
      </c>
    </row>
    <row r="185" spans="3:6" x14ac:dyDescent="0.25">
      <c r="C185" s="2" t="s">
        <v>15436</v>
      </c>
      <c r="D185" s="2" t="s">
        <v>42</v>
      </c>
      <c r="E185" s="2">
        <v>123</v>
      </c>
      <c r="F185" s="2">
        <v>2405.68</v>
      </c>
    </row>
    <row r="186" spans="3:6" x14ac:dyDescent="0.25">
      <c r="C186" s="2" t="s">
        <v>15437</v>
      </c>
      <c r="D186" s="2" t="s">
        <v>42</v>
      </c>
      <c r="E186" s="2">
        <v>8</v>
      </c>
      <c r="F186" s="2">
        <v>102.94</v>
      </c>
    </row>
    <row r="187" spans="3:6" x14ac:dyDescent="0.25">
      <c r="C187" s="2" t="s">
        <v>15438</v>
      </c>
      <c r="D187" s="2" t="s">
        <v>42</v>
      </c>
      <c r="E187" s="2">
        <v>24</v>
      </c>
      <c r="F187" s="2">
        <v>515.69</v>
      </c>
    </row>
    <row r="188" spans="3:6" x14ac:dyDescent="0.25">
      <c r="C188" s="2" t="s">
        <v>15439</v>
      </c>
      <c r="D188" s="2" t="s">
        <v>42</v>
      </c>
      <c r="E188" s="2">
        <v>20</v>
      </c>
      <c r="F188" s="2">
        <v>400.71</v>
      </c>
    </row>
    <row r="189" spans="3:6" x14ac:dyDescent="0.25">
      <c r="C189" s="2" t="s">
        <v>15440</v>
      </c>
      <c r="D189" s="2" t="s">
        <v>42</v>
      </c>
      <c r="E189" s="2">
        <v>100</v>
      </c>
      <c r="F189" s="2">
        <v>2023.13</v>
      </c>
    </row>
    <row r="190" spans="3:6" x14ac:dyDescent="0.25">
      <c r="C190" s="2" t="s">
        <v>15441</v>
      </c>
      <c r="D190" s="2" t="s">
        <v>42</v>
      </c>
      <c r="E190" s="2">
        <v>100</v>
      </c>
      <c r="F190" s="2">
        <v>2023.26</v>
      </c>
    </row>
    <row r="191" spans="3:6" x14ac:dyDescent="0.25">
      <c r="C191" s="2" t="s">
        <v>15442</v>
      </c>
      <c r="D191" s="2" t="s">
        <v>42</v>
      </c>
      <c r="E191" s="2">
        <v>141</v>
      </c>
      <c r="F191" s="2">
        <v>2988.35</v>
      </c>
    </row>
    <row r="192" spans="3:6" x14ac:dyDescent="0.25">
      <c r="C192" s="2" t="s">
        <v>15443</v>
      </c>
      <c r="D192" s="2" t="s">
        <v>42</v>
      </c>
      <c r="E192" s="2">
        <v>141</v>
      </c>
      <c r="F192" s="2">
        <v>2762.98</v>
      </c>
    </row>
    <row r="193" spans="3:6" x14ac:dyDescent="0.25">
      <c r="C193" s="2" t="s">
        <v>15444</v>
      </c>
      <c r="D193" s="2" t="s">
        <v>42</v>
      </c>
      <c r="E193" s="2">
        <v>55</v>
      </c>
      <c r="F193" s="2">
        <v>1021.189</v>
      </c>
    </row>
    <row r="194" spans="3:6" x14ac:dyDescent="0.25">
      <c r="C194" s="2" t="s">
        <v>15445</v>
      </c>
      <c r="D194" s="2" t="s">
        <v>42</v>
      </c>
      <c r="E194" s="2">
        <v>141</v>
      </c>
      <c r="F194" s="2">
        <v>2901.408</v>
      </c>
    </row>
    <row r="195" spans="3:6" x14ac:dyDescent="0.25">
      <c r="C195" s="2" t="s">
        <v>15446</v>
      </c>
      <c r="D195" s="2" t="s">
        <v>42</v>
      </c>
      <c r="E195" s="2">
        <v>102</v>
      </c>
      <c r="F195" s="2">
        <v>2267.73</v>
      </c>
    </row>
    <row r="196" spans="3:6" x14ac:dyDescent="0.25">
      <c r="C196" s="2" t="s">
        <v>15447</v>
      </c>
      <c r="D196" s="2" t="s">
        <v>42</v>
      </c>
      <c r="E196" s="2">
        <v>47</v>
      </c>
      <c r="F196" s="2">
        <v>920.53</v>
      </c>
    </row>
    <row r="197" spans="3:6" x14ac:dyDescent="0.25">
      <c r="C197" s="2" t="s">
        <v>15448</v>
      </c>
      <c r="D197" s="2" t="s">
        <v>42</v>
      </c>
      <c r="E197" s="2">
        <v>86</v>
      </c>
      <c r="F197" s="2">
        <v>1701.12</v>
      </c>
    </row>
    <row r="198" spans="3:6" x14ac:dyDescent="0.25">
      <c r="C198" s="2" t="s">
        <v>15449</v>
      </c>
      <c r="D198" s="2" t="s">
        <v>42</v>
      </c>
      <c r="E198" s="2">
        <v>31</v>
      </c>
      <c r="F198" s="2">
        <v>632.49</v>
      </c>
    </row>
    <row r="199" spans="3:6" x14ac:dyDescent="0.25">
      <c r="C199" s="2" t="s">
        <v>15450</v>
      </c>
      <c r="D199" s="2" t="s">
        <v>42</v>
      </c>
      <c r="E199" s="2">
        <v>29</v>
      </c>
      <c r="F199" s="2">
        <v>624.82</v>
      </c>
    </row>
    <row r="200" spans="3:6" x14ac:dyDescent="0.25">
      <c r="C200" s="2" t="s">
        <v>15451</v>
      </c>
      <c r="D200" s="2" t="s">
        <v>42</v>
      </c>
      <c r="E200" s="2">
        <v>11</v>
      </c>
      <c r="F200" s="2">
        <v>165.14</v>
      </c>
    </row>
    <row r="201" spans="3:6" x14ac:dyDescent="0.25">
      <c r="C201" s="2" t="s">
        <v>15452</v>
      </c>
      <c r="D201" s="2" t="s">
        <v>42</v>
      </c>
      <c r="E201" s="2">
        <v>63</v>
      </c>
      <c r="F201" s="2">
        <v>1318.01</v>
      </c>
    </row>
    <row r="202" spans="3:6" x14ac:dyDescent="0.25">
      <c r="C202" s="2" t="s">
        <v>15453</v>
      </c>
      <c r="D202" s="2" t="s">
        <v>42</v>
      </c>
      <c r="E202" s="2">
        <v>30</v>
      </c>
      <c r="F202" s="2">
        <v>158.88</v>
      </c>
    </row>
    <row r="203" spans="3:6" x14ac:dyDescent="0.25">
      <c r="C203" s="2" t="s">
        <v>15454</v>
      </c>
      <c r="D203" s="2" t="s">
        <v>42</v>
      </c>
      <c r="E203" s="2">
        <v>55</v>
      </c>
      <c r="F203" s="2">
        <v>745.512</v>
      </c>
    </row>
    <row r="204" spans="3:6" x14ac:dyDescent="0.25">
      <c r="C204" s="2" t="s">
        <v>15455</v>
      </c>
      <c r="D204" s="2" t="s">
        <v>42</v>
      </c>
      <c r="E204" s="2">
        <v>34</v>
      </c>
      <c r="F204" s="2">
        <v>661.57</v>
      </c>
    </row>
    <row r="205" spans="3:6" x14ac:dyDescent="0.25">
      <c r="C205" s="2" t="s">
        <v>15456</v>
      </c>
      <c r="D205" s="2" t="s">
        <v>42</v>
      </c>
      <c r="E205" s="2">
        <v>109</v>
      </c>
      <c r="F205" s="2">
        <v>2164.99</v>
      </c>
    </row>
    <row r="206" spans="3:6" x14ac:dyDescent="0.25">
      <c r="C206" s="2" t="s">
        <v>15457</v>
      </c>
      <c r="D206" s="2" t="s">
        <v>42</v>
      </c>
      <c r="E206" s="2">
        <v>80</v>
      </c>
      <c r="F206" s="2">
        <v>1576.49</v>
      </c>
    </row>
    <row r="207" spans="3:6" x14ac:dyDescent="0.25">
      <c r="C207" s="2" t="s">
        <v>15458</v>
      </c>
      <c r="D207" s="2" t="s">
        <v>42</v>
      </c>
      <c r="E207" s="2">
        <v>32</v>
      </c>
      <c r="F207" s="2">
        <v>662.74</v>
      </c>
    </row>
    <row r="208" spans="3:6" x14ac:dyDescent="0.25">
      <c r="C208" s="2" t="s">
        <v>15459</v>
      </c>
      <c r="D208" s="2" t="s">
        <v>42</v>
      </c>
      <c r="E208" s="2">
        <v>61</v>
      </c>
      <c r="F208" s="2">
        <v>1356.56</v>
      </c>
    </row>
    <row r="209" spans="3:6" x14ac:dyDescent="0.25">
      <c r="C209" s="2" t="s">
        <v>15460</v>
      </c>
      <c r="D209" s="2" t="s">
        <v>42</v>
      </c>
      <c r="E209" s="2">
        <v>141</v>
      </c>
      <c r="F209" s="2">
        <v>2925.88</v>
      </c>
    </row>
    <row r="210" spans="3:6" x14ac:dyDescent="0.25">
      <c r="C210" s="2" t="s">
        <v>15461</v>
      </c>
      <c r="D210" s="2" t="s">
        <v>42</v>
      </c>
      <c r="E210" s="2">
        <v>46</v>
      </c>
      <c r="F210" s="2">
        <v>914.309</v>
      </c>
    </row>
    <row r="211" spans="3:6" x14ac:dyDescent="0.25">
      <c r="C211" s="2" t="s">
        <v>15462</v>
      </c>
      <c r="D211" s="2" t="s">
        <v>42</v>
      </c>
      <c r="E211" s="2">
        <v>54</v>
      </c>
      <c r="F211" s="2">
        <v>1044.72</v>
      </c>
    </row>
    <row r="212" spans="3:6" x14ac:dyDescent="0.25">
      <c r="C212" s="2" t="s">
        <v>15463</v>
      </c>
      <c r="D212" s="2" t="s">
        <v>42</v>
      </c>
      <c r="E212" s="2">
        <v>34</v>
      </c>
      <c r="F212" s="2">
        <v>723.18</v>
      </c>
    </row>
    <row r="213" spans="3:6" x14ac:dyDescent="0.25">
      <c r="C213" s="2" t="s">
        <v>15464</v>
      </c>
      <c r="D213" s="2" t="s">
        <v>42</v>
      </c>
      <c r="E213" s="2">
        <v>41</v>
      </c>
      <c r="F213" s="2">
        <v>794.49</v>
      </c>
    </row>
    <row r="214" spans="3:6" x14ac:dyDescent="0.25">
      <c r="C214" s="2" t="s">
        <v>15465</v>
      </c>
      <c r="D214" s="2" t="s">
        <v>42</v>
      </c>
      <c r="E214" s="2">
        <v>72</v>
      </c>
      <c r="F214" s="2">
        <v>1552.81</v>
      </c>
    </row>
    <row r="215" spans="3:6" x14ac:dyDescent="0.25">
      <c r="C215" s="2" t="s">
        <v>15466</v>
      </c>
      <c r="D215" s="2" t="s">
        <v>42</v>
      </c>
      <c r="E215" s="2">
        <v>35</v>
      </c>
      <c r="F215" s="2">
        <v>566.119</v>
      </c>
    </row>
    <row r="216" spans="3:6" x14ac:dyDescent="0.25">
      <c r="C216" s="2" t="s">
        <v>15467</v>
      </c>
      <c r="D216" s="2" t="s">
        <v>42</v>
      </c>
      <c r="E216" s="2">
        <v>20</v>
      </c>
      <c r="F216" s="2">
        <v>366.72</v>
      </c>
    </row>
    <row r="217" spans="3:6" x14ac:dyDescent="0.25">
      <c r="C217" s="2" t="s">
        <v>15468</v>
      </c>
      <c r="D217" s="2" t="s">
        <v>42</v>
      </c>
      <c r="E217" s="2">
        <v>70</v>
      </c>
      <c r="F217" s="2">
        <v>1399.059</v>
      </c>
    </row>
    <row r="218" spans="3:6" x14ac:dyDescent="0.25">
      <c r="C218" s="2" t="s">
        <v>15469</v>
      </c>
      <c r="D218" s="2" t="s">
        <v>42</v>
      </c>
      <c r="E218" s="2">
        <v>111</v>
      </c>
      <c r="F218" s="2">
        <v>2406.23</v>
      </c>
    </row>
    <row r="219" spans="3:6" x14ac:dyDescent="0.25">
      <c r="C219" s="2" t="s">
        <v>15470</v>
      </c>
      <c r="D219" s="2" t="s">
        <v>42</v>
      </c>
      <c r="E219" s="2">
        <v>80</v>
      </c>
      <c r="F219" s="2">
        <v>1671.829</v>
      </c>
    </row>
    <row r="220" spans="3:6" x14ac:dyDescent="0.25">
      <c r="C220" s="2" t="s">
        <v>15471</v>
      </c>
      <c r="D220" s="2" t="s">
        <v>42</v>
      </c>
      <c r="E220" s="2">
        <v>15</v>
      </c>
      <c r="F220" s="2">
        <v>362.63</v>
      </c>
    </row>
    <row r="221" spans="3:6" x14ac:dyDescent="0.25">
      <c r="C221" s="2" t="s">
        <v>15472</v>
      </c>
      <c r="D221" s="2" t="s">
        <v>42</v>
      </c>
      <c r="E221" s="2">
        <v>141</v>
      </c>
      <c r="F221" s="2">
        <v>2854.57</v>
      </c>
    </row>
    <row r="222" spans="3:6" x14ac:dyDescent="0.25">
      <c r="C222" s="2" t="s">
        <v>15473</v>
      </c>
      <c r="D222" s="2" t="s">
        <v>42</v>
      </c>
      <c r="E222" s="2">
        <v>141</v>
      </c>
      <c r="F222" s="2">
        <v>2881.15</v>
      </c>
    </row>
    <row r="223" spans="3:6" x14ac:dyDescent="0.25">
      <c r="C223" s="2" t="s">
        <v>15474</v>
      </c>
      <c r="D223" s="2" t="s">
        <v>42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15475</v>
      </c>
      <c r="C225" s="2" t="s">
        <v>15476</v>
      </c>
      <c r="D225" s="2" t="s">
        <v>122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15477</v>
      </c>
      <c r="D226" s="2" t="s">
        <v>122</v>
      </c>
      <c r="E226" s="2">
        <v>104</v>
      </c>
      <c r="F226" s="2">
        <v>1321.201</v>
      </c>
    </row>
    <row r="227" spans="3:6" x14ac:dyDescent="0.25">
      <c r="C227" s="2" t="s">
        <v>15478</v>
      </c>
      <c r="D227" s="2" t="s">
        <v>122</v>
      </c>
      <c r="E227" s="2">
        <v>143</v>
      </c>
      <c r="F227" s="2">
        <v>276.616</v>
      </c>
    </row>
    <row r="228" spans="3:6" x14ac:dyDescent="0.25">
      <c r="C228" s="2" t="s">
        <v>15479</v>
      </c>
      <c r="D228" s="2" t="s">
        <v>122</v>
      </c>
      <c r="E228" s="2">
        <v>143</v>
      </c>
      <c r="F228" s="2">
        <v>768.823</v>
      </c>
    </row>
    <row r="229" spans="3:6" x14ac:dyDescent="0.25">
      <c r="C229" s="2" t="s">
        <v>15480</v>
      </c>
      <c r="D229" s="2" t="s">
        <v>122</v>
      </c>
      <c r="E229" s="2">
        <v>144</v>
      </c>
      <c r="F229" s="2">
        <v>2145.741</v>
      </c>
    </row>
    <row r="230" spans="3:6" x14ac:dyDescent="0.25">
      <c r="C230" s="2" t="s">
        <v>15481</v>
      </c>
      <c r="D230" s="2" t="s">
        <v>122</v>
      </c>
      <c r="E230" s="2">
        <v>141</v>
      </c>
      <c r="F230" s="2">
        <v>2972.54</v>
      </c>
    </row>
    <row r="231" spans="3:6" x14ac:dyDescent="0.25">
      <c r="C231" s="2" t="s">
        <v>15482</v>
      </c>
      <c r="D231" s="2" t="s">
        <v>122</v>
      </c>
      <c r="E231" s="2">
        <v>141</v>
      </c>
      <c r="F231" s="2">
        <v>2783.81</v>
      </c>
    </row>
    <row r="232" spans="3:6" x14ac:dyDescent="0.25">
      <c r="C232" s="2" t="s">
        <v>15483</v>
      </c>
      <c r="D232" s="2" t="s">
        <v>122</v>
      </c>
      <c r="E232" s="2">
        <v>141</v>
      </c>
      <c r="F232" s="2">
        <v>2814.619</v>
      </c>
    </row>
    <row r="233" spans="3:6" x14ac:dyDescent="0.25">
      <c r="C233" s="2" t="s">
        <v>15484</v>
      </c>
      <c r="D233" s="2" t="s">
        <v>122</v>
      </c>
      <c r="E233" s="2">
        <v>141</v>
      </c>
      <c r="F233" s="2">
        <v>2819.23</v>
      </c>
    </row>
    <row r="234" spans="3:6" x14ac:dyDescent="0.25">
      <c r="C234" s="2" t="s">
        <v>15485</v>
      </c>
      <c r="D234" s="2" t="s">
        <v>122</v>
      </c>
      <c r="E234" s="2">
        <v>142</v>
      </c>
      <c r="F234" s="2">
        <f>2734.85+118.26</f>
        <v>2853.11</v>
      </c>
    </row>
    <row r="235" spans="3:6" x14ac:dyDescent="0.25">
      <c r="C235" s="2" t="s">
        <v>15486</v>
      </c>
      <c r="D235" s="2" t="s">
        <v>122</v>
      </c>
      <c r="E235" s="2">
        <v>50</v>
      </c>
      <c r="F235" s="2">
        <f>596.45+412.319</f>
        <v>1008.769</v>
      </c>
    </row>
    <row r="236" spans="3:6" x14ac:dyDescent="0.25">
      <c r="C236" s="2" t="s">
        <v>15487</v>
      </c>
      <c r="D236" s="2" t="s">
        <v>122</v>
      </c>
      <c r="E236" s="2">
        <v>23</v>
      </c>
      <c r="F236" s="2">
        <v>304.85</v>
      </c>
    </row>
    <row r="237" spans="3:6" x14ac:dyDescent="0.25">
      <c r="C237" s="2" t="s">
        <v>15488</v>
      </c>
      <c r="D237" s="2" t="s">
        <v>122</v>
      </c>
      <c r="E237" s="2">
        <v>18</v>
      </c>
      <c r="F237" s="2">
        <f>118.77+311.24</f>
        <v>430.01</v>
      </c>
    </row>
    <row r="238" spans="3:6" x14ac:dyDescent="0.25">
      <c r="C238" s="2" t="s">
        <v>15489</v>
      </c>
      <c r="D238" s="2" t="s">
        <v>122</v>
      </c>
      <c r="E238" s="2">
        <v>24</v>
      </c>
      <c r="F238" s="2">
        <f>104+182.687</f>
        <v>286.687</v>
      </c>
    </row>
    <row r="239" spans="3:6" x14ac:dyDescent="0.25">
      <c r="C239" s="2" t="s">
        <v>15490</v>
      </c>
      <c r="D239" s="2" t="s">
        <v>122</v>
      </c>
      <c r="E239" s="2">
        <v>8</v>
      </c>
      <c r="F239" s="2">
        <f>64.3+60.37</f>
        <v>124.66999999999999</v>
      </c>
    </row>
    <row r="240" spans="3:6" x14ac:dyDescent="0.25">
      <c r="C240" s="2" t="s">
        <v>15491</v>
      </c>
      <c r="D240" s="2" t="s">
        <v>122</v>
      </c>
      <c r="E240" s="2">
        <v>18</v>
      </c>
      <c r="F240" s="2">
        <f>19.75+290.94</f>
        <v>310.69</v>
      </c>
    </row>
    <row r="241" spans="3:6" x14ac:dyDescent="0.25">
      <c r="C241" s="2" t="s">
        <v>15492</v>
      </c>
      <c r="D241" s="2" t="s">
        <v>122</v>
      </c>
      <c r="E241" s="2">
        <v>141</v>
      </c>
      <c r="F241" s="2">
        <v>2790.61</v>
      </c>
    </row>
    <row r="242" spans="3:6" x14ac:dyDescent="0.25">
      <c r="C242" s="2" t="s">
        <v>15493</v>
      </c>
      <c r="D242" s="2" t="s">
        <v>122</v>
      </c>
      <c r="E242" s="2">
        <v>141</v>
      </c>
      <c r="F242" s="2">
        <v>2681.766</v>
      </c>
    </row>
    <row r="243" spans="3:6" x14ac:dyDescent="0.25">
      <c r="C243" s="2" t="s">
        <v>15494</v>
      </c>
      <c r="D243" s="2" t="s">
        <v>122</v>
      </c>
      <c r="E243" s="2">
        <v>141</v>
      </c>
      <c r="F243" s="2">
        <v>2841.37</v>
      </c>
    </row>
    <row r="244" spans="3:6" x14ac:dyDescent="0.25">
      <c r="C244" s="2" t="s">
        <v>15495</v>
      </c>
      <c r="D244" s="2" t="s">
        <v>122</v>
      </c>
      <c r="E244" s="2">
        <v>141</v>
      </c>
      <c r="F244" s="2">
        <v>2773.869</v>
      </c>
    </row>
    <row r="245" spans="3:6" x14ac:dyDescent="0.25">
      <c r="C245" s="2" t="s">
        <v>15496</v>
      </c>
      <c r="D245" s="2" t="s">
        <v>122</v>
      </c>
      <c r="E245" s="2">
        <v>67</v>
      </c>
      <c r="F245" s="2">
        <v>1257.129</v>
      </c>
    </row>
    <row r="246" spans="3:6" x14ac:dyDescent="0.25">
      <c r="C246" s="2" t="s">
        <v>15497</v>
      </c>
      <c r="D246" s="2" t="s">
        <v>122</v>
      </c>
      <c r="E246" s="2">
        <v>36</v>
      </c>
      <c r="F246" s="2">
        <v>716.86</v>
      </c>
    </row>
    <row r="247" spans="3:6" x14ac:dyDescent="0.25">
      <c r="C247" s="2" t="s">
        <v>15498</v>
      </c>
      <c r="D247" s="2" t="s">
        <v>122</v>
      </c>
      <c r="E247" s="2">
        <v>38</v>
      </c>
      <c r="F247" s="2">
        <v>738.51</v>
      </c>
    </row>
    <row r="248" spans="3:6" x14ac:dyDescent="0.25">
      <c r="C248" s="2" t="s">
        <v>15499</v>
      </c>
      <c r="D248" s="2" t="s">
        <v>122</v>
      </c>
      <c r="E248" s="2">
        <v>144</v>
      </c>
      <c r="F248" s="2">
        <v>1480.331</v>
      </c>
    </row>
    <row r="249" spans="3:6" x14ac:dyDescent="0.25">
      <c r="C249" s="2" t="s">
        <v>15500</v>
      </c>
      <c r="D249" s="2" t="s">
        <v>122</v>
      </c>
      <c r="E249" s="2">
        <v>146</v>
      </c>
      <c r="F249" s="2">
        <v>2299.393</v>
      </c>
    </row>
    <row r="250" spans="3:6" x14ac:dyDescent="0.25">
      <c r="C250" s="2" t="s">
        <v>15501</v>
      </c>
      <c r="D250" s="2" t="s">
        <v>122</v>
      </c>
      <c r="E250" s="2">
        <v>37</v>
      </c>
      <c r="F250" s="2">
        <v>767.069</v>
      </c>
    </row>
    <row r="251" spans="3:6" x14ac:dyDescent="0.25">
      <c r="C251" s="2" t="s">
        <v>15502</v>
      </c>
      <c r="D251" s="2" t="s">
        <v>122</v>
      </c>
      <c r="E251" s="2">
        <v>46</v>
      </c>
      <c r="F251" s="2">
        <v>930.17</v>
      </c>
    </row>
    <row r="252" spans="3:6" x14ac:dyDescent="0.25">
      <c r="C252" s="2" t="s">
        <v>15503</v>
      </c>
      <c r="D252" s="2" t="s">
        <v>122</v>
      </c>
      <c r="E252" s="2">
        <v>42</v>
      </c>
      <c r="F252" s="2">
        <v>839.33</v>
      </c>
    </row>
    <row r="253" spans="3:6" x14ac:dyDescent="0.25">
      <c r="C253" s="2" t="s">
        <v>15504</v>
      </c>
      <c r="D253" s="2" t="s">
        <v>122</v>
      </c>
      <c r="E253" s="2">
        <v>56</v>
      </c>
      <c r="F253" s="2">
        <v>1117.63</v>
      </c>
    </row>
    <row r="254" spans="3:6" x14ac:dyDescent="0.25">
      <c r="C254" s="2" t="s">
        <v>15505</v>
      </c>
      <c r="D254" s="2" t="s">
        <v>122</v>
      </c>
      <c r="E254" s="2">
        <v>23</v>
      </c>
      <c r="F254" s="2">
        <v>456.61</v>
      </c>
    </row>
    <row r="255" spans="3:6" x14ac:dyDescent="0.25">
      <c r="C255" s="2" t="s">
        <v>15506</v>
      </c>
      <c r="D255" s="2" t="s">
        <v>122</v>
      </c>
      <c r="E255" s="2">
        <v>102</v>
      </c>
      <c r="F255" s="2">
        <v>2049.39</v>
      </c>
    </row>
    <row r="256" spans="3:6" x14ac:dyDescent="0.25">
      <c r="C256" s="2" t="s">
        <v>15507</v>
      </c>
      <c r="D256" s="2" t="s">
        <v>122</v>
      </c>
      <c r="E256" s="2">
        <v>75</v>
      </c>
      <c r="F256" s="2">
        <v>1483.57</v>
      </c>
    </row>
    <row r="257" spans="3:6" x14ac:dyDescent="0.25">
      <c r="C257" s="2" t="s">
        <v>15508</v>
      </c>
      <c r="D257" s="2" t="s">
        <v>122</v>
      </c>
      <c r="E257" s="2">
        <v>15</v>
      </c>
      <c r="F257" s="2">
        <v>62.72</v>
      </c>
    </row>
    <row r="258" spans="3:6" x14ac:dyDescent="0.25">
      <c r="C258" s="2" t="s">
        <v>15509</v>
      </c>
      <c r="D258" s="2" t="s">
        <v>122</v>
      </c>
      <c r="E258" s="2">
        <v>60</v>
      </c>
      <c r="F258" s="2">
        <v>258.3</v>
      </c>
    </row>
    <row r="259" spans="3:6" x14ac:dyDescent="0.25">
      <c r="C259" s="2" t="s">
        <v>15510</v>
      </c>
      <c r="D259" s="2" t="s">
        <v>122</v>
      </c>
      <c r="E259" s="2">
        <v>141</v>
      </c>
      <c r="F259" s="2">
        <v>2876.37</v>
      </c>
    </row>
    <row r="260" spans="3:6" x14ac:dyDescent="0.25">
      <c r="C260" s="2" t="s">
        <v>15511</v>
      </c>
      <c r="D260" s="2" t="s">
        <v>122</v>
      </c>
      <c r="E260" s="2">
        <v>52</v>
      </c>
      <c r="F260" s="2">
        <v>1031.35</v>
      </c>
    </row>
    <row r="261" spans="3:6" x14ac:dyDescent="0.25">
      <c r="C261" s="2" t="s">
        <v>15512</v>
      </c>
      <c r="D261" s="2" t="s">
        <v>122</v>
      </c>
      <c r="E261" s="2">
        <v>51</v>
      </c>
      <c r="F261" s="2">
        <v>1047.99</v>
      </c>
    </row>
    <row r="262" spans="3:6" x14ac:dyDescent="0.25">
      <c r="C262" s="2" t="s">
        <v>15513</v>
      </c>
      <c r="D262" s="2" t="s">
        <v>122</v>
      </c>
      <c r="E262" s="2">
        <v>38</v>
      </c>
      <c r="F262" s="2">
        <v>668.22</v>
      </c>
    </row>
    <row r="263" spans="3:6" x14ac:dyDescent="0.25">
      <c r="C263" s="2" t="s">
        <v>15514</v>
      </c>
      <c r="D263" s="2" t="s">
        <v>122</v>
      </c>
      <c r="E263" s="2">
        <v>110</v>
      </c>
      <c r="F263" s="2">
        <v>1846.799</v>
      </c>
    </row>
    <row r="264" spans="3:6" x14ac:dyDescent="0.25">
      <c r="C264" s="2" t="s">
        <v>15515</v>
      </c>
      <c r="D264" s="2" t="s">
        <v>122</v>
      </c>
      <c r="E264" s="2">
        <v>21</v>
      </c>
      <c r="F264" s="2">
        <v>306.12</v>
      </c>
    </row>
    <row r="265" spans="3:6" x14ac:dyDescent="0.25">
      <c r="C265" s="2" t="s">
        <v>15516</v>
      </c>
      <c r="D265" s="2" t="s">
        <v>122</v>
      </c>
      <c r="E265" s="2">
        <v>12</v>
      </c>
      <c r="F265" s="2">
        <v>243.27</v>
      </c>
    </row>
    <row r="266" spans="3:6" x14ac:dyDescent="0.25">
      <c r="C266" s="2" t="s">
        <v>15517</v>
      </c>
      <c r="D266" s="2" t="s">
        <v>122</v>
      </c>
      <c r="E266" s="2">
        <v>102</v>
      </c>
      <c r="F266" s="2">
        <v>1997.77</v>
      </c>
    </row>
    <row r="267" spans="3:6" x14ac:dyDescent="0.25">
      <c r="C267" s="2" t="s">
        <v>15518</v>
      </c>
      <c r="D267" s="2" t="s">
        <v>122</v>
      </c>
      <c r="E267" s="2">
        <v>102</v>
      </c>
      <c r="F267" s="2">
        <v>1962.48</v>
      </c>
    </row>
    <row r="268" spans="3:6" x14ac:dyDescent="0.25">
      <c r="C268" s="2" t="s">
        <v>15519</v>
      </c>
      <c r="D268" s="2" t="s">
        <v>122</v>
      </c>
      <c r="E268" s="2">
        <v>60</v>
      </c>
      <c r="F268" s="2">
        <v>1077.538</v>
      </c>
    </row>
    <row r="269" spans="3:6" x14ac:dyDescent="0.25">
      <c r="C269" s="2" t="s">
        <v>15520</v>
      </c>
      <c r="D269" s="2" t="s">
        <v>122</v>
      </c>
      <c r="E269" s="2">
        <v>35</v>
      </c>
      <c r="F269" s="2">
        <v>212.467</v>
      </c>
    </row>
    <row r="270" spans="3:6" x14ac:dyDescent="0.25">
      <c r="C270" s="2" t="s">
        <v>15521</v>
      </c>
      <c r="D270" s="2" t="s">
        <v>122</v>
      </c>
      <c r="E270" s="2">
        <v>102</v>
      </c>
      <c r="F270" s="2">
        <v>2078.19</v>
      </c>
    </row>
    <row r="271" spans="3:6" x14ac:dyDescent="0.25">
      <c r="C271" s="2" t="s">
        <v>15522</v>
      </c>
      <c r="D271" s="2" t="s">
        <v>122</v>
      </c>
      <c r="E271" s="2">
        <v>58</v>
      </c>
      <c r="F271" s="2">
        <v>1194.59</v>
      </c>
    </row>
    <row r="272" spans="3:6" x14ac:dyDescent="0.25">
      <c r="C272" s="2" t="s">
        <v>15523</v>
      </c>
      <c r="D272" s="2" t="s">
        <v>122</v>
      </c>
      <c r="E272" s="2">
        <v>34</v>
      </c>
      <c r="F272" s="2">
        <v>683.99</v>
      </c>
    </row>
    <row r="273" spans="3:6" x14ac:dyDescent="0.25">
      <c r="C273" s="2" t="s">
        <v>15524</v>
      </c>
      <c r="D273" s="2" t="s">
        <v>122</v>
      </c>
      <c r="E273" s="2">
        <v>49</v>
      </c>
      <c r="F273" s="2">
        <v>972.96</v>
      </c>
    </row>
    <row r="274" spans="3:6" x14ac:dyDescent="0.25">
      <c r="C274" s="2" t="s">
        <v>15525</v>
      </c>
      <c r="D274" s="2" t="s">
        <v>122</v>
      </c>
      <c r="E274" s="2">
        <v>37</v>
      </c>
      <c r="F274" s="2">
        <v>669.7</v>
      </c>
    </row>
    <row r="275" spans="3:6" x14ac:dyDescent="0.25">
      <c r="C275" s="2" t="s">
        <v>15526</v>
      </c>
      <c r="D275" s="2" t="s">
        <v>122</v>
      </c>
      <c r="E275" s="2">
        <v>54</v>
      </c>
      <c r="F275" s="2">
        <v>1092.5</v>
      </c>
    </row>
    <row r="276" spans="3:6" x14ac:dyDescent="0.25">
      <c r="C276" s="2" t="s">
        <v>15527</v>
      </c>
      <c r="D276" s="2" t="s">
        <v>122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15528</v>
      </c>
      <c r="C278" s="2" t="s">
        <v>15529</v>
      </c>
      <c r="D278" s="2" t="s">
        <v>8924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453</v>
      </c>
      <c r="C280" s="2" t="s">
        <v>15530</v>
      </c>
      <c r="D280" s="2" t="s">
        <v>216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15531</v>
      </c>
      <c r="D281" s="2" t="s">
        <v>216</v>
      </c>
      <c r="E281" s="2">
        <v>49</v>
      </c>
      <c r="F281" s="2">
        <v>892.82</v>
      </c>
    </row>
    <row r="282" spans="3:6" x14ac:dyDescent="0.25">
      <c r="C282" s="2" t="s">
        <v>15532</v>
      </c>
      <c r="D282" s="2" t="s">
        <v>204</v>
      </c>
      <c r="E282" s="2">
        <v>163</v>
      </c>
      <c r="F282" s="2">
        <v>3121.81</v>
      </c>
    </row>
    <row r="283" spans="3:6" x14ac:dyDescent="0.25">
      <c r="C283" s="2" t="s">
        <v>15533</v>
      </c>
      <c r="D283" s="2" t="s">
        <v>204</v>
      </c>
      <c r="E283" s="2">
        <v>51</v>
      </c>
      <c r="F283" s="2">
        <v>1001.67</v>
      </c>
    </row>
    <row r="284" spans="3:6" x14ac:dyDescent="0.25">
      <c r="C284" s="2" t="s">
        <v>15534</v>
      </c>
      <c r="D284" s="2" t="s">
        <v>216</v>
      </c>
      <c r="E284" s="2">
        <v>163</v>
      </c>
      <c r="F284" s="2">
        <v>3178.94</v>
      </c>
    </row>
    <row r="285" spans="3:6" x14ac:dyDescent="0.25">
      <c r="C285" s="2" t="s">
        <v>15535</v>
      </c>
      <c r="D285" s="2" t="s">
        <v>204</v>
      </c>
      <c r="E285" s="2">
        <v>105</v>
      </c>
      <c r="F285" s="2">
        <v>2088.66</v>
      </c>
    </row>
    <row r="286" spans="3:6" x14ac:dyDescent="0.25">
      <c r="C286" s="2" t="s">
        <v>15536</v>
      </c>
      <c r="D286" s="2" t="s">
        <v>204</v>
      </c>
      <c r="E286" s="2">
        <v>105</v>
      </c>
      <c r="F286" s="2">
        <v>2024.208</v>
      </c>
    </row>
    <row r="287" spans="3:6" x14ac:dyDescent="0.25">
      <c r="C287" s="2" t="s">
        <v>15537</v>
      </c>
      <c r="D287" s="2" t="s">
        <v>204</v>
      </c>
      <c r="E287" s="2">
        <v>120</v>
      </c>
      <c r="F287" s="2">
        <v>2268.969</v>
      </c>
    </row>
    <row r="288" spans="3:6" x14ac:dyDescent="0.25">
      <c r="C288" s="2" t="s">
        <v>15538</v>
      </c>
      <c r="D288" s="2" t="s">
        <v>342</v>
      </c>
      <c r="E288" s="2">
        <v>105</v>
      </c>
      <c r="F288" s="2">
        <v>1926.599</v>
      </c>
    </row>
    <row r="289" spans="3:6" x14ac:dyDescent="0.25">
      <c r="C289" s="2" t="s">
        <v>15539</v>
      </c>
      <c r="D289" s="2" t="s">
        <v>236</v>
      </c>
      <c r="E289" s="2">
        <v>36</v>
      </c>
      <c r="F289" s="2">
        <v>611.35</v>
      </c>
    </row>
    <row r="290" spans="3:6" x14ac:dyDescent="0.25">
      <c r="C290" s="2" t="s">
        <v>15540</v>
      </c>
      <c r="D290" s="2" t="s">
        <v>236</v>
      </c>
      <c r="E290" s="2">
        <v>60</v>
      </c>
      <c r="F290" s="2">
        <v>1071.66</v>
      </c>
    </row>
    <row r="291" spans="3:6" x14ac:dyDescent="0.25">
      <c r="C291" s="2" t="s">
        <v>15541</v>
      </c>
      <c r="D291" s="2" t="s">
        <v>236</v>
      </c>
      <c r="E291" s="2">
        <v>60</v>
      </c>
      <c r="F291" s="2">
        <v>1125.77</v>
      </c>
    </row>
    <row r="292" spans="3:6" x14ac:dyDescent="0.25">
      <c r="C292" s="2" t="s">
        <v>15542</v>
      </c>
      <c r="D292" s="2" t="s">
        <v>216</v>
      </c>
      <c r="E292" s="2">
        <v>134</v>
      </c>
      <c r="F292" s="2">
        <v>2703.76</v>
      </c>
    </row>
    <row r="293" spans="3:6" x14ac:dyDescent="0.25">
      <c r="C293" s="2" t="s">
        <v>15543</v>
      </c>
      <c r="D293" s="2" t="s">
        <v>347</v>
      </c>
      <c r="E293" s="2">
        <v>56</v>
      </c>
      <c r="F293" s="2">
        <v>1071.389</v>
      </c>
    </row>
    <row r="294" spans="3:6" x14ac:dyDescent="0.25">
      <c r="C294" s="2" t="s">
        <v>15544</v>
      </c>
      <c r="D294" s="2" t="s">
        <v>347</v>
      </c>
      <c r="E294" s="2">
        <v>84</v>
      </c>
      <c r="F294" s="2">
        <v>1617.402</v>
      </c>
    </row>
    <row r="295" spans="3:6" x14ac:dyDescent="0.25">
      <c r="C295" s="2" t="s">
        <v>15545</v>
      </c>
      <c r="D295" s="2" t="s">
        <v>236</v>
      </c>
      <c r="E295" s="2">
        <v>16</v>
      </c>
      <c r="F295" s="2">
        <v>308.83</v>
      </c>
    </row>
    <row r="296" spans="3:6" x14ac:dyDescent="0.25">
      <c r="C296" s="2" t="s">
        <v>15546</v>
      </c>
      <c r="D296" s="2" t="s">
        <v>236</v>
      </c>
      <c r="E296" s="2">
        <v>43</v>
      </c>
      <c r="F296" s="2">
        <v>823.638</v>
      </c>
    </row>
    <row r="297" spans="3:6" x14ac:dyDescent="0.25">
      <c r="C297" s="2" t="s">
        <v>15547</v>
      </c>
      <c r="D297" s="2" t="s">
        <v>236</v>
      </c>
      <c r="E297" s="2">
        <v>45</v>
      </c>
      <c r="F297" s="2">
        <v>810.99</v>
      </c>
    </row>
    <row r="298" spans="3:6" x14ac:dyDescent="0.25">
      <c r="C298" s="2" t="s">
        <v>15548</v>
      </c>
      <c r="D298" s="2" t="s">
        <v>236</v>
      </c>
      <c r="E298" s="2">
        <v>45</v>
      </c>
      <c r="F298" s="2">
        <v>885.729</v>
      </c>
    </row>
    <row r="299" spans="3:6" x14ac:dyDescent="0.25">
      <c r="C299" s="2" t="s">
        <v>15549</v>
      </c>
      <c r="D299" s="2" t="s">
        <v>347</v>
      </c>
      <c r="E299" s="2">
        <v>16</v>
      </c>
      <c r="F299" s="2">
        <v>302.08</v>
      </c>
    </row>
    <row r="300" spans="3:6" x14ac:dyDescent="0.25">
      <c r="C300" s="2" t="s">
        <v>15550</v>
      </c>
      <c r="D300" s="2" t="s">
        <v>216</v>
      </c>
      <c r="E300" s="2">
        <v>134</v>
      </c>
      <c r="F300" s="2">
        <v>2690.03</v>
      </c>
    </row>
    <row r="301" spans="3:6" x14ac:dyDescent="0.25">
      <c r="C301" s="2" t="s">
        <v>15551</v>
      </c>
      <c r="D301" s="2" t="s">
        <v>216</v>
      </c>
      <c r="E301" s="2">
        <v>134</v>
      </c>
      <c r="F301" s="2">
        <v>2695.659</v>
      </c>
    </row>
    <row r="302" spans="3:6" x14ac:dyDescent="0.25">
      <c r="C302" s="2" t="s">
        <v>15552</v>
      </c>
      <c r="D302" s="2" t="s">
        <v>214</v>
      </c>
      <c r="E302" s="2">
        <v>156</v>
      </c>
      <c r="F302" s="2">
        <v>2945.149</v>
      </c>
    </row>
    <row r="303" spans="3:6" x14ac:dyDescent="0.25">
      <c r="C303" s="2" t="s">
        <v>15553</v>
      </c>
      <c r="D303" s="2" t="s">
        <v>216</v>
      </c>
      <c r="E303" s="2">
        <v>134</v>
      </c>
      <c r="F303" s="2">
        <v>2679.2</v>
      </c>
    </row>
    <row r="304" spans="3:6" x14ac:dyDescent="0.25">
      <c r="C304" s="2" t="s">
        <v>15554</v>
      </c>
      <c r="D304" s="2" t="s">
        <v>216</v>
      </c>
      <c r="E304" s="2">
        <v>134</v>
      </c>
      <c r="F304" s="2">
        <v>2591.349</v>
      </c>
    </row>
    <row r="305" spans="3:6" x14ac:dyDescent="0.25">
      <c r="C305" s="2" t="s">
        <v>15555</v>
      </c>
      <c r="D305" s="2" t="s">
        <v>216</v>
      </c>
      <c r="E305" s="2">
        <v>134</v>
      </c>
      <c r="F305" s="2">
        <v>2681.22</v>
      </c>
    </row>
    <row r="306" spans="3:6" x14ac:dyDescent="0.25">
      <c r="C306" s="2" t="s">
        <v>15556</v>
      </c>
      <c r="D306" s="2" t="s">
        <v>204</v>
      </c>
      <c r="E306" s="2">
        <v>163</v>
      </c>
      <c r="F306" s="2">
        <v>3017.459</v>
      </c>
    </row>
    <row r="307" spans="3:6" x14ac:dyDescent="0.25">
      <c r="C307" s="2" t="s">
        <v>15557</v>
      </c>
      <c r="D307" s="2" t="s">
        <v>204</v>
      </c>
      <c r="E307" s="2">
        <v>163</v>
      </c>
      <c r="F307" s="2">
        <v>3067.4</v>
      </c>
    </row>
    <row r="308" spans="3:6" x14ac:dyDescent="0.25">
      <c r="C308" s="2" t="s">
        <v>15558</v>
      </c>
      <c r="D308" s="2" t="s">
        <v>204</v>
      </c>
      <c r="E308" s="2">
        <v>163</v>
      </c>
      <c r="F308" s="2">
        <v>3086.296</v>
      </c>
    </row>
    <row r="309" spans="3:6" x14ac:dyDescent="0.25">
      <c r="C309" s="2" t="s">
        <v>15559</v>
      </c>
      <c r="D309" s="2" t="s">
        <v>216</v>
      </c>
      <c r="E309" s="2">
        <v>105</v>
      </c>
      <c r="F309" s="2">
        <v>2085.97</v>
      </c>
    </row>
    <row r="310" spans="3:6" x14ac:dyDescent="0.25">
      <c r="C310" s="2" t="s">
        <v>15560</v>
      </c>
      <c r="D310" s="2" t="s">
        <v>204</v>
      </c>
      <c r="E310" s="2">
        <v>163</v>
      </c>
      <c r="F310" s="2">
        <v>3101.06</v>
      </c>
    </row>
    <row r="311" spans="3:6" x14ac:dyDescent="0.25">
      <c r="C311" s="2" t="s">
        <v>15561</v>
      </c>
      <c r="D311" s="2" t="s">
        <v>216</v>
      </c>
      <c r="E311" s="2">
        <v>134</v>
      </c>
      <c r="F311" s="2">
        <v>2625.829</v>
      </c>
    </row>
    <row r="312" spans="3:4" x14ac:dyDescent="0.25">
      <c r="C312" s="2" t="s">
        <v>15562</v>
      </c>
      <c r="D312" s="2" t="s">
        <v>204</v>
      </c>
    </row>
    <row r="313" spans="3:4" x14ac:dyDescent="0.25">
      <c r="C313" s="2" t="s">
        <v>15563</v>
      </c>
      <c r="D313" s="2" t="s">
        <v>204</v>
      </c>
    </row>
    <row r="314" spans="3:4" x14ac:dyDescent="0.25">
      <c r="C314" s="2" t="s">
        <v>15564</v>
      </c>
      <c r="D314" s="2" t="s">
        <v>204</v>
      </c>
    </row>
    <row r="315" spans="3:4" x14ac:dyDescent="0.25">
      <c r="C315" s="2" t="s">
        <v>15565</v>
      </c>
      <c r="D315" s="2" t="s">
        <v>204</v>
      </c>
    </row>
    <row r="316" spans="3:4" x14ac:dyDescent="0.25">
      <c r="C316" s="2" t="s">
        <v>15566</v>
      </c>
      <c r="D316" s="2" t="s">
        <v>236</v>
      </c>
    </row>
    <row r="318" spans="1:7" x14ac:dyDescent="0.25">
      <c r="A318" s="1">
        <v>46116</v>
      </c>
      <c r="B318" s="2" t="s">
        <v>15567</v>
      </c>
      <c r="C318" s="2" t="s">
        <v>15568</v>
      </c>
      <c r="D318" s="2" t="s">
        <v>204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15569</v>
      </c>
      <c r="D319" s="2" t="s">
        <v>297</v>
      </c>
      <c r="E319" s="2">
        <v>15</v>
      </c>
      <c r="F319" s="2">
        <v>207.718</v>
      </c>
    </row>
    <row r="320" spans="3:6" x14ac:dyDescent="0.25">
      <c r="C320" s="2" t="s">
        <v>15570</v>
      </c>
      <c r="D320" s="2" t="s">
        <v>297</v>
      </c>
      <c r="E320" s="2">
        <v>105</v>
      </c>
      <c r="F320" s="2">
        <v>1724.42</v>
      </c>
    </row>
    <row r="321" spans="3:6" x14ac:dyDescent="0.25">
      <c r="C321" s="2" t="s">
        <v>15571</v>
      </c>
      <c r="D321" s="2" t="s">
        <v>216</v>
      </c>
      <c r="E321" s="2">
        <v>105</v>
      </c>
      <c r="F321" s="2">
        <v>2123.329</v>
      </c>
    </row>
    <row r="322" spans="3:6" x14ac:dyDescent="0.25">
      <c r="C322" s="2" t="s">
        <v>15572</v>
      </c>
      <c r="D322" s="2" t="s">
        <v>297</v>
      </c>
      <c r="E322" s="2">
        <v>156</v>
      </c>
      <c r="F322" s="2">
        <v>2589.78</v>
      </c>
    </row>
    <row r="323" spans="3:6" x14ac:dyDescent="0.25">
      <c r="C323" s="2" t="s">
        <v>15573</v>
      </c>
      <c r="D323" s="2" t="s">
        <v>297</v>
      </c>
      <c r="E323" s="2">
        <v>158</v>
      </c>
      <c r="F323" s="2">
        <v>2556.748</v>
      </c>
    </row>
    <row r="324" spans="3:6" x14ac:dyDescent="0.25">
      <c r="C324" s="2" t="s">
        <v>15574</v>
      </c>
      <c r="D324" s="2" t="s">
        <v>216</v>
      </c>
      <c r="E324" s="2">
        <v>159</v>
      </c>
      <c r="F324" s="2">
        <v>2534.527</v>
      </c>
    </row>
    <row r="325" spans="3:6" x14ac:dyDescent="0.25">
      <c r="C325" s="2" t="s">
        <v>15575</v>
      </c>
      <c r="D325" s="2" t="s">
        <v>297</v>
      </c>
      <c r="E325" s="2">
        <v>148</v>
      </c>
      <c r="F325" s="2">
        <v>2571.779</v>
      </c>
    </row>
    <row r="326" spans="3:6" x14ac:dyDescent="0.25">
      <c r="C326" s="2" t="s">
        <v>15576</v>
      </c>
      <c r="D326" s="2" t="s">
        <v>297</v>
      </c>
      <c r="E326" s="2">
        <v>105</v>
      </c>
      <c r="F326" s="2">
        <v>1786.398</v>
      </c>
    </row>
    <row r="327" spans="3:6" x14ac:dyDescent="0.25">
      <c r="C327" s="2" t="s">
        <v>15577</v>
      </c>
      <c r="D327" s="2" t="s">
        <v>216</v>
      </c>
      <c r="E327" s="2">
        <v>105</v>
      </c>
      <c r="F327" s="2">
        <v>1851.739</v>
      </c>
    </row>
    <row r="328" spans="3:6" x14ac:dyDescent="0.25">
      <c r="C328" s="2" t="s">
        <v>15578</v>
      </c>
      <c r="D328" s="2" t="s">
        <v>297</v>
      </c>
      <c r="E328" s="2">
        <v>156</v>
      </c>
      <c r="F328" s="2">
        <v>3124.139</v>
      </c>
    </row>
    <row r="329" spans="3:6" x14ac:dyDescent="0.25">
      <c r="C329" s="2" t="s">
        <v>15579</v>
      </c>
      <c r="D329" s="2" t="s">
        <v>297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2380</v>
      </c>
      <c r="C331" s="2" t="s">
        <v>15580</v>
      </c>
      <c r="D331" s="2" t="s">
        <v>27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15581</v>
      </c>
      <c r="D332" s="2" t="s">
        <v>27</v>
      </c>
      <c r="E332" s="2">
        <v>8</v>
      </c>
    </row>
    <row r="333" spans="3:6" x14ac:dyDescent="0.25">
      <c r="C333" s="2" t="s">
        <v>15582</v>
      </c>
      <c r="D333" s="2" t="s">
        <v>27</v>
      </c>
      <c r="E333" s="2">
        <v>33</v>
      </c>
      <c r="F333" s="2">
        <v>587.04</v>
      </c>
    </row>
    <row r="334" spans="3:6" x14ac:dyDescent="0.25">
      <c r="C334" s="2" t="s">
        <v>15583</v>
      </c>
      <c r="D334" s="2" t="s">
        <v>27</v>
      </c>
      <c r="E334" s="2">
        <v>43</v>
      </c>
      <c r="F334" s="2">
        <v>803.409</v>
      </c>
    </row>
    <row r="335" spans="3:6" x14ac:dyDescent="0.25">
      <c r="C335" s="2" t="s">
        <v>15584</v>
      </c>
      <c r="D335" s="2" t="s">
        <v>27</v>
      </c>
      <c r="E335" s="2">
        <v>25</v>
      </c>
      <c r="F335" s="2">
        <v>440.49</v>
      </c>
    </row>
    <row r="336" spans="3:6" x14ac:dyDescent="0.25">
      <c r="C336" s="2" t="s">
        <v>15585</v>
      </c>
      <c r="D336" s="2" t="s">
        <v>27</v>
      </c>
      <c r="E336" s="2">
        <v>87</v>
      </c>
      <c r="F336" s="2">
        <v>1551.579</v>
      </c>
    </row>
    <row r="337" spans="3:6" x14ac:dyDescent="0.25">
      <c r="C337" s="2" t="s">
        <v>15586</v>
      </c>
      <c r="D337" s="2" t="s">
        <v>27</v>
      </c>
      <c r="E337" s="2">
        <v>14</v>
      </c>
      <c r="F337" s="2">
        <v>212.88</v>
      </c>
    </row>
    <row r="338" spans="3:6" x14ac:dyDescent="0.25">
      <c r="C338" s="2" t="s">
        <v>15587</v>
      </c>
      <c r="D338" s="2" t="s">
        <v>27</v>
      </c>
      <c r="E338" s="2">
        <v>54</v>
      </c>
      <c r="F338" s="2">
        <v>1119.6</v>
      </c>
    </row>
    <row r="339" spans="3:6" x14ac:dyDescent="0.25">
      <c r="C339" s="2" t="s">
        <v>15588</v>
      </c>
      <c r="D339" s="2" t="s">
        <v>27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2097</v>
      </c>
      <c r="C341" s="2" t="s">
        <v>15589</v>
      </c>
      <c r="D341" s="2" t="s">
        <v>27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15590</v>
      </c>
      <c r="D342" s="2" t="s">
        <v>27</v>
      </c>
      <c r="E342" s="2">
        <v>63</v>
      </c>
      <c r="F342" s="2">
        <v>1191.71</v>
      </c>
    </row>
    <row r="343" spans="3:6" x14ac:dyDescent="0.25">
      <c r="C343" s="2" t="s">
        <v>15591</v>
      </c>
      <c r="D343" s="2" t="s">
        <v>27</v>
      </c>
      <c r="E343" s="2">
        <v>101</v>
      </c>
      <c r="F343" s="2">
        <v>1854.199</v>
      </c>
    </row>
    <row r="344" spans="3:6" x14ac:dyDescent="0.25">
      <c r="C344" s="2" t="s">
        <v>15592</v>
      </c>
      <c r="D344" s="2" t="s">
        <v>27</v>
      </c>
      <c r="E344" s="2">
        <v>68</v>
      </c>
      <c r="F344" s="2">
        <v>1185.76</v>
      </c>
    </row>
    <row r="345" spans="3:6" x14ac:dyDescent="0.25">
      <c r="C345" s="2" t="s">
        <v>15593</v>
      </c>
      <c r="D345" s="2" t="s">
        <v>27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15594</v>
      </c>
      <c r="C347" s="2" t="s">
        <v>15595</v>
      </c>
      <c r="D347" s="2" t="s">
        <v>9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15596</v>
      </c>
      <c r="D348" s="2" t="s">
        <v>9</v>
      </c>
      <c r="E348" s="2">
        <v>246</v>
      </c>
      <c r="F348" s="2">
        <v>4900.74</v>
      </c>
    </row>
    <row r="349" spans="3:6" x14ac:dyDescent="0.25">
      <c r="C349" s="2" t="s">
        <v>15597</v>
      </c>
      <c r="D349" s="2" t="s">
        <v>9</v>
      </c>
      <c r="E349" s="2">
        <v>338</v>
      </c>
      <c r="F349" s="2">
        <v>6806.89</v>
      </c>
    </row>
    <row r="350" spans="3:6" x14ac:dyDescent="0.25">
      <c r="C350" s="2" t="s">
        <v>15598</v>
      </c>
      <c r="D350" s="2" t="s">
        <v>9</v>
      </c>
      <c r="E350" s="2">
        <v>102</v>
      </c>
      <c r="F350" s="2">
        <v>1925.789</v>
      </c>
    </row>
    <row r="351" spans="3:6" x14ac:dyDescent="0.25">
      <c r="C351" s="2" t="s">
        <v>15599</v>
      </c>
      <c r="D351" s="2" t="s">
        <v>9</v>
      </c>
      <c r="E351" s="2">
        <v>45</v>
      </c>
      <c r="F351" s="2">
        <v>190.698</v>
      </c>
    </row>
    <row r="352" spans="3:6" x14ac:dyDescent="0.25">
      <c r="C352" s="2" t="s">
        <v>15600</v>
      </c>
      <c r="D352" s="2" t="s">
        <v>9</v>
      </c>
      <c r="E352" s="2">
        <v>141</v>
      </c>
      <c r="F352" s="2">
        <v>2711.76</v>
      </c>
    </row>
    <row r="353" spans="3:6" x14ac:dyDescent="0.25">
      <c r="C353" s="2" t="s">
        <v>15601</v>
      </c>
      <c r="D353" s="2" t="s">
        <v>9</v>
      </c>
      <c r="E353" s="2">
        <v>141</v>
      </c>
      <c r="F353" s="2">
        <v>2711.759</v>
      </c>
    </row>
    <row r="354" spans="3:6" x14ac:dyDescent="0.25">
      <c r="C354" s="2" t="s">
        <v>15602</v>
      </c>
      <c r="D354" s="2" t="s">
        <v>9</v>
      </c>
      <c r="E354" s="2">
        <v>141</v>
      </c>
      <c r="F354" s="2">
        <v>2843.09</v>
      </c>
    </row>
    <row r="355" spans="3:6" x14ac:dyDescent="0.25">
      <c r="C355" s="2" t="s">
        <v>15603</v>
      </c>
      <c r="D355" s="2" t="s">
        <v>9</v>
      </c>
      <c r="E355" s="2">
        <v>243</v>
      </c>
      <c r="F355" s="2">
        <v>4821.15</v>
      </c>
    </row>
    <row r="356" spans="3:6" x14ac:dyDescent="0.25">
      <c r="C356" s="2" t="s">
        <v>15604</v>
      </c>
      <c r="D356" s="2" t="s">
        <v>9</v>
      </c>
      <c r="E356" s="2">
        <v>102</v>
      </c>
      <c r="F356" s="2">
        <v>2092.94</v>
      </c>
    </row>
    <row r="357" spans="3:6" x14ac:dyDescent="0.25">
      <c r="C357" s="2" t="s">
        <v>15605</v>
      </c>
      <c r="D357" s="2" t="s">
        <v>9</v>
      </c>
      <c r="E357" s="2">
        <v>70</v>
      </c>
      <c r="F357" s="2">
        <v>1275.71</v>
      </c>
    </row>
    <row r="358" spans="3:6" x14ac:dyDescent="0.25">
      <c r="C358" s="2" t="s">
        <v>15606</v>
      </c>
      <c r="D358" s="2" t="s">
        <v>9</v>
      </c>
      <c r="E358" s="2">
        <v>5</v>
      </c>
      <c r="F358" s="2">
        <v>94.97</v>
      </c>
    </row>
    <row r="359" spans="3:6" x14ac:dyDescent="0.25">
      <c r="C359" s="2" t="s">
        <v>15607</v>
      </c>
      <c r="D359" s="2" t="s">
        <v>9</v>
      </c>
      <c r="E359" s="2">
        <v>15</v>
      </c>
      <c r="F359" s="2">
        <v>63.029</v>
      </c>
    </row>
    <row r="360" spans="3:6" x14ac:dyDescent="0.25">
      <c r="C360" s="2" t="s">
        <v>15608</v>
      </c>
      <c r="D360" s="2" t="s">
        <v>9</v>
      </c>
      <c r="E360" s="2">
        <v>102</v>
      </c>
      <c r="F360" s="2">
        <v>2107.71</v>
      </c>
    </row>
    <row r="361" spans="3:6" x14ac:dyDescent="0.25">
      <c r="C361" s="2" t="s">
        <v>15609</v>
      </c>
      <c r="D361" s="2" t="s">
        <v>9</v>
      </c>
      <c r="E361" s="2">
        <v>60</v>
      </c>
      <c r="F361" s="2">
        <v>253.749</v>
      </c>
    </row>
    <row r="362" spans="3:6" x14ac:dyDescent="0.25">
      <c r="C362" s="2" t="s">
        <v>15610</v>
      </c>
      <c r="D362" s="2" t="s">
        <v>9</v>
      </c>
      <c r="E362" s="2">
        <v>141</v>
      </c>
      <c r="F362" s="2">
        <v>2879.97</v>
      </c>
    </row>
    <row r="363" spans="3:6" x14ac:dyDescent="0.25">
      <c r="C363" s="2" t="s">
        <v>15611</v>
      </c>
      <c r="D363" s="2" t="s">
        <v>9</v>
      </c>
      <c r="E363" s="2">
        <v>282</v>
      </c>
      <c r="F363" s="2">
        <v>5716.24</v>
      </c>
    </row>
    <row r="364" spans="3:6" x14ac:dyDescent="0.25">
      <c r="C364" s="2" t="s">
        <v>15612</v>
      </c>
      <c r="D364" s="2" t="s">
        <v>9</v>
      </c>
      <c r="E364" s="2">
        <v>75</v>
      </c>
      <c r="F364" s="2">
        <v>317.148</v>
      </c>
    </row>
    <row r="365" spans="3:6" x14ac:dyDescent="0.25">
      <c r="C365" s="2" t="s">
        <v>15613</v>
      </c>
      <c r="D365" s="2" t="s">
        <v>9</v>
      </c>
      <c r="E365" s="2">
        <v>282</v>
      </c>
      <c r="F365" s="2">
        <v>5618.89</v>
      </c>
    </row>
    <row r="366" spans="3:6" x14ac:dyDescent="0.25">
      <c r="C366" s="2" t="s">
        <v>15614</v>
      </c>
      <c r="D366" s="2" t="s">
        <v>9</v>
      </c>
      <c r="E366" s="2">
        <v>60</v>
      </c>
      <c r="F366" s="2">
        <v>260.48</v>
      </c>
    </row>
    <row r="367" spans="3:6" x14ac:dyDescent="0.25">
      <c r="C367" s="2" t="s">
        <v>15615</v>
      </c>
      <c r="D367" s="2" t="s">
        <v>9</v>
      </c>
      <c r="E367" s="2">
        <v>282</v>
      </c>
      <c r="F367" s="2">
        <v>5640.37</v>
      </c>
    </row>
    <row r="368" spans="3:6" x14ac:dyDescent="0.25">
      <c r="C368" s="2" t="s">
        <v>15616</v>
      </c>
      <c r="D368" s="2" t="s">
        <v>9</v>
      </c>
      <c r="E368" s="2">
        <v>59</v>
      </c>
      <c r="F368" s="2">
        <v>1133.799</v>
      </c>
    </row>
    <row r="369" spans="3:6" x14ac:dyDescent="0.25">
      <c r="C369" s="2" t="s">
        <v>15617</v>
      </c>
      <c r="D369" s="2" t="s">
        <v>9</v>
      </c>
      <c r="E369" s="2">
        <v>82</v>
      </c>
      <c r="F369" s="2">
        <v>1642.56</v>
      </c>
    </row>
    <row r="370" spans="3:6" x14ac:dyDescent="0.25">
      <c r="C370" s="2" t="s">
        <v>15618</v>
      </c>
      <c r="D370" s="2" t="s">
        <v>9</v>
      </c>
      <c r="E370" s="2">
        <v>141</v>
      </c>
      <c r="F370" s="2">
        <v>2943.918</v>
      </c>
    </row>
    <row r="371" spans="3:6" x14ac:dyDescent="0.25">
      <c r="C371" s="2" t="s">
        <v>15619</v>
      </c>
      <c r="D371" s="2" t="s">
        <v>9</v>
      </c>
      <c r="E371" s="2">
        <v>141</v>
      </c>
      <c r="F371" s="2">
        <v>2901.44</v>
      </c>
    </row>
    <row r="372" spans="3:6" x14ac:dyDescent="0.25">
      <c r="C372" s="2" t="s">
        <v>15620</v>
      </c>
      <c r="D372" s="2" t="s">
        <v>9</v>
      </c>
      <c r="E372" s="2">
        <v>141</v>
      </c>
      <c r="F372" s="2">
        <v>2645.88</v>
      </c>
    </row>
    <row r="373" spans="3:6" x14ac:dyDescent="0.25">
      <c r="C373" s="2" t="s">
        <v>15621</v>
      </c>
      <c r="D373" s="2" t="s">
        <v>9</v>
      </c>
      <c r="E373" s="2">
        <v>45</v>
      </c>
      <c r="F373" s="2">
        <v>982.22</v>
      </c>
    </row>
    <row r="374" spans="3:6" x14ac:dyDescent="0.25">
      <c r="C374" s="2" t="s">
        <v>15622</v>
      </c>
      <c r="D374" s="2" t="s">
        <v>9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10</v>
      </c>
      <c r="C376" s="2" t="s">
        <v>15623</v>
      </c>
      <c r="D376" s="2" t="s">
        <v>12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15624</v>
      </c>
      <c r="D377" s="2" t="s">
        <v>12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12270</v>
      </c>
      <c r="C379" s="2" t="s">
        <v>15625</v>
      </c>
      <c r="D379" s="2" t="s">
        <v>12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15626</v>
      </c>
      <c r="D380" s="2" t="s">
        <v>12</v>
      </c>
      <c r="E380" s="2">
        <v>142</v>
      </c>
      <c r="F380" s="2">
        <v>2687.551</v>
      </c>
    </row>
    <row r="381" spans="3:6" x14ac:dyDescent="0.25">
      <c r="C381" s="2" t="s">
        <v>15627</v>
      </c>
      <c r="D381" s="2" t="s">
        <v>12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438</v>
      </c>
      <c r="C383" s="2" t="s">
        <v>15628</v>
      </c>
      <c r="D383" s="2" t="s">
        <v>42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12462</v>
      </c>
      <c r="C385" s="2" t="s">
        <v>15629</v>
      </c>
      <c r="D385" s="2" t="s">
        <v>20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15630</v>
      </c>
      <c r="D386" s="2" t="s">
        <v>20</v>
      </c>
      <c r="E386" s="2">
        <v>102</v>
      </c>
      <c r="F386" s="2">
        <v>1985.769</v>
      </c>
    </row>
    <row r="387" spans="3:6" x14ac:dyDescent="0.25">
      <c r="C387" s="2" t="s">
        <v>15631</v>
      </c>
      <c r="D387" s="2" t="s">
        <v>20</v>
      </c>
      <c r="E387" s="2">
        <v>149</v>
      </c>
      <c r="F387" s="2">
        <v>2709.728</v>
      </c>
    </row>
    <row r="388" spans="3:6" x14ac:dyDescent="0.25">
      <c r="C388" s="2" t="s">
        <v>15632</v>
      </c>
      <c r="D388" s="2" t="s">
        <v>20</v>
      </c>
      <c r="E388" s="2">
        <v>102</v>
      </c>
      <c r="F388" s="2">
        <v>1920.449</v>
      </c>
    </row>
    <row r="389" spans="3:6" x14ac:dyDescent="0.25">
      <c r="C389" s="2" t="s">
        <v>15633</v>
      </c>
      <c r="D389" s="2" t="s">
        <v>20</v>
      </c>
      <c r="E389" s="2">
        <v>102</v>
      </c>
      <c r="F389" s="2">
        <v>1873.349</v>
      </c>
    </row>
    <row r="390" spans="3:6" x14ac:dyDescent="0.25">
      <c r="C390" s="2" t="s">
        <v>15634</v>
      </c>
      <c r="D390" s="2" t="s">
        <v>20</v>
      </c>
      <c r="E390" s="2">
        <v>149</v>
      </c>
      <c r="F390" s="2">
        <v>2785.139</v>
      </c>
    </row>
    <row r="391" spans="3:6" x14ac:dyDescent="0.25">
      <c r="C391" s="2" t="s">
        <v>15635</v>
      </c>
      <c r="D391" s="2" t="s">
        <v>20</v>
      </c>
      <c r="E391" s="2">
        <v>149</v>
      </c>
      <c r="F391" s="2">
        <v>2632.149</v>
      </c>
    </row>
    <row r="392" spans="3:6" x14ac:dyDescent="0.25">
      <c r="C392" s="2" t="s">
        <v>15636</v>
      </c>
      <c r="D392" s="2" t="s">
        <v>20</v>
      </c>
      <c r="E392" s="2">
        <v>149</v>
      </c>
      <c r="F392" s="2">
        <v>2496.95</v>
      </c>
    </row>
    <row r="393" spans="3:6" x14ac:dyDescent="0.25">
      <c r="C393" s="2" t="s">
        <v>15637</v>
      </c>
      <c r="D393" s="2" t="s">
        <v>20</v>
      </c>
      <c r="E393" s="2">
        <v>149</v>
      </c>
      <c r="F393" s="2">
        <v>2762.66</v>
      </c>
    </row>
    <row r="394" spans="3:6" x14ac:dyDescent="0.25">
      <c r="C394" s="2" t="s">
        <v>15638</v>
      </c>
      <c r="D394" s="2" t="s">
        <v>20</v>
      </c>
      <c r="E394" s="2">
        <v>149</v>
      </c>
      <c r="F394" s="2">
        <v>2777.839</v>
      </c>
    </row>
    <row r="395" spans="3:6" x14ac:dyDescent="0.25">
      <c r="C395" s="2" t="s">
        <v>15639</v>
      </c>
      <c r="D395" s="2" t="s">
        <v>20</v>
      </c>
      <c r="E395" s="2">
        <v>330</v>
      </c>
      <c r="F395" s="2">
        <v>6225.31</v>
      </c>
    </row>
    <row r="396" spans="3:6" x14ac:dyDescent="0.25">
      <c r="C396" s="2" t="s">
        <v>15640</v>
      </c>
      <c r="D396" s="2" t="s">
        <v>20</v>
      </c>
      <c r="E396" s="2">
        <v>242</v>
      </c>
      <c r="F396" s="2">
        <v>4544.817</v>
      </c>
    </row>
    <row r="397" spans="3:6" x14ac:dyDescent="0.25">
      <c r="C397" s="2" t="s">
        <v>15641</v>
      </c>
      <c r="D397" s="2" t="s">
        <v>20</v>
      </c>
      <c r="E397" s="2">
        <v>240</v>
      </c>
      <c r="F397" s="2">
        <v>4595.289</v>
      </c>
    </row>
    <row r="398" spans="3:6" x14ac:dyDescent="0.25">
      <c r="C398" s="2" t="s">
        <v>15642</v>
      </c>
      <c r="D398" s="2" t="s">
        <v>20</v>
      </c>
      <c r="E398" s="2">
        <v>320</v>
      </c>
      <c r="F398" s="2">
        <v>6213.186</v>
      </c>
    </row>
    <row r="399" spans="3:6" x14ac:dyDescent="0.25">
      <c r="C399" s="2" t="s">
        <v>15643</v>
      </c>
      <c r="D399" s="2" t="s">
        <v>20</v>
      </c>
      <c r="E399" s="2">
        <v>198</v>
      </c>
      <c r="F399" s="2">
        <v>3387.374</v>
      </c>
    </row>
    <row r="400" spans="3:6" x14ac:dyDescent="0.25">
      <c r="C400" s="2" t="s">
        <v>15644</v>
      </c>
      <c r="D400" s="2" t="s">
        <v>20</v>
      </c>
      <c r="E400" s="2">
        <v>240</v>
      </c>
      <c r="F400" s="2">
        <v>4689.41</v>
      </c>
    </row>
    <row r="401" spans="3:6" x14ac:dyDescent="0.25">
      <c r="C401" s="2" t="s">
        <v>15645</v>
      </c>
      <c r="D401" s="2" t="s">
        <v>20</v>
      </c>
      <c r="E401" s="2">
        <v>126</v>
      </c>
      <c r="F401" s="2">
        <v>2297.654</v>
      </c>
    </row>
    <row r="402" spans="3:6" x14ac:dyDescent="0.25">
      <c r="C402" s="2" t="s">
        <v>15646</v>
      </c>
      <c r="D402" s="2" t="s">
        <v>20</v>
      </c>
      <c r="E402" s="2">
        <v>365</v>
      </c>
      <c r="F402" s="2">
        <v>6754.098</v>
      </c>
    </row>
    <row r="403" spans="3:6" x14ac:dyDescent="0.25">
      <c r="C403" s="2" t="s">
        <v>15647</v>
      </c>
      <c r="D403" s="2" t="s">
        <v>20</v>
      </c>
      <c r="E403" s="2">
        <v>142</v>
      </c>
      <c r="F403" s="2">
        <v>2391.837</v>
      </c>
    </row>
    <row r="404" spans="3:6" x14ac:dyDescent="0.25">
      <c r="C404" s="2" t="s">
        <v>15648</v>
      </c>
      <c r="D404" s="2" t="s">
        <v>20</v>
      </c>
      <c r="E404" s="2">
        <v>240</v>
      </c>
      <c r="F404" s="2">
        <v>4660.8</v>
      </c>
    </row>
    <row r="405" spans="3:6" x14ac:dyDescent="0.25">
      <c r="C405" s="2" t="s">
        <v>15649</v>
      </c>
      <c r="D405" s="2" t="s">
        <v>20</v>
      </c>
      <c r="E405" s="2">
        <v>190</v>
      </c>
      <c r="F405" s="2">
        <v>3648.29</v>
      </c>
    </row>
    <row r="406" spans="3:6" x14ac:dyDescent="0.25">
      <c r="C406" s="2" t="s">
        <v>15650</v>
      </c>
      <c r="D406" s="2" t="s">
        <v>20</v>
      </c>
      <c r="E406" s="2">
        <v>440</v>
      </c>
      <c r="F406" s="2">
        <v>8199.578</v>
      </c>
    </row>
    <row r="407" spans="3:6" x14ac:dyDescent="0.25">
      <c r="C407" s="2" t="s">
        <v>15651</v>
      </c>
      <c r="D407" s="2" t="s">
        <v>20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324</v>
      </c>
      <c r="C409" s="2" t="s">
        <v>15652</v>
      </c>
      <c r="D409" s="2" t="s">
        <v>122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15653</v>
      </c>
      <c r="D410" s="2" t="s">
        <v>122</v>
      </c>
      <c r="E410" s="2">
        <v>121</v>
      </c>
      <c r="F410" s="2">
        <v>2530.68</v>
      </c>
    </row>
    <row r="411" spans="3:6" x14ac:dyDescent="0.25">
      <c r="C411" s="2" t="s">
        <v>15654</v>
      </c>
      <c r="D411" s="2" t="s">
        <v>122</v>
      </c>
      <c r="E411" s="2">
        <v>141</v>
      </c>
      <c r="F411" s="2">
        <v>2951.419</v>
      </c>
    </row>
    <row r="412" spans="3:6" x14ac:dyDescent="0.25">
      <c r="C412" s="2" t="s">
        <v>15655</v>
      </c>
      <c r="D412" s="2" t="s">
        <v>122</v>
      </c>
      <c r="E412" s="2">
        <v>100</v>
      </c>
      <c r="F412" s="2">
        <v>1971.06</v>
      </c>
    </row>
    <row r="413" spans="3:6" x14ac:dyDescent="0.25">
      <c r="C413" s="2" t="s">
        <v>15656</v>
      </c>
      <c r="D413" s="2" t="s">
        <v>122</v>
      </c>
      <c r="E413" s="2">
        <v>100</v>
      </c>
      <c r="F413" s="2">
        <v>2045.44</v>
      </c>
    </row>
    <row r="414" spans="3:6" x14ac:dyDescent="0.25">
      <c r="C414" s="2" t="s">
        <v>15657</v>
      </c>
      <c r="D414" s="2" t="s">
        <v>122</v>
      </c>
      <c r="E414" s="2">
        <v>57</v>
      </c>
      <c r="F414" s="2">
        <v>1216.84</v>
      </c>
    </row>
    <row r="415" spans="3:6" x14ac:dyDescent="0.25">
      <c r="C415" s="2" t="s">
        <v>15658</v>
      </c>
      <c r="D415" s="2" t="s">
        <v>122</v>
      </c>
      <c r="E415" s="2">
        <v>43</v>
      </c>
      <c r="F415" s="2">
        <v>839.46</v>
      </c>
    </row>
    <row r="416" spans="3:6" x14ac:dyDescent="0.25">
      <c r="C416" s="2" t="s">
        <v>15659</v>
      </c>
      <c r="D416" s="2" t="s">
        <v>122</v>
      </c>
      <c r="E416" s="2">
        <v>36</v>
      </c>
      <c r="F416" s="2">
        <v>721.29</v>
      </c>
    </row>
    <row r="417" spans="3:6" x14ac:dyDescent="0.25">
      <c r="C417" s="2" t="s">
        <v>15660</v>
      </c>
      <c r="D417" s="2" t="s">
        <v>122</v>
      </c>
      <c r="E417" s="2">
        <v>105</v>
      </c>
      <c r="F417" s="2">
        <v>2119.7</v>
      </c>
    </row>
    <row r="418" spans="3:6" x14ac:dyDescent="0.25">
      <c r="C418" s="2" t="s">
        <v>15661</v>
      </c>
      <c r="D418" s="2" t="s">
        <v>122</v>
      </c>
      <c r="E418" s="2">
        <v>100</v>
      </c>
      <c r="F418" s="2">
        <v>2059.94</v>
      </c>
    </row>
    <row r="419" spans="3:6" x14ac:dyDescent="0.25">
      <c r="C419" s="2" t="s">
        <v>15662</v>
      </c>
      <c r="D419" s="2" t="s">
        <v>122</v>
      </c>
      <c r="E419" s="2">
        <v>100</v>
      </c>
      <c r="F419" s="2">
        <v>2038.63</v>
      </c>
    </row>
    <row r="420" spans="3:6" x14ac:dyDescent="0.25">
      <c r="C420" s="2" t="s">
        <v>15663</v>
      </c>
      <c r="D420" s="2" t="s">
        <v>122</v>
      </c>
      <c r="E420" s="2">
        <v>40</v>
      </c>
      <c r="F420" s="2">
        <v>763.539</v>
      </c>
    </row>
    <row r="421" spans="3:6" x14ac:dyDescent="0.25">
      <c r="C421" s="2" t="s">
        <v>15664</v>
      </c>
      <c r="D421" s="2" t="s">
        <v>122</v>
      </c>
      <c r="E421" s="2">
        <v>59</v>
      </c>
      <c r="F421" s="2">
        <v>1145.06</v>
      </c>
    </row>
    <row r="422" spans="3:6" x14ac:dyDescent="0.25">
      <c r="C422" s="2" t="s">
        <v>15665</v>
      </c>
      <c r="D422" s="2" t="s">
        <v>122</v>
      </c>
      <c r="E422" s="2">
        <v>42</v>
      </c>
      <c r="F422" s="2">
        <v>893.83</v>
      </c>
    </row>
    <row r="423" spans="3:6" x14ac:dyDescent="0.25">
      <c r="C423" s="2" t="s">
        <v>15666</v>
      </c>
      <c r="D423" s="2" t="s">
        <v>122</v>
      </c>
      <c r="E423" s="2">
        <v>119</v>
      </c>
      <c r="F423" s="2">
        <v>2491.81</v>
      </c>
    </row>
    <row r="424" spans="3:6" x14ac:dyDescent="0.25">
      <c r="C424" s="2" t="s">
        <v>15667</v>
      </c>
      <c r="D424" s="2" t="s">
        <v>122</v>
      </c>
      <c r="E424" s="2">
        <v>21</v>
      </c>
      <c r="F424" s="2">
        <v>367.89</v>
      </c>
    </row>
    <row r="425" spans="3:6" x14ac:dyDescent="0.25">
      <c r="C425" s="2" t="s">
        <v>15668</v>
      </c>
      <c r="D425" s="2" t="s">
        <v>122</v>
      </c>
      <c r="E425" s="2">
        <v>85</v>
      </c>
      <c r="F425" s="2">
        <v>1744.6</v>
      </c>
    </row>
    <row r="426" spans="3:6" x14ac:dyDescent="0.25">
      <c r="C426" s="2" t="s">
        <v>15669</v>
      </c>
      <c r="D426" s="2" t="s">
        <v>122</v>
      </c>
      <c r="E426" s="2">
        <v>56</v>
      </c>
      <c r="F426" s="2">
        <v>1186.66</v>
      </c>
    </row>
    <row r="427" spans="3:6" x14ac:dyDescent="0.25">
      <c r="C427" s="2" t="s">
        <v>15670</v>
      </c>
      <c r="D427" s="2" t="s">
        <v>122</v>
      </c>
      <c r="E427" s="2">
        <v>141</v>
      </c>
      <c r="F427" s="2">
        <v>2813.32</v>
      </c>
    </row>
    <row r="428" spans="3:6" x14ac:dyDescent="0.25">
      <c r="C428" s="2" t="s">
        <v>15671</v>
      </c>
      <c r="D428" s="2" t="s">
        <v>122</v>
      </c>
      <c r="E428" s="2">
        <v>18</v>
      </c>
      <c r="F428" s="2">
        <v>352.85</v>
      </c>
    </row>
    <row r="429" spans="3:6" x14ac:dyDescent="0.25">
      <c r="C429" s="2" t="s">
        <v>15672</v>
      </c>
      <c r="D429" s="2" t="s">
        <v>122</v>
      </c>
      <c r="E429" s="2">
        <v>8</v>
      </c>
      <c r="F429" s="2">
        <v>154.35</v>
      </c>
    </row>
    <row r="430" spans="3:6" x14ac:dyDescent="0.25">
      <c r="C430" s="2" t="s">
        <v>15673</v>
      </c>
      <c r="D430" s="2" t="s">
        <v>122</v>
      </c>
      <c r="E430" s="2">
        <v>15</v>
      </c>
      <c r="F430" s="2">
        <v>281.06</v>
      </c>
    </row>
    <row r="431" spans="3:6" x14ac:dyDescent="0.25">
      <c r="C431" s="2" t="s">
        <v>15674</v>
      </c>
      <c r="D431" s="2" t="s">
        <v>122</v>
      </c>
      <c r="E431" s="2">
        <v>40</v>
      </c>
      <c r="F431" s="2">
        <v>832.55</v>
      </c>
    </row>
    <row r="432" spans="3:6" x14ac:dyDescent="0.25">
      <c r="C432" s="2" t="s">
        <v>15675</v>
      </c>
      <c r="D432" s="2" t="s">
        <v>122</v>
      </c>
      <c r="E432" s="2">
        <v>46</v>
      </c>
      <c r="F432" s="2">
        <v>952.87</v>
      </c>
    </row>
    <row r="433" spans="3:6" x14ac:dyDescent="0.25">
      <c r="C433" s="2" t="s">
        <v>15676</v>
      </c>
      <c r="D433" s="2" t="s">
        <v>122</v>
      </c>
      <c r="E433" s="2">
        <v>14</v>
      </c>
      <c r="F433" s="2">
        <v>283.63</v>
      </c>
    </row>
    <row r="434" spans="3:6" x14ac:dyDescent="0.25">
      <c r="C434" s="2" t="s">
        <v>15677</v>
      </c>
      <c r="D434" s="2" t="s">
        <v>122</v>
      </c>
      <c r="E434" s="2">
        <v>37</v>
      </c>
      <c r="F434" s="2">
        <v>751.62</v>
      </c>
    </row>
    <row r="435" spans="3:6" x14ac:dyDescent="0.25">
      <c r="C435" s="2" t="s">
        <v>15678</v>
      </c>
      <c r="D435" s="2" t="s">
        <v>122</v>
      </c>
      <c r="E435" s="2">
        <v>104</v>
      </c>
      <c r="F435" s="2">
        <v>2115.2</v>
      </c>
    </row>
    <row r="436" spans="3:6" x14ac:dyDescent="0.25">
      <c r="C436" s="2" t="s">
        <v>15679</v>
      </c>
      <c r="D436" s="2" t="s">
        <v>122</v>
      </c>
      <c r="E436" s="2">
        <v>84</v>
      </c>
      <c r="F436" s="2">
        <v>1690.52</v>
      </c>
    </row>
    <row r="437" spans="3:6" x14ac:dyDescent="0.25">
      <c r="C437" s="2" t="s">
        <v>15680</v>
      </c>
      <c r="D437" s="2" t="s">
        <v>122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10</v>
      </c>
      <c r="C439" s="2" t="s">
        <v>15681</v>
      </c>
      <c r="D439" s="2" t="s">
        <v>12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15682</v>
      </c>
      <c r="D440" s="2" t="s">
        <v>12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15683</v>
      </c>
      <c r="C442" s="2" t="s">
        <v>15684</v>
      </c>
      <c r="D442" s="2" t="s">
        <v>122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15685</v>
      </c>
      <c r="D443" s="2" t="s">
        <v>122</v>
      </c>
      <c r="E443" s="2">
        <v>73</v>
      </c>
      <c r="F443" s="2">
        <v>1940.578</v>
      </c>
    </row>
    <row r="444" spans="3:6" x14ac:dyDescent="0.25">
      <c r="C444" s="2" t="s">
        <v>15686</v>
      </c>
      <c r="D444" s="2" t="s">
        <v>122</v>
      </c>
      <c r="E444" s="2">
        <v>73</v>
      </c>
      <c r="F444" s="2">
        <v>1593.854</v>
      </c>
    </row>
    <row r="445" spans="3:6" x14ac:dyDescent="0.25">
      <c r="C445" s="2" t="s">
        <v>15687</v>
      </c>
      <c r="D445" s="2" t="s">
        <v>122</v>
      </c>
      <c r="E445" s="2">
        <v>73</v>
      </c>
      <c r="F445" s="2">
        <v>1414.689</v>
      </c>
    </row>
    <row r="446" spans="3:6" x14ac:dyDescent="0.25">
      <c r="C446" s="2" t="s">
        <v>15688</v>
      </c>
      <c r="D446" s="2" t="s">
        <v>122</v>
      </c>
      <c r="E446" s="2">
        <v>70</v>
      </c>
      <c r="F446" s="2">
        <v>1430.9</v>
      </c>
    </row>
    <row r="447" spans="3:6" x14ac:dyDescent="0.25">
      <c r="C447" s="2" t="s">
        <v>15689</v>
      </c>
      <c r="D447" s="2" t="s">
        <v>122</v>
      </c>
      <c r="E447" s="2">
        <v>40</v>
      </c>
      <c r="F447" s="2">
        <v>839.02</v>
      </c>
    </row>
    <row r="448" spans="3:6" x14ac:dyDescent="0.25">
      <c r="C448" s="2" t="s">
        <v>15690</v>
      </c>
      <c r="D448" s="2" t="s">
        <v>122</v>
      </c>
      <c r="E448" s="2">
        <v>24</v>
      </c>
      <c r="F448" s="2">
        <v>500.22</v>
      </c>
    </row>
    <row r="449" spans="3:6" x14ac:dyDescent="0.25">
      <c r="C449" s="2" t="s">
        <v>15691</v>
      </c>
      <c r="D449" s="2" t="s">
        <v>122</v>
      </c>
      <c r="E449" s="2">
        <v>104</v>
      </c>
      <c r="F449" s="2">
        <v>2030.869</v>
      </c>
    </row>
    <row r="450" spans="3:6" x14ac:dyDescent="0.25">
      <c r="C450" s="2" t="s">
        <v>15692</v>
      </c>
      <c r="D450" s="2" t="s">
        <v>122</v>
      </c>
      <c r="E450" s="2">
        <v>83</v>
      </c>
      <c r="F450" s="2">
        <v>1776.86</v>
      </c>
    </row>
    <row r="451" spans="3:6" x14ac:dyDescent="0.25">
      <c r="C451" s="2" t="s">
        <v>15693</v>
      </c>
      <c r="D451" s="2" t="s">
        <v>122</v>
      </c>
      <c r="E451" s="2">
        <v>97</v>
      </c>
      <c r="F451" s="2">
        <v>2050.569</v>
      </c>
    </row>
    <row r="452" spans="3:6" x14ac:dyDescent="0.25">
      <c r="C452" s="2" t="s">
        <v>15694</v>
      </c>
      <c r="D452" s="2" t="s">
        <v>122</v>
      </c>
      <c r="E452" s="2">
        <v>123</v>
      </c>
      <c r="F452" s="2">
        <v>1851.848</v>
      </c>
    </row>
    <row r="453" spans="3:6" x14ac:dyDescent="0.25">
      <c r="C453" s="2" t="s">
        <v>15695</v>
      </c>
      <c r="D453" s="2" t="s">
        <v>122</v>
      </c>
      <c r="E453" s="2">
        <v>43</v>
      </c>
      <c r="F453" s="2">
        <v>854.62</v>
      </c>
    </row>
    <row r="454" spans="3:6" x14ac:dyDescent="0.25">
      <c r="C454" s="2" t="s">
        <v>15696</v>
      </c>
      <c r="D454" s="2" t="s">
        <v>122</v>
      </c>
      <c r="E454" s="2">
        <v>38</v>
      </c>
      <c r="F454" s="2">
        <v>779.81</v>
      </c>
    </row>
    <row r="455" spans="3:6" x14ac:dyDescent="0.25">
      <c r="C455" s="2" t="s">
        <v>15697</v>
      </c>
      <c r="D455" s="2" t="s">
        <v>122</v>
      </c>
      <c r="E455" s="2">
        <v>30</v>
      </c>
      <c r="F455" s="2">
        <v>624.71</v>
      </c>
    </row>
    <row r="456" spans="3:6" x14ac:dyDescent="0.25">
      <c r="C456" s="2" t="s">
        <v>15698</v>
      </c>
      <c r="D456" s="2" t="s">
        <v>122</v>
      </c>
      <c r="E456" s="2">
        <v>30</v>
      </c>
      <c r="F456" s="2">
        <v>614.62</v>
      </c>
    </row>
    <row r="457" spans="3:6" x14ac:dyDescent="0.25">
      <c r="C457" s="2" t="s">
        <v>15699</v>
      </c>
      <c r="D457" s="2" t="s">
        <v>122</v>
      </c>
      <c r="E457" s="2">
        <v>39</v>
      </c>
      <c r="F457" s="2">
        <v>772.25</v>
      </c>
    </row>
    <row r="458" spans="3:6" x14ac:dyDescent="0.25">
      <c r="C458" s="2" t="s">
        <v>15700</v>
      </c>
      <c r="D458" s="2" t="s">
        <v>122</v>
      </c>
      <c r="E458" s="2">
        <v>36</v>
      </c>
      <c r="F458" s="2">
        <v>753.07</v>
      </c>
    </row>
    <row r="459" spans="3:6" x14ac:dyDescent="0.25">
      <c r="C459" s="2" t="s">
        <v>15701</v>
      </c>
      <c r="D459" s="2" t="s">
        <v>122</v>
      </c>
      <c r="E459" s="2">
        <v>66</v>
      </c>
      <c r="F459" s="2">
        <v>1366.64</v>
      </c>
    </row>
    <row r="460" spans="3:6" x14ac:dyDescent="0.25">
      <c r="C460" s="2" t="s">
        <v>15702</v>
      </c>
      <c r="D460" s="2" t="s">
        <v>122</v>
      </c>
      <c r="E460" s="2">
        <v>63</v>
      </c>
      <c r="F460" s="2">
        <v>1285.77</v>
      </c>
    </row>
    <row r="461" spans="3:6" x14ac:dyDescent="0.25">
      <c r="C461" s="2" t="s">
        <v>15703</v>
      </c>
      <c r="D461" s="2" t="s">
        <v>122</v>
      </c>
      <c r="E461" s="2">
        <v>36</v>
      </c>
      <c r="F461" s="2">
        <v>715.82</v>
      </c>
    </row>
    <row r="462" spans="3:6" x14ac:dyDescent="0.25">
      <c r="C462" s="2" t="s">
        <v>15704</v>
      </c>
      <c r="D462" s="2" t="s">
        <v>122</v>
      </c>
      <c r="E462" s="2">
        <v>42</v>
      </c>
      <c r="F462" s="2">
        <v>832.72</v>
      </c>
    </row>
    <row r="463" spans="3:6" x14ac:dyDescent="0.25">
      <c r="C463" s="2" t="s">
        <v>15705</v>
      </c>
      <c r="D463" s="2" t="s">
        <v>122</v>
      </c>
      <c r="E463" s="2">
        <v>96</v>
      </c>
      <c r="F463" s="2">
        <v>1949.44</v>
      </c>
    </row>
    <row r="464" spans="3:6" x14ac:dyDescent="0.25">
      <c r="C464" s="2" t="s">
        <v>15706</v>
      </c>
      <c r="D464" s="2" t="s">
        <v>122</v>
      </c>
      <c r="E464" s="2">
        <v>46</v>
      </c>
      <c r="F464" s="2">
        <v>914.01</v>
      </c>
    </row>
    <row r="465" spans="3:6" x14ac:dyDescent="0.25">
      <c r="C465" s="2" t="s">
        <v>15707</v>
      </c>
      <c r="D465" s="2" t="s">
        <v>122</v>
      </c>
      <c r="E465" s="2">
        <v>60</v>
      </c>
      <c r="F465" s="2">
        <v>626.618</v>
      </c>
    </row>
    <row r="466" spans="3:6" x14ac:dyDescent="0.25">
      <c r="C466" s="2" t="s">
        <v>15708</v>
      </c>
      <c r="D466" s="2" t="s">
        <v>122</v>
      </c>
      <c r="E466" s="2">
        <v>60</v>
      </c>
      <c r="F466" s="2">
        <v>1148.03</v>
      </c>
    </row>
    <row r="467" spans="3:6" x14ac:dyDescent="0.25">
      <c r="C467" s="2" t="s">
        <v>15709</v>
      </c>
      <c r="D467" s="2" t="s">
        <v>122</v>
      </c>
      <c r="E467" s="2">
        <v>103</v>
      </c>
      <c r="F467" s="2">
        <v>2028.77</v>
      </c>
    </row>
    <row r="468" spans="3:6" x14ac:dyDescent="0.25">
      <c r="C468" s="2" t="s">
        <v>15710</v>
      </c>
      <c r="D468" s="2" t="s">
        <v>122</v>
      </c>
      <c r="E468" s="2">
        <v>38</v>
      </c>
      <c r="F468" s="2">
        <v>758.45</v>
      </c>
    </row>
    <row r="469" spans="3:6" x14ac:dyDescent="0.25">
      <c r="C469" s="2" t="s">
        <v>15711</v>
      </c>
      <c r="D469" s="2" t="s">
        <v>122</v>
      </c>
      <c r="E469" s="2">
        <v>74</v>
      </c>
      <c r="F469" s="2">
        <v>1486.4</v>
      </c>
    </row>
    <row r="470" spans="3:6" x14ac:dyDescent="0.25">
      <c r="C470" s="2" t="s">
        <v>15712</v>
      </c>
      <c r="D470" s="2" t="s">
        <v>122</v>
      </c>
      <c r="E470" s="2">
        <v>67</v>
      </c>
      <c r="F470" s="2">
        <v>1282.37</v>
      </c>
    </row>
    <row r="471" spans="3:6" x14ac:dyDescent="0.25">
      <c r="C471" s="2" t="s">
        <v>15713</v>
      </c>
      <c r="D471" s="2" t="s">
        <v>122</v>
      </c>
      <c r="E471" s="2">
        <v>141</v>
      </c>
      <c r="F471" s="2">
        <v>2789.89</v>
      </c>
    </row>
    <row r="472" spans="3:6" x14ac:dyDescent="0.25">
      <c r="C472" s="2" t="s">
        <v>15714</v>
      </c>
      <c r="D472" s="2" t="s">
        <v>122</v>
      </c>
      <c r="E472" s="2">
        <v>141</v>
      </c>
      <c r="F472" s="2">
        <v>2839.11</v>
      </c>
    </row>
    <row r="473" spans="3:6" x14ac:dyDescent="0.25">
      <c r="C473" s="2" t="s">
        <v>15715</v>
      </c>
      <c r="D473" s="2" t="s">
        <v>122</v>
      </c>
      <c r="E473" s="2">
        <v>133</v>
      </c>
      <c r="F473" s="2">
        <v>2598.57</v>
      </c>
    </row>
    <row r="474" spans="3:6" x14ac:dyDescent="0.25">
      <c r="C474" s="2" t="s">
        <v>15716</v>
      </c>
      <c r="D474" s="2" t="s">
        <v>122</v>
      </c>
      <c r="E474" s="2">
        <v>141</v>
      </c>
      <c r="F474" s="2">
        <v>2822.949</v>
      </c>
    </row>
    <row r="475" spans="3:6" x14ac:dyDescent="0.25">
      <c r="C475" s="2" t="s">
        <v>15717</v>
      </c>
      <c r="D475" s="2" t="s">
        <v>122</v>
      </c>
      <c r="E475" s="2">
        <v>42</v>
      </c>
      <c r="F475" s="2">
        <v>859.86</v>
      </c>
    </row>
    <row r="476" spans="3:6" x14ac:dyDescent="0.25">
      <c r="C476" s="2" t="s">
        <v>15718</v>
      </c>
      <c r="D476" s="2" t="s">
        <v>122</v>
      </c>
      <c r="E476" s="2">
        <v>99</v>
      </c>
      <c r="F476" s="2">
        <v>1993.24</v>
      </c>
    </row>
    <row r="477" spans="3:6" x14ac:dyDescent="0.25">
      <c r="C477" s="2" t="s">
        <v>15719</v>
      </c>
      <c r="D477" s="2" t="s">
        <v>122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15720</v>
      </c>
      <c r="D478" s="2" t="s">
        <v>122</v>
      </c>
      <c r="E478" s="2">
        <v>40</v>
      </c>
      <c r="F478" s="2">
        <v>821.08</v>
      </c>
    </row>
    <row r="479" spans="3:6" x14ac:dyDescent="0.25">
      <c r="C479" s="2" t="s">
        <v>15721</v>
      </c>
      <c r="D479" s="2" t="s">
        <v>122</v>
      </c>
      <c r="E479" s="2">
        <v>100</v>
      </c>
      <c r="F479" s="2">
        <v>1874.19</v>
      </c>
    </row>
    <row r="480" spans="3:6" x14ac:dyDescent="0.25">
      <c r="C480" s="2" t="s">
        <v>15722</v>
      </c>
      <c r="D480" s="2" t="s">
        <v>122</v>
      </c>
      <c r="E480" s="2">
        <v>41</v>
      </c>
      <c r="F480" s="2">
        <v>823.91</v>
      </c>
    </row>
    <row r="481" spans="3:6" x14ac:dyDescent="0.25">
      <c r="C481" s="2" t="s">
        <v>15723</v>
      </c>
      <c r="D481" s="2" t="s">
        <v>122</v>
      </c>
      <c r="E481" s="2">
        <v>68</v>
      </c>
      <c r="F481" s="2">
        <v>1341.299</v>
      </c>
    </row>
    <row r="482" spans="3:6" x14ac:dyDescent="0.25">
      <c r="C482" s="2" t="s">
        <v>15724</v>
      </c>
      <c r="D482" s="2" t="s">
        <v>122</v>
      </c>
      <c r="E482" s="2">
        <v>34</v>
      </c>
      <c r="F482" s="2">
        <v>703.82</v>
      </c>
    </row>
    <row r="483" spans="3:6" x14ac:dyDescent="0.25">
      <c r="C483" s="2" t="s">
        <v>15725</v>
      </c>
      <c r="D483" s="2" t="s">
        <v>122</v>
      </c>
      <c r="E483" s="2">
        <v>102</v>
      </c>
      <c r="F483" s="2">
        <v>1945.87</v>
      </c>
    </row>
    <row r="484" spans="3:6" x14ac:dyDescent="0.25">
      <c r="C484" s="2" t="s">
        <v>15726</v>
      </c>
      <c r="D484" s="2" t="s">
        <v>122</v>
      </c>
      <c r="E484" s="2">
        <v>103</v>
      </c>
      <c r="F484" s="2">
        <v>1937.52</v>
      </c>
    </row>
    <row r="485" spans="3:6" x14ac:dyDescent="0.25">
      <c r="C485" s="2" t="s">
        <v>15727</v>
      </c>
      <c r="D485" s="2" t="s">
        <v>122</v>
      </c>
      <c r="E485" s="2">
        <v>102</v>
      </c>
      <c r="F485" s="2">
        <v>2119.07</v>
      </c>
    </row>
    <row r="486" spans="3:6" x14ac:dyDescent="0.25">
      <c r="C486" s="2" t="s">
        <v>15728</v>
      </c>
      <c r="D486" s="2" t="s">
        <v>122</v>
      </c>
      <c r="E486" s="2">
        <v>102</v>
      </c>
      <c r="F486" s="2">
        <v>2010.31</v>
      </c>
    </row>
    <row r="487" spans="3:6" x14ac:dyDescent="0.25">
      <c r="C487" s="2" t="s">
        <v>15729</v>
      </c>
      <c r="D487" s="2" t="s">
        <v>122</v>
      </c>
      <c r="E487" s="2">
        <v>30</v>
      </c>
      <c r="F487" s="2">
        <v>563.01</v>
      </c>
    </row>
    <row r="488" spans="3:6" x14ac:dyDescent="0.25">
      <c r="C488" s="2" t="s">
        <v>15730</v>
      </c>
      <c r="D488" s="2" t="s">
        <v>122</v>
      </c>
      <c r="E488" s="2">
        <v>20</v>
      </c>
      <c r="F488" s="2">
        <v>390.33</v>
      </c>
    </row>
    <row r="489" spans="3:6" x14ac:dyDescent="0.25">
      <c r="C489" s="2" t="s">
        <v>15731</v>
      </c>
      <c r="D489" s="2" t="s">
        <v>122</v>
      </c>
      <c r="E489" s="2">
        <v>52</v>
      </c>
      <c r="F489" s="2">
        <v>1117.179</v>
      </c>
    </row>
    <row r="490" spans="3:6" x14ac:dyDescent="0.25">
      <c r="C490" s="2" t="s">
        <v>15732</v>
      </c>
      <c r="D490" s="2" t="s">
        <v>122</v>
      </c>
      <c r="E490" s="2">
        <v>15</v>
      </c>
      <c r="F490" s="2">
        <v>286.31</v>
      </c>
    </row>
    <row r="491" spans="3:6" x14ac:dyDescent="0.25">
      <c r="C491" s="2" t="s">
        <v>15733</v>
      </c>
      <c r="D491" s="2" t="s">
        <v>122</v>
      </c>
      <c r="E491" s="2">
        <v>45</v>
      </c>
      <c r="F491" s="2">
        <v>854.76</v>
      </c>
    </row>
    <row r="492" spans="3:6" x14ac:dyDescent="0.25">
      <c r="C492" s="2" t="s">
        <v>15734</v>
      </c>
      <c r="D492" s="2" t="s">
        <v>122</v>
      </c>
      <c r="E492" s="2">
        <v>27</v>
      </c>
      <c r="F492" s="2">
        <v>579.13</v>
      </c>
    </row>
    <row r="493" spans="3:6" x14ac:dyDescent="0.25">
      <c r="C493" s="2" t="s">
        <v>15735</v>
      </c>
      <c r="D493" s="2" t="s">
        <v>122</v>
      </c>
      <c r="E493" s="2">
        <v>15</v>
      </c>
      <c r="F493" s="2">
        <v>290.2</v>
      </c>
    </row>
    <row r="494" spans="3:6" x14ac:dyDescent="0.25">
      <c r="C494" s="2" t="s">
        <v>15736</v>
      </c>
      <c r="D494" s="2" t="s">
        <v>122</v>
      </c>
      <c r="E494" s="2">
        <v>65</v>
      </c>
      <c r="F494" s="2">
        <v>1318.45</v>
      </c>
    </row>
    <row r="495" spans="3:6" x14ac:dyDescent="0.25">
      <c r="C495" s="2" t="s">
        <v>15737</v>
      </c>
      <c r="D495" s="2" t="s">
        <v>122</v>
      </c>
      <c r="E495" s="2">
        <v>10</v>
      </c>
      <c r="F495" s="2">
        <v>201.9</v>
      </c>
    </row>
    <row r="496" spans="3:6" x14ac:dyDescent="0.25">
      <c r="C496" s="2" t="s">
        <v>15738</v>
      </c>
      <c r="D496" s="2" t="s">
        <v>122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2196</v>
      </c>
      <c r="C498" s="2" t="s">
        <v>15739</v>
      </c>
      <c r="D498" s="2" t="s">
        <v>9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15740</v>
      </c>
      <c r="D499" s="2" t="s">
        <v>9</v>
      </c>
      <c r="E499" s="2">
        <v>204</v>
      </c>
      <c r="F499" s="2">
        <v>4133.329</v>
      </c>
    </row>
    <row r="500" spans="3:6" x14ac:dyDescent="0.25">
      <c r="C500" s="2" t="s">
        <v>15741</v>
      </c>
      <c r="D500" s="2" t="s">
        <v>9</v>
      </c>
      <c r="E500" s="2">
        <v>246</v>
      </c>
      <c r="F500" s="2">
        <v>4889.119</v>
      </c>
    </row>
    <row r="501" spans="3:6" x14ac:dyDescent="0.25">
      <c r="C501" s="2" t="s">
        <v>15742</v>
      </c>
      <c r="D501" s="2" t="s">
        <v>9</v>
      </c>
      <c r="E501" s="2">
        <v>246</v>
      </c>
      <c r="F501" s="2">
        <v>5049.618</v>
      </c>
    </row>
    <row r="502" spans="3:6" x14ac:dyDescent="0.25">
      <c r="C502" s="2" t="s">
        <v>15743</v>
      </c>
      <c r="D502" s="2" t="s">
        <v>9</v>
      </c>
      <c r="E502" s="2">
        <v>282</v>
      </c>
      <c r="F502" s="2">
        <v>5764.17</v>
      </c>
    </row>
    <row r="503" spans="3:6" x14ac:dyDescent="0.25">
      <c r="C503" s="2" t="s">
        <v>15744</v>
      </c>
      <c r="D503" s="2" t="s">
        <v>9</v>
      </c>
      <c r="E503" s="2">
        <v>282</v>
      </c>
      <c r="F503" s="2">
        <v>5618.299</v>
      </c>
    </row>
    <row r="504" spans="3:6" x14ac:dyDescent="0.25">
      <c r="C504" s="2" t="s">
        <v>15745</v>
      </c>
      <c r="D504" s="2" t="s">
        <v>9</v>
      </c>
      <c r="E504" s="2">
        <v>236</v>
      </c>
      <c r="F504" s="2">
        <v>4809.19</v>
      </c>
    </row>
    <row r="505" spans="3:6" x14ac:dyDescent="0.25">
      <c r="C505" s="2" t="s">
        <v>15746</v>
      </c>
      <c r="D505" s="2" t="s">
        <v>9</v>
      </c>
      <c r="E505" s="2">
        <v>141</v>
      </c>
      <c r="F505" s="2">
        <v>2971.57</v>
      </c>
    </row>
    <row r="506" spans="3:6" x14ac:dyDescent="0.25">
      <c r="C506" s="2" t="s">
        <v>15747</v>
      </c>
      <c r="D506" s="2" t="s">
        <v>9</v>
      </c>
      <c r="E506" s="2">
        <v>204</v>
      </c>
      <c r="F506" s="2">
        <v>4066.18</v>
      </c>
    </row>
    <row r="507" spans="3:6" x14ac:dyDescent="0.25">
      <c r="C507" s="2" t="s">
        <v>15748</v>
      </c>
      <c r="D507" s="2" t="s">
        <v>9</v>
      </c>
      <c r="E507" s="2">
        <v>72</v>
      </c>
      <c r="F507" s="2">
        <v>1262.63</v>
      </c>
    </row>
    <row r="508" spans="3:6" x14ac:dyDescent="0.25">
      <c r="C508" s="2" t="s">
        <v>15749</v>
      </c>
      <c r="D508" s="2" t="s">
        <v>9</v>
      </c>
      <c r="E508" s="2">
        <v>4</v>
      </c>
      <c r="F508" s="2">
        <v>28.11</v>
      </c>
    </row>
    <row r="509" spans="3:6" x14ac:dyDescent="0.25">
      <c r="C509" s="2" t="s">
        <v>15750</v>
      </c>
      <c r="D509" s="2" t="s">
        <v>9</v>
      </c>
      <c r="E509" s="2">
        <v>209</v>
      </c>
      <c r="F509" s="2">
        <v>4242.41</v>
      </c>
    </row>
    <row r="510" spans="3:6" x14ac:dyDescent="0.25">
      <c r="C510" s="2" t="s">
        <v>15751</v>
      </c>
      <c r="D510" s="2" t="s">
        <v>9</v>
      </c>
      <c r="E510" s="2">
        <v>73</v>
      </c>
      <c r="F510" s="2">
        <v>1477.93</v>
      </c>
    </row>
    <row r="511" spans="3:6" x14ac:dyDescent="0.25">
      <c r="C511" s="2" t="s">
        <v>15752</v>
      </c>
      <c r="D511" s="2" t="s">
        <v>9</v>
      </c>
      <c r="E511" s="2">
        <v>282</v>
      </c>
      <c r="F511" s="2">
        <v>5694.079</v>
      </c>
    </row>
    <row r="512" spans="3:6" x14ac:dyDescent="0.25">
      <c r="C512" s="2" t="s">
        <v>15753</v>
      </c>
      <c r="D512" s="2" t="s">
        <v>9</v>
      </c>
      <c r="E512" s="2">
        <v>205</v>
      </c>
      <c r="F512" s="2">
        <v>4176.849</v>
      </c>
    </row>
    <row r="513" spans="3:6" x14ac:dyDescent="0.25">
      <c r="C513" s="2" t="s">
        <v>15754</v>
      </c>
      <c r="D513" s="2" t="s">
        <v>9</v>
      </c>
      <c r="E513" s="2">
        <v>77</v>
      </c>
      <c r="F513" s="2">
        <v>1665.92</v>
      </c>
    </row>
    <row r="514" spans="3:6" x14ac:dyDescent="0.25">
      <c r="C514" s="2" t="s">
        <v>15755</v>
      </c>
      <c r="D514" s="2" t="s">
        <v>9</v>
      </c>
      <c r="E514" s="2">
        <v>141</v>
      </c>
      <c r="F514" s="2">
        <v>2878.58</v>
      </c>
    </row>
    <row r="515" spans="3:6" x14ac:dyDescent="0.25">
      <c r="C515" s="2" t="s">
        <v>15756</v>
      </c>
      <c r="D515" s="2" t="s">
        <v>9</v>
      </c>
      <c r="E515" s="2">
        <v>104</v>
      </c>
      <c r="F515" s="2">
        <v>1833.439</v>
      </c>
    </row>
    <row r="516" spans="3:6" x14ac:dyDescent="0.25">
      <c r="C516" s="2" t="s">
        <v>15757</v>
      </c>
      <c r="D516" s="2" t="s">
        <v>9</v>
      </c>
      <c r="E516" s="2">
        <v>35</v>
      </c>
      <c r="F516" s="2">
        <v>716.54</v>
      </c>
    </row>
    <row r="517" spans="3:6" x14ac:dyDescent="0.25">
      <c r="C517" s="2" t="s">
        <v>15758</v>
      </c>
      <c r="D517" s="2" t="s">
        <v>9</v>
      </c>
      <c r="E517" s="2">
        <v>102</v>
      </c>
      <c r="F517" s="2">
        <v>2055.529</v>
      </c>
    </row>
    <row r="518" spans="3:6" x14ac:dyDescent="0.25">
      <c r="C518" s="2" t="s">
        <v>15759</v>
      </c>
      <c r="D518" s="2" t="s">
        <v>9</v>
      </c>
      <c r="E518" s="2">
        <v>36</v>
      </c>
      <c r="F518" s="2">
        <v>701.8</v>
      </c>
    </row>
    <row r="519" spans="3:6" x14ac:dyDescent="0.25">
      <c r="C519" s="2" t="s">
        <v>15760</v>
      </c>
      <c r="D519" s="2" t="s">
        <v>9</v>
      </c>
      <c r="E519" s="2">
        <v>105</v>
      </c>
      <c r="F519" s="2">
        <v>2019.199</v>
      </c>
    </row>
    <row r="520" spans="3:6" x14ac:dyDescent="0.25">
      <c r="C520" s="2" t="s">
        <v>15761</v>
      </c>
      <c r="D520" s="2" t="s">
        <v>9</v>
      </c>
      <c r="E520" s="2">
        <v>104</v>
      </c>
      <c r="F520" s="2">
        <v>1997.65</v>
      </c>
    </row>
    <row r="521" spans="3:6" x14ac:dyDescent="0.25">
      <c r="C521" s="2" t="s">
        <v>15762</v>
      </c>
      <c r="D521" s="2" t="s">
        <v>9</v>
      </c>
      <c r="E521" s="2">
        <v>37</v>
      </c>
      <c r="F521" s="2">
        <v>674.2</v>
      </c>
    </row>
    <row r="522" spans="3:6" x14ac:dyDescent="0.25">
      <c r="C522" s="2" t="s">
        <v>15763</v>
      </c>
      <c r="D522" s="2" t="s">
        <v>9</v>
      </c>
      <c r="E522" s="2">
        <v>60</v>
      </c>
      <c r="F522" s="2">
        <v>256.248</v>
      </c>
    </row>
    <row r="523" spans="3:6" x14ac:dyDescent="0.25">
      <c r="C523" s="2" t="s">
        <v>15764</v>
      </c>
      <c r="D523" s="2" t="s">
        <v>9</v>
      </c>
      <c r="E523" s="2">
        <v>60</v>
      </c>
      <c r="F523" s="2">
        <v>256.61</v>
      </c>
    </row>
    <row r="524" spans="3:6" x14ac:dyDescent="0.25">
      <c r="C524" s="2" t="s">
        <v>15765</v>
      </c>
      <c r="D524" s="2" t="s">
        <v>9</v>
      </c>
      <c r="E524" s="2">
        <v>60</v>
      </c>
      <c r="F524" s="2">
        <v>259.279</v>
      </c>
    </row>
    <row r="525" spans="3:6" x14ac:dyDescent="0.25">
      <c r="C525" s="2" t="s">
        <v>15766</v>
      </c>
      <c r="D525" s="2" t="s">
        <v>9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15767</v>
      </c>
      <c r="C527" s="2" t="s">
        <v>15768</v>
      </c>
      <c r="D527" s="2" t="s">
        <v>15769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15528</v>
      </c>
      <c r="C529" s="2" t="s">
        <v>15770</v>
      </c>
      <c r="D529" s="2" t="s">
        <v>8924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375</v>
      </c>
      <c r="C531" s="2" t="s">
        <v>15771</v>
      </c>
      <c r="D531" s="2" t="s">
        <v>216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15772</v>
      </c>
      <c r="D532" s="2" t="s">
        <v>236</v>
      </c>
      <c r="E532" s="2">
        <v>35</v>
      </c>
      <c r="F532" s="2">
        <v>615.83</v>
      </c>
    </row>
    <row r="533" spans="3:6" x14ac:dyDescent="0.25">
      <c r="C533" s="2" t="s">
        <v>15773</v>
      </c>
      <c r="D533" s="2" t="s">
        <v>236</v>
      </c>
      <c r="E533" s="2">
        <v>12</v>
      </c>
      <c r="F533" s="2">
        <v>222.49</v>
      </c>
    </row>
    <row r="534" spans="3:6" x14ac:dyDescent="0.25">
      <c r="C534" s="2" t="s">
        <v>15774</v>
      </c>
      <c r="D534" s="2" t="s">
        <v>236</v>
      </c>
      <c r="E534" s="2">
        <v>80</v>
      </c>
      <c r="F534" s="2">
        <v>1545.18</v>
      </c>
    </row>
    <row r="535" spans="3:6" x14ac:dyDescent="0.25">
      <c r="C535" s="2" t="s">
        <v>15775</v>
      </c>
      <c r="D535" s="2" t="s">
        <v>236</v>
      </c>
      <c r="E535" s="2">
        <v>29</v>
      </c>
      <c r="F535" s="2">
        <v>551.21</v>
      </c>
    </row>
    <row r="536" spans="3:6" x14ac:dyDescent="0.25">
      <c r="C536" s="2" t="s">
        <v>15776</v>
      </c>
      <c r="D536" s="2" t="s">
        <v>216</v>
      </c>
      <c r="E536" s="2">
        <v>19</v>
      </c>
      <c r="F536" s="2">
        <v>328.53</v>
      </c>
    </row>
    <row r="537" spans="3:6" x14ac:dyDescent="0.25">
      <c r="C537" s="2" t="s">
        <v>15777</v>
      </c>
      <c r="D537" s="2" t="s">
        <v>347</v>
      </c>
      <c r="E537" s="2">
        <v>62</v>
      </c>
      <c r="F537" s="2">
        <v>1140.705</v>
      </c>
    </row>
    <row r="538" spans="3:6" x14ac:dyDescent="0.25">
      <c r="C538" s="2" t="s">
        <v>15778</v>
      </c>
      <c r="D538" s="2" t="s">
        <v>347</v>
      </c>
      <c r="E538" s="2">
        <v>70</v>
      </c>
      <c r="F538" s="2">
        <v>1306.49</v>
      </c>
    </row>
    <row r="539" spans="3:6" x14ac:dyDescent="0.25">
      <c r="C539" s="2" t="s">
        <v>15779</v>
      </c>
      <c r="D539" s="2" t="s">
        <v>347</v>
      </c>
      <c r="E539" s="2">
        <v>24</v>
      </c>
      <c r="F539" s="2">
        <v>483.77</v>
      </c>
    </row>
    <row r="540" spans="3:6" x14ac:dyDescent="0.25">
      <c r="C540" s="2" t="s">
        <v>15780</v>
      </c>
      <c r="D540" s="2" t="s">
        <v>204</v>
      </c>
      <c r="E540" s="2">
        <v>156</v>
      </c>
      <c r="F540" s="2">
        <v>2976.414</v>
      </c>
    </row>
    <row r="541" spans="3:6" x14ac:dyDescent="0.25">
      <c r="C541" s="2" t="s">
        <v>15781</v>
      </c>
      <c r="D541" s="2" t="s">
        <v>204</v>
      </c>
      <c r="E541" s="2">
        <v>87</v>
      </c>
      <c r="F541" s="2">
        <v>1636.88</v>
      </c>
    </row>
    <row r="542" spans="3:6" x14ac:dyDescent="0.25">
      <c r="C542" s="2" t="s">
        <v>15782</v>
      </c>
      <c r="D542" s="2" t="s">
        <v>347</v>
      </c>
      <c r="E542" s="2">
        <v>56</v>
      </c>
      <c r="F542" s="2">
        <v>1082.27</v>
      </c>
    </row>
    <row r="543" spans="3:6" x14ac:dyDescent="0.25">
      <c r="C543" s="2" t="s">
        <v>15783</v>
      </c>
      <c r="D543" s="2" t="s">
        <v>347</v>
      </c>
      <c r="E543" s="2">
        <v>100</v>
      </c>
      <c r="F543" s="2">
        <v>1939.638</v>
      </c>
    </row>
    <row r="544" spans="3:6" x14ac:dyDescent="0.25">
      <c r="C544" s="2" t="s">
        <v>15784</v>
      </c>
      <c r="D544" s="2" t="s">
        <v>216</v>
      </c>
      <c r="E544" s="2">
        <v>134</v>
      </c>
      <c r="F544" s="2">
        <v>2758.28</v>
      </c>
    </row>
    <row r="545" spans="3:6" x14ac:dyDescent="0.25">
      <c r="C545" s="2" t="s">
        <v>15785</v>
      </c>
      <c r="D545" s="2" t="s">
        <v>216</v>
      </c>
      <c r="E545" s="2">
        <v>134</v>
      </c>
      <c r="F545" s="2">
        <v>2720.808</v>
      </c>
    </row>
    <row r="546" spans="3:6" x14ac:dyDescent="0.25">
      <c r="C546" s="2" t="s">
        <v>15786</v>
      </c>
      <c r="D546" s="2" t="s">
        <v>216</v>
      </c>
      <c r="E546" s="2">
        <v>134</v>
      </c>
      <c r="F546" s="2">
        <v>2620.848</v>
      </c>
    </row>
    <row r="547" spans="3:6" x14ac:dyDescent="0.25">
      <c r="C547" s="2" t="s">
        <v>15787</v>
      </c>
      <c r="D547" s="2" t="s">
        <v>216</v>
      </c>
      <c r="E547" s="2">
        <v>134</v>
      </c>
      <c r="F547" s="2">
        <v>2650.09</v>
      </c>
    </row>
    <row r="548" spans="3:6" x14ac:dyDescent="0.25">
      <c r="C548" s="2" t="s">
        <v>15788</v>
      </c>
      <c r="D548" s="2" t="s">
        <v>216</v>
      </c>
      <c r="E548" s="2">
        <v>134</v>
      </c>
      <c r="F548" s="2">
        <v>2726.95</v>
      </c>
    </row>
    <row r="549" spans="3:6" x14ac:dyDescent="0.25">
      <c r="C549" s="2" t="s">
        <v>15789</v>
      </c>
      <c r="D549" s="2" t="s">
        <v>216</v>
      </c>
      <c r="E549" s="2">
        <v>134</v>
      </c>
      <c r="F549" s="2">
        <v>2712.29</v>
      </c>
    </row>
    <row r="550" spans="3:6" x14ac:dyDescent="0.25">
      <c r="C550" s="2" t="s">
        <v>15790</v>
      </c>
      <c r="D550" s="2" t="s">
        <v>204</v>
      </c>
      <c r="E550" s="2">
        <v>18</v>
      </c>
      <c r="F550" s="2">
        <v>352</v>
      </c>
    </row>
    <row r="551" spans="3:6" x14ac:dyDescent="0.25">
      <c r="C551" s="2" t="s">
        <v>15791</v>
      </c>
      <c r="D551" s="2" t="s">
        <v>204</v>
      </c>
      <c r="E551" s="2">
        <v>105</v>
      </c>
      <c r="F551" s="2">
        <v>800</v>
      </c>
    </row>
    <row r="552" spans="3:6" x14ac:dyDescent="0.25">
      <c r="C552" s="2" t="s">
        <v>15792</v>
      </c>
      <c r="D552" s="2" t="s">
        <v>204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15793</v>
      </c>
      <c r="C554" s="2" t="s">
        <v>15794</v>
      </c>
      <c r="D554" s="2" t="s">
        <v>216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15795</v>
      </c>
      <c r="D555" s="2" t="s">
        <v>204</v>
      </c>
      <c r="E555" s="2">
        <v>107</v>
      </c>
      <c r="F555" s="2">
        <v>1730.389</v>
      </c>
    </row>
    <row r="556" spans="3:6" x14ac:dyDescent="0.25">
      <c r="C556" s="2" t="s">
        <v>15796</v>
      </c>
      <c r="D556" s="2" t="s">
        <v>204</v>
      </c>
      <c r="E556" s="2">
        <v>105</v>
      </c>
      <c r="F556" s="2">
        <v>2026.13</v>
      </c>
    </row>
    <row r="557" spans="3:6" x14ac:dyDescent="0.25">
      <c r="C557" s="2" t="s">
        <v>15797</v>
      </c>
      <c r="D557" s="2" t="s">
        <v>204</v>
      </c>
      <c r="E557" s="2">
        <v>105</v>
      </c>
      <c r="F557" s="2">
        <v>1862.378</v>
      </c>
    </row>
    <row r="558" spans="3:6" x14ac:dyDescent="0.25">
      <c r="C558" s="2" t="s">
        <v>15798</v>
      </c>
      <c r="D558" s="2" t="s">
        <v>216</v>
      </c>
      <c r="E558" s="2">
        <v>105</v>
      </c>
      <c r="F558" s="2">
        <v>1896.399</v>
      </c>
    </row>
    <row r="559" spans="3:6" x14ac:dyDescent="0.25">
      <c r="C559" s="2" t="s">
        <v>15799</v>
      </c>
      <c r="D559" s="2" t="s">
        <v>214</v>
      </c>
      <c r="E559" s="2">
        <v>156</v>
      </c>
      <c r="F559" s="2">
        <v>2688.479</v>
      </c>
    </row>
    <row r="560" spans="3:6" x14ac:dyDescent="0.25">
      <c r="C560" s="2" t="s">
        <v>15800</v>
      </c>
      <c r="D560" s="2" t="s">
        <v>297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380</v>
      </c>
      <c r="C562" s="2" t="s">
        <v>15801</v>
      </c>
      <c r="D562" s="2" t="s">
        <v>20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15802</v>
      </c>
      <c r="D563" s="2" t="s">
        <v>20</v>
      </c>
      <c r="E563" s="2">
        <v>102</v>
      </c>
      <c r="F563" s="2">
        <v>2015.1</v>
      </c>
    </row>
    <row r="564" spans="3:6" x14ac:dyDescent="0.25">
      <c r="C564" s="2" t="s">
        <v>15803</v>
      </c>
      <c r="D564" s="2" t="s">
        <v>20</v>
      </c>
      <c r="E564" s="2">
        <v>102</v>
      </c>
      <c r="F564" s="2">
        <v>1860.529</v>
      </c>
    </row>
    <row r="565" spans="3:6" x14ac:dyDescent="0.25">
      <c r="C565" s="2" t="s">
        <v>15804</v>
      </c>
      <c r="D565" s="2" t="s">
        <v>20</v>
      </c>
      <c r="E565" s="2">
        <v>102</v>
      </c>
      <c r="F565" s="2">
        <v>1976.619</v>
      </c>
    </row>
    <row r="566" spans="3:6" x14ac:dyDescent="0.25">
      <c r="C566" s="2" t="s">
        <v>15805</v>
      </c>
      <c r="D566" s="2" t="s">
        <v>20</v>
      </c>
      <c r="E566" s="2">
        <v>149</v>
      </c>
      <c r="F566" s="2">
        <v>2783.448</v>
      </c>
    </row>
    <row r="567" spans="3:6" x14ac:dyDescent="0.25">
      <c r="C567" s="2" t="s">
        <v>15806</v>
      </c>
      <c r="D567" s="2" t="s">
        <v>20</v>
      </c>
      <c r="E567" s="2">
        <v>102</v>
      </c>
      <c r="F567" s="2">
        <v>1972.79</v>
      </c>
    </row>
    <row r="568" spans="3:6" x14ac:dyDescent="0.25">
      <c r="C568" s="2" t="s">
        <v>15807</v>
      </c>
      <c r="D568" s="2" t="s">
        <v>20</v>
      </c>
      <c r="E568" s="2">
        <v>149</v>
      </c>
      <c r="F568" s="2">
        <v>2855.25</v>
      </c>
    </row>
    <row r="569" spans="3:6" x14ac:dyDescent="0.25">
      <c r="C569" s="2" t="s">
        <v>15808</v>
      </c>
      <c r="D569" s="2" t="s">
        <v>20</v>
      </c>
      <c r="E569" s="2">
        <v>149</v>
      </c>
      <c r="F569" s="2">
        <v>2745.919</v>
      </c>
    </row>
    <row r="570" spans="3:6" x14ac:dyDescent="0.25">
      <c r="C570" s="2" t="s">
        <v>15809</v>
      </c>
      <c r="D570" s="2" t="s">
        <v>20</v>
      </c>
      <c r="E570" s="2">
        <v>144</v>
      </c>
      <c r="F570" s="2">
        <v>2304.879</v>
      </c>
    </row>
    <row r="571" spans="3:6" x14ac:dyDescent="0.25">
      <c r="C571" s="2" t="s">
        <v>15810</v>
      </c>
      <c r="D571" s="2" t="s">
        <v>20</v>
      </c>
      <c r="E571" s="2">
        <v>97</v>
      </c>
      <c r="F571" s="2">
        <v>2391.38</v>
      </c>
    </row>
    <row r="572" spans="3:6" x14ac:dyDescent="0.25">
      <c r="C572" s="2" t="s">
        <v>15811</v>
      </c>
      <c r="D572" s="2" t="s">
        <v>20</v>
      </c>
      <c r="E572" s="2">
        <v>71</v>
      </c>
      <c r="F572" s="2">
        <v>1462.362</v>
      </c>
    </row>
    <row r="573" spans="3:6" x14ac:dyDescent="0.25">
      <c r="C573" s="2" t="s">
        <v>15812</v>
      </c>
      <c r="D573" s="2" t="s">
        <v>20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1434</v>
      </c>
      <c r="C575" s="2" t="s">
        <v>15813</v>
      </c>
      <c r="D575" s="2" t="s">
        <v>27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15814</v>
      </c>
      <c r="D576" s="2" t="s">
        <v>27</v>
      </c>
      <c r="E576" s="2">
        <v>20</v>
      </c>
      <c r="F576" s="2">
        <v>373.31</v>
      </c>
    </row>
    <row r="577" spans="3:6" x14ac:dyDescent="0.25">
      <c r="C577" s="2" t="s">
        <v>15815</v>
      </c>
      <c r="D577" s="2" t="s">
        <v>27</v>
      </c>
      <c r="E577" s="2">
        <v>20</v>
      </c>
      <c r="F577" s="2">
        <v>373.38</v>
      </c>
    </row>
    <row r="578" spans="3:6" x14ac:dyDescent="0.25">
      <c r="C578" s="2" t="s">
        <v>15816</v>
      </c>
      <c r="D578" s="2" t="s">
        <v>27</v>
      </c>
      <c r="E578" s="2">
        <v>6</v>
      </c>
      <c r="F578" s="2">
        <v>106.92</v>
      </c>
    </row>
    <row r="579" spans="3:6" x14ac:dyDescent="0.25">
      <c r="C579" s="2" t="s">
        <v>15817</v>
      </c>
      <c r="D579" s="2" t="s">
        <v>27</v>
      </c>
      <c r="E579" s="2">
        <v>75</v>
      </c>
      <c r="F579" s="2">
        <v>1315.17</v>
      </c>
    </row>
    <row r="580" spans="3:6" x14ac:dyDescent="0.25">
      <c r="C580" s="2" t="s">
        <v>15818</v>
      </c>
      <c r="D580" s="2" t="s">
        <v>27</v>
      </c>
      <c r="E580" s="2">
        <v>20</v>
      </c>
      <c r="F580" s="2">
        <v>354.38</v>
      </c>
    </row>
    <row r="581" spans="3:6" x14ac:dyDescent="0.25">
      <c r="C581" s="2" t="s">
        <v>15819</v>
      </c>
      <c r="D581" s="2" t="s">
        <v>27</v>
      </c>
      <c r="E581" s="2">
        <v>61</v>
      </c>
      <c r="F581" s="2">
        <v>1253.03</v>
      </c>
    </row>
    <row r="582" spans="3:6" x14ac:dyDescent="0.25">
      <c r="C582" s="2" t="s">
        <v>15820</v>
      </c>
      <c r="D582" s="2" t="s">
        <v>27</v>
      </c>
      <c r="E582" s="2">
        <v>96</v>
      </c>
      <c r="F582" s="2">
        <v>1733.63</v>
      </c>
    </row>
    <row r="583" spans="3:6" x14ac:dyDescent="0.25">
      <c r="C583" s="2" t="s">
        <v>15821</v>
      </c>
      <c r="D583" s="2" t="s">
        <v>27</v>
      </c>
      <c r="E583" s="2">
        <v>21</v>
      </c>
      <c r="F583" s="2">
        <v>350.949</v>
      </c>
    </row>
    <row r="584" spans="3:6" x14ac:dyDescent="0.25">
      <c r="C584" s="2" t="s">
        <v>15822</v>
      </c>
      <c r="D584" s="2" t="s">
        <v>27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324</v>
      </c>
      <c r="C586" s="2" t="s">
        <v>15823</v>
      </c>
      <c r="D586" s="2" t="s">
        <v>122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15824</v>
      </c>
      <c r="D587" s="2" t="s">
        <v>122</v>
      </c>
      <c r="E587" s="2">
        <v>121</v>
      </c>
      <c r="F587" s="2">
        <v>2419.52</v>
      </c>
    </row>
    <row r="588" spans="3:6" x14ac:dyDescent="0.25">
      <c r="C588" s="2" t="s">
        <v>15825</v>
      </c>
      <c r="D588" s="2" t="s">
        <v>122</v>
      </c>
      <c r="E588" s="2">
        <v>141</v>
      </c>
      <c r="F588" s="2">
        <v>2913.68</v>
      </c>
    </row>
    <row r="589" spans="3:6" x14ac:dyDescent="0.25">
      <c r="C589" s="2" t="s">
        <v>15826</v>
      </c>
      <c r="D589" s="2" t="s">
        <v>122</v>
      </c>
      <c r="E589" s="2">
        <v>141</v>
      </c>
      <c r="F589" s="2">
        <v>2919.09</v>
      </c>
    </row>
    <row r="590" spans="3:6" x14ac:dyDescent="0.25">
      <c r="C590" s="2" t="s">
        <v>15827</v>
      </c>
      <c r="D590" s="2" t="s">
        <v>122</v>
      </c>
      <c r="E590" s="2">
        <v>71</v>
      </c>
      <c r="F590" s="2">
        <v>1463.3</v>
      </c>
    </row>
    <row r="591" spans="3:6" x14ac:dyDescent="0.25">
      <c r="C591" s="2" t="s">
        <v>15828</v>
      </c>
      <c r="D591" s="2" t="s">
        <v>122</v>
      </c>
      <c r="E591" s="2">
        <v>41</v>
      </c>
      <c r="F591" s="2">
        <v>825.37</v>
      </c>
    </row>
    <row r="592" spans="3:6" x14ac:dyDescent="0.25">
      <c r="C592" s="2" t="s">
        <v>15829</v>
      </c>
      <c r="D592" s="2" t="s">
        <v>122</v>
      </c>
      <c r="E592" s="2">
        <v>29</v>
      </c>
      <c r="F592" s="2">
        <v>583.599</v>
      </c>
    </row>
    <row r="593" spans="3:6" x14ac:dyDescent="0.25">
      <c r="C593" s="2" t="s">
        <v>15830</v>
      </c>
      <c r="D593" s="2" t="s">
        <v>122</v>
      </c>
      <c r="E593" s="2">
        <v>69</v>
      </c>
      <c r="F593" s="2">
        <v>1430.39</v>
      </c>
    </row>
    <row r="594" spans="3:6" x14ac:dyDescent="0.25">
      <c r="C594" s="2" t="s">
        <v>15831</v>
      </c>
      <c r="D594" s="2" t="s">
        <v>122</v>
      </c>
      <c r="E594" s="2">
        <v>42</v>
      </c>
      <c r="F594" s="2">
        <v>885.08</v>
      </c>
    </row>
    <row r="595" spans="3:6" x14ac:dyDescent="0.25">
      <c r="C595" s="2" t="s">
        <v>15832</v>
      </c>
      <c r="D595" s="2" t="s">
        <v>122</v>
      </c>
      <c r="E595" s="2">
        <v>30</v>
      </c>
      <c r="F595" s="2">
        <v>590.89</v>
      </c>
    </row>
    <row r="596" spans="3:6" x14ac:dyDescent="0.25">
      <c r="C596" s="2" t="s">
        <v>15833</v>
      </c>
      <c r="D596" s="2" t="s">
        <v>122</v>
      </c>
      <c r="E596" s="2">
        <v>100</v>
      </c>
      <c r="F596" s="2">
        <v>1675.509</v>
      </c>
    </row>
    <row r="597" spans="3:6" x14ac:dyDescent="0.25">
      <c r="C597" s="2" t="s">
        <v>15834</v>
      </c>
      <c r="D597" s="2" t="s">
        <v>122</v>
      </c>
      <c r="E597" s="2">
        <v>42</v>
      </c>
      <c r="F597" s="2">
        <v>860.39</v>
      </c>
    </row>
    <row r="598" spans="3:6" x14ac:dyDescent="0.25">
      <c r="C598" s="2" t="s">
        <v>15835</v>
      </c>
      <c r="D598" s="2" t="s">
        <v>122</v>
      </c>
      <c r="E598" s="2">
        <v>42</v>
      </c>
      <c r="F598" s="2">
        <v>867.53</v>
      </c>
    </row>
    <row r="599" spans="3:6" x14ac:dyDescent="0.25">
      <c r="C599" s="2" t="s">
        <v>15836</v>
      </c>
      <c r="D599" s="2" t="s">
        <v>122</v>
      </c>
      <c r="E599" s="2">
        <v>32</v>
      </c>
      <c r="F599" s="2">
        <v>633.88</v>
      </c>
    </row>
    <row r="600" spans="3:6" x14ac:dyDescent="0.25">
      <c r="C600" s="2" t="s">
        <v>15837</v>
      </c>
      <c r="D600" s="2" t="s">
        <v>122</v>
      </c>
      <c r="E600" s="2">
        <v>25</v>
      </c>
      <c r="F600" s="2">
        <v>478.11</v>
      </c>
    </row>
    <row r="601" spans="3:6" x14ac:dyDescent="0.25">
      <c r="C601" s="2" t="s">
        <v>15838</v>
      </c>
      <c r="D601" s="2" t="s">
        <v>122</v>
      </c>
      <c r="E601" s="2">
        <v>141</v>
      </c>
      <c r="F601" s="2">
        <v>2820.789</v>
      </c>
    </row>
    <row r="602" spans="3:6" x14ac:dyDescent="0.25">
      <c r="C602" s="2" t="s">
        <v>15839</v>
      </c>
      <c r="D602" s="2" t="s">
        <v>122</v>
      </c>
      <c r="E602" s="2">
        <v>49</v>
      </c>
      <c r="F602" s="2">
        <v>978.01</v>
      </c>
    </row>
    <row r="603" spans="3:6" x14ac:dyDescent="0.25">
      <c r="C603" s="2" t="s">
        <v>15840</v>
      </c>
      <c r="D603" s="2" t="s">
        <v>122</v>
      </c>
      <c r="E603" s="2">
        <v>21</v>
      </c>
      <c r="F603" s="2">
        <v>416.03</v>
      </c>
    </row>
    <row r="604" spans="3:6" x14ac:dyDescent="0.25">
      <c r="C604" s="2" t="s">
        <v>15841</v>
      </c>
      <c r="D604" s="2" t="s">
        <v>122</v>
      </c>
      <c r="E604" s="2">
        <v>41</v>
      </c>
      <c r="F604" s="2">
        <v>838.71</v>
      </c>
    </row>
    <row r="605" spans="3:6" x14ac:dyDescent="0.25">
      <c r="C605" s="2" t="s">
        <v>15842</v>
      </c>
      <c r="D605" s="2" t="s">
        <v>122</v>
      </c>
      <c r="E605" s="2">
        <v>30</v>
      </c>
      <c r="F605" s="2">
        <v>607.97</v>
      </c>
    </row>
    <row r="606" spans="3:6" x14ac:dyDescent="0.25">
      <c r="C606" s="2" t="s">
        <v>15843</v>
      </c>
      <c r="D606" s="2" t="s">
        <v>122</v>
      </c>
      <c r="E606" s="2">
        <v>141</v>
      </c>
      <c r="F606" s="2">
        <v>2816.31</v>
      </c>
    </row>
    <row r="607" spans="3:6" x14ac:dyDescent="0.25">
      <c r="C607" s="2" t="s">
        <v>15844</v>
      </c>
      <c r="D607" s="2" t="s">
        <v>122</v>
      </c>
      <c r="E607" s="2">
        <v>141</v>
      </c>
      <c r="F607" s="2">
        <v>2951.11</v>
      </c>
    </row>
    <row r="608" spans="3:6" x14ac:dyDescent="0.25">
      <c r="C608" s="2" t="s">
        <v>15845</v>
      </c>
      <c r="D608" s="2" t="s">
        <v>122</v>
      </c>
      <c r="E608" s="2">
        <v>100</v>
      </c>
      <c r="F608" s="2">
        <v>2004.05</v>
      </c>
    </row>
    <row r="609" spans="3:6" x14ac:dyDescent="0.25">
      <c r="C609" s="2" t="s">
        <v>15846</v>
      </c>
      <c r="D609" s="2" t="s">
        <v>122</v>
      </c>
      <c r="E609" s="2">
        <v>100</v>
      </c>
      <c r="F609" s="2">
        <v>2036.31</v>
      </c>
    </row>
    <row r="610" spans="3:6" x14ac:dyDescent="0.25">
      <c r="C610" s="2" t="s">
        <v>15847</v>
      </c>
      <c r="D610" s="2" t="s">
        <v>122</v>
      </c>
      <c r="E610" s="2">
        <v>100</v>
      </c>
      <c r="F610" s="2">
        <v>2077.84</v>
      </c>
    </row>
    <row r="611" spans="3:6" x14ac:dyDescent="0.25">
      <c r="C611" s="2" t="s">
        <v>15848</v>
      </c>
      <c r="D611" s="2" t="s">
        <v>122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10</v>
      </c>
      <c r="C613" s="2" t="s">
        <v>15849</v>
      </c>
      <c r="D613" s="2" t="s">
        <v>12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15850</v>
      </c>
      <c r="D614" s="2" t="s">
        <v>12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238</v>
      </c>
      <c r="C616" s="2" t="s">
        <v>15851</v>
      </c>
      <c r="D616" s="2" t="s">
        <v>204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15852</v>
      </c>
      <c r="D617" s="2" t="s">
        <v>204</v>
      </c>
      <c r="E617" s="2">
        <v>134</v>
      </c>
      <c r="F617" s="2">
        <v>2639.93</v>
      </c>
    </row>
    <row r="618" spans="3:6" x14ac:dyDescent="0.25">
      <c r="C618" s="2" t="s">
        <v>15853</v>
      </c>
      <c r="D618" s="2" t="s">
        <v>204</v>
      </c>
      <c r="E618" s="2">
        <v>134</v>
      </c>
      <c r="F618" s="2">
        <v>2643.536</v>
      </c>
    </row>
    <row r="619" spans="3:6" x14ac:dyDescent="0.25">
      <c r="C619" s="2" t="s">
        <v>15854</v>
      </c>
      <c r="D619" s="2" t="s">
        <v>204</v>
      </c>
      <c r="E619" s="2">
        <v>134</v>
      </c>
      <c r="F619" s="2">
        <v>2613.478</v>
      </c>
    </row>
    <row r="620" spans="3:6" x14ac:dyDescent="0.25">
      <c r="C620" s="2" t="s">
        <v>15855</v>
      </c>
      <c r="D620" s="2" t="s">
        <v>204</v>
      </c>
      <c r="E620" s="2">
        <v>134</v>
      </c>
      <c r="F620" s="2">
        <v>2717.977</v>
      </c>
    </row>
    <row r="621" spans="3:6" x14ac:dyDescent="0.25">
      <c r="C621" s="2" t="s">
        <v>15856</v>
      </c>
      <c r="D621" s="2" t="s">
        <v>204</v>
      </c>
      <c r="E621" s="2">
        <v>163</v>
      </c>
      <c r="F621" s="2">
        <v>3052.07</v>
      </c>
    </row>
    <row r="622" spans="3:6" x14ac:dyDescent="0.25">
      <c r="C622" s="2" t="s">
        <v>15857</v>
      </c>
      <c r="D622" s="2" t="s">
        <v>204</v>
      </c>
      <c r="E622" s="2">
        <v>163</v>
      </c>
      <c r="F622" s="2">
        <v>3049.976</v>
      </c>
    </row>
    <row r="623" spans="3:6" x14ac:dyDescent="0.25">
      <c r="C623" s="2" t="s">
        <v>15858</v>
      </c>
      <c r="D623" s="2" t="s">
        <v>204</v>
      </c>
      <c r="E623" s="2">
        <v>163</v>
      </c>
      <c r="F623" s="2">
        <v>3067.5</v>
      </c>
    </row>
    <row r="624" spans="3:6" x14ac:dyDescent="0.25">
      <c r="C624" s="2" t="s">
        <v>15859</v>
      </c>
      <c r="D624" s="2" t="s">
        <v>204</v>
      </c>
      <c r="E624" s="2">
        <v>163</v>
      </c>
      <c r="F624" s="2">
        <v>3199.786</v>
      </c>
    </row>
    <row r="625" spans="3:6" x14ac:dyDescent="0.25">
      <c r="C625" s="2" t="s">
        <v>15860</v>
      </c>
      <c r="D625" s="2" t="s">
        <v>204</v>
      </c>
      <c r="E625" s="2">
        <v>105</v>
      </c>
      <c r="F625" s="2">
        <v>1949.71</v>
      </c>
    </row>
    <row r="626" spans="3:6" x14ac:dyDescent="0.25">
      <c r="C626" s="2" t="s">
        <v>15861</v>
      </c>
      <c r="D626" s="2" t="s">
        <v>204</v>
      </c>
      <c r="E626" s="2">
        <v>105</v>
      </c>
      <c r="F626" s="2">
        <v>2090.54</v>
      </c>
    </row>
    <row r="627" spans="3:4" x14ac:dyDescent="0.25">
      <c r="C627" s="2" t="s">
        <v>15862</v>
      </c>
      <c r="D627" s="2" t="s">
        <v>204</v>
      </c>
    </row>
    <row r="628" spans="3:4" x14ac:dyDescent="0.25">
      <c r="C628" s="2" t="s">
        <v>15863</v>
      </c>
      <c r="D628" s="2" t="s">
        <v>204</v>
      </c>
    </row>
    <row r="629" spans="3:4" x14ac:dyDescent="0.25">
      <c r="C629" s="2" t="s">
        <v>15864</v>
      </c>
      <c r="D629" s="2" t="s">
        <v>204</v>
      </c>
    </row>
    <row r="630" spans="3:6" x14ac:dyDescent="0.25">
      <c r="C630" s="2" t="s">
        <v>15865</v>
      </c>
      <c r="D630" s="2" t="s">
        <v>204</v>
      </c>
      <c r="E630" s="2">
        <v>163</v>
      </c>
      <c r="F630" s="2">
        <v>3112.425</v>
      </c>
    </row>
    <row r="631" spans="3:6" x14ac:dyDescent="0.25">
      <c r="C631" s="2" t="s">
        <v>15866</v>
      </c>
      <c r="D631" s="2" t="s">
        <v>204</v>
      </c>
      <c r="E631" s="2">
        <v>163</v>
      </c>
      <c r="F631" s="2">
        <v>3065.176</v>
      </c>
    </row>
    <row r="632" spans="3:6" x14ac:dyDescent="0.25">
      <c r="C632" s="2" t="s">
        <v>15867</v>
      </c>
      <c r="D632" s="2" t="s">
        <v>204</v>
      </c>
      <c r="E632" s="2">
        <v>36</v>
      </c>
      <c r="F632" s="2">
        <v>711.92</v>
      </c>
    </row>
    <row r="633" spans="3:6" x14ac:dyDescent="0.25">
      <c r="C633" s="2" t="s">
        <v>15868</v>
      </c>
      <c r="D633" s="2" t="s">
        <v>214</v>
      </c>
      <c r="E633" s="2">
        <v>156</v>
      </c>
      <c r="F633" s="2">
        <v>2890.666</v>
      </c>
    </row>
    <row r="634" spans="3:6" x14ac:dyDescent="0.25">
      <c r="C634" s="2" t="s">
        <v>15869</v>
      </c>
      <c r="D634" s="2" t="s">
        <v>214</v>
      </c>
      <c r="E634" s="2">
        <v>156</v>
      </c>
      <c r="F634" s="2">
        <v>3061.635</v>
      </c>
    </row>
    <row r="635" spans="3:6" x14ac:dyDescent="0.25">
      <c r="C635" s="2" t="s">
        <v>15870</v>
      </c>
      <c r="D635" s="2" t="s">
        <v>236</v>
      </c>
      <c r="E635" s="2">
        <v>80</v>
      </c>
      <c r="F635" s="2">
        <v>1508.42</v>
      </c>
    </row>
    <row r="636" spans="3:6" x14ac:dyDescent="0.25">
      <c r="C636" s="2" t="s">
        <v>15871</v>
      </c>
      <c r="D636" s="2" t="s">
        <v>236</v>
      </c>
      <c r="E636" s="2">
        <v>76</v>
      </c>
      <c r="F636" s="2">
        <v>1404.26</v>
      </c>
    </row>
    <row r="637" spans="3:6" x14ac:dyDescent="0.25">
      <c r="C637" s="2" t="s">
        <v>15872</v>
      </c>
      <c r="D637" s="2" t="s">
        <v>236</v>
      </c>
      <c r="E637" s="2">
        <v>36</v>
      </c>
      <c r="F637" s="2">
        <v>682.26</v>
      </c>
    </row>
    <row r="638" spans="3:6" x14ac:dyDescent="0.25">
      <c r="C638" s="2" t="s">
        <v>15873</v>
      </c>
      <c r="D638" s="2" t="s">
        <v>236</v>
      </c>
      <c r="E638" s="2">
        <v>60</v>
      </c>
      <c r="F638" s="2">
        <v>1094.04</v>
      </c>
    </row>
    <row r="639" spans="3:6" x14ac:dyDescent="0.25">
      <c r="C639" s="2" t="s">
        <v>15874</v>
      </c>
      <c r="D639" s="2" t="s">
        <v>236</v>
      </c>
      <c r="E639" s="2">
        <v>60</v>
      </c>
      <c r="F639" s="2">
        <v>1105.56</v>
      </c>
    </row>
    <row r="640" spans="3:6" x14ac:dyDescent="0.25">
      <c r="C640" s="2" t="s">
        <v>15875</v>
      </c>
      <c r="D640" s="2" t="s">
        <v>236</v>
      </c>
      <c r="E640" s="2">
        <v>60</v>
      </c>
      <c r="F640" s="2">
        <v>1068</v>
      </c>
    </row>
    <row r="641" spans="3:6" x14ac:dyDescent="0.25">
      <c r="C641" s="2" t="s">
        <v>15876</v>
      </c>
      <c r="D641" s="2" t="s">
        <v>236</v>
      </c>
      <c r="E641" s="2">
        <v>43</v>
      </c>
      <c r="F641" s="2">
        <v>768.61</v>
      </c>
    </row>
    <row r="642" spans="3:6" x14ac:dyDescent="0.25">
      <c r="C642" s="2" t="s">
        <v>15877</v>
      </c>
      <c r="D642" s="2" t="s">
        <v>342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15878</v>
      </c>
      <c r="C644" s="2" t="s">
        <v>15879</v>
      </c>
      <c r="D644" s="2" t="s">
        <v>216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15880</v>
      </c>
      <c r="D645" s="2" t="s">
        <v>297</v>
      </c>
      <c r="E645" s="2">
        <v>156</v>
      </c>
      <c r="F645" s="2">
        <v>2883.497</v>
      </c>
    </row>
    <row r="646" spans="3:6" x14ac:dyDescent="0.25">
      <c r="C646" s="2" t="s">
        <v>15881</v>
      </c>
      <c r="D646" s="2" t="s">
        <v>214</v>
      </c>
      <c r="E646" s="2">
        <v>105</v>
      </c>
      <c r="F646" s="2">
        <v>1785.13</v>
      </c>
    </row>
    <row r="647" spans="3:6" x14ac:dyDescent="0.25">
      <c r="C647" s="2" t="s">
        <v>15882</v>
      </c>
      <c r="D647" s="2" t="s">
        <v>297</v>
      </c>
      <c r="E647" s="2">
        <v>156</v>
      </c>
      <c r="F647" s="2">
        <v>3083.388</v>
      </c>
    </row>
    <row r="648" spans="3:6" x14ac:dyDescent="0.25">
      <c r="C648" s="2" t="s">
        <v>15883</v>
      </c>
      <c r="D648" s="2" t="s">
        <v>214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12462</v>
      </c>
      <c r="C650" s="2" t="s">
        <v>15884</v>
      </c>
      <c r="D650" s="2" t="s">
        <v>20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15885</v>
      </c>
      <c r="D651" s="2" t="s">
        <v>20</v>
      </c>
      <c r="E651" s="2">
        <v>83</v>
      </c>
      <c r="F651" s="2">
        <v>1516.15</v>
      </c>
    </row>
    <row r="652" spans="3:6" x14ac:dyDescent="0.25">
      <c r="C652" s="2" t="s">
        <v>15886</v>
      </c>
      <c r="D652" s="2" t="s">
        <v>20</v>
      </c>
      <c r="E652" s="2">
        <v>66</v>
      </c>
      <c r="F652" s="2">
        <v>1289.1</v>
      </c>
    </row>
    <row r="653" spans="3:6" x14ac:dyDescent="0.25">
      <c r="C653" s="2" t="s">
        <v>15887</v>
      </c>
      <c r="D653" s="2" t="s">
        <v>20</v>
      </c>
      <c r="E653" s="2">
        <v>141</v>
      </c>
      <c r="F653" s="2">
        <v>3107.901</v>
      </c>
    </row>
    <row r="654" spans="3:6" x14ac:dyDescent="0.25">
      <c r="C654" s="2" t="s">
        <v>15888</v>
      </c>
      <c r="D654" s="2" t="s">
        <v>20</v>
      </c>
      <c r="E654" s="2">
        <v>149</v>
      </c>
      <c r="F654" s="2">
        <v>2821.9</v>
      </c>
    </row>
    <row r="655" spans="3:6" x14ac:dyDescent="0.25">
      <c r="C655" s="2" t="s">
        <v>15889</v>
      </c>
      <c r="D655" s="2" t="s">
        <v>20</v>
      </c>
      <c r="E655" s="2">
        <v>102</v>
      </c>
      <c r="F655" s="2">
        <v>1972.759</v>
      </c>
    </row>
    <row r="656" spans="3:6" x14ac:dyDescent="0.25">
      <c r="C656" s="2" t="s">
        <v>15890</v>
      </c>
      <c r="D656" s="2" t="s">
        <v>20</v>
      </c>
      <c r="E656" s="2">
        <v>149</v>
      </c>
      <c r="F656" s="2">
        <v>2717.67</v>
      </c>
    </row>
    <row r="657" spans="3:6" x14ac:dyDescent="0.25">
      <c r="C657" s="2" t="s">
        <v>15891</v>
      </c>
      <c r="D657" s="2" t="s">
        <v>20</v>
      </c>
      <c r="E657" s="2">
        <v>149</v>
      </c>
      <c r="F657" s="2">
        <v>2744.339</v>
      </c>
    </row>
    <row r="658" spans="3:6" x14ac:dyDescent="0.25">
      <c r="C658" s="2" t="s">
        <v>15892</v>
      </c>
      <c r="D658" s="2" t="s">
        <v>20</v>
      </c>
      <c r="E658" s="2">
        <v>102</v>
      </c>
      <c r="F658" s="2">
        <v>1927.47</v>
      </c>
    </row>
    <row r="659" spans="3:6" x14ac:dyDescent="0.25">
      <c r="C659" s="2" t="s">
        <v>15893</v>
      </c>
      <c r="D659" s="2" t="s">
        <v>20</v>
      </c>
      <c r="E659" s="2">
        <v>149</v>
      </c>
      <c r="F659" s="2">
        <v>2704.688</v>
      </c>
    </row>
    <row r="660" spans="3:6" x14ac:dyDescent="0.25">
      <c r="C660" s="2" t="s">
        <v>15894</v>
      </c>
      <c r="D660" s="2" t="s">
        <v>20</v>
      </c>
      <c r="E660" s="2">
        <v>102</v>
      </c>
      <c r="F660" s="2">
        <v>1976.16</v>
      </c>
    </row>
    <row r="661" spans="3:6" x14ac:dyDescent="0.25">
      <c r="C661" s="2" t="s">
        <v>15895</v>
      </c>
      <c r="D661" s="2" t="s">
        <v>20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335</v>
      </c>
      <c r="C663" s="2" t="s">
        <v>15896</v>
      </c>
      <c r="D663" s="2" t="s">
        <v>20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15897</v>
      </c>
      <c r="D664" s="2" t="s">
        <v>20</v>
      </c>
      <c r="E664" s="2">
        <v>142</v>
      </c>
      <c r="F664" s="2">
        <v>3557.08</v>
      </c>
    </row>
    <row r="665" spans="3:6" x14ac:dyDescent="0.25">
      <c r="C665" s="2" t="s">
        <v>15898</v>
      </c>
      <c r="D665" s="2" t="s">
        <v>20</v>
      </c>
      <c r="E665" s="2">
        <v>149</v>
      </c>
      <c r="F665" s="2">
        <v>2742.61</v>
      </c>
    </row>
    <row r="666" spans="3:6" x14ac:dyDescent="0.25">
      <c r="C666" s="2" t="s">
        <v>15899</v>
      </c>
      <c r="D666" s="2" t="s">
        <v>20</v>
      </c>
      <c r="E666" s="2">
        <v>142</v>
      </c>
      <c r="F666" s="2">
        <v>0</v>
      </c>
    </row>
    <row r="667" spans="3:6" x14ac:dyDescent="0.25">
      <c r="C667" s="2" t="s">
        <v>15900</v>
      </c>
      <c r="D667" s="2" t="s">
        <v>20</v>
      </c>
      <c r="E667" s="2">
        <v>102</v>
      </c>
      <c r="F667" s="2">
        <v>1972.759</v>
      </c>
    </row>
    <row r="668" spans="3:6" x14ac:dyDescent="0.25">
      <c r="C668" s="2" t="s">
        <v>15901</v>
      </c>
      <c r="D668" s="2" t="s">
        <v>20</v>
      </c>
      <c r="E668" s="2">
        <v>66</v>
      </c>
      <c r="F668" s="2">
        <v>1289.1</v>
      </c>
    </row>
    <row r="669" spans="3:6" x14ac:dyDescent="0.25">
      <c r="C669" s="2" t="s">
        <v>15902</v>
      </c>
      <c r="D669" s="2" t="s">
        <v>20</v>
      </c>
      <c r="E669" s="2">
        <v>149</v>
      </c>
      <c r="F669" s="2">
        <v>2821.9</v>
      </c>
    </row>
    <row r="670" spans="3:6" x14ac:dyDescent="0.25">
      <c r="C670" s="2" t="s">
        <v>15903</v>
      </c>
      <c r="D670" s="2" t="s">
        <v>20</v>
      </c>
      <c r="E670" s="2">
        <v>102</v>
      </c>
      <c r="F670" s="2">
        <v>1976.16</v>
      </c>
    </row>
    <row r="671" spans="3:6" x14ac:dyDescent="0.25">
      <c r="C671" s="2" t="s">
        <v>15904</v>
      </c>
      <c r="D671" s="2" t="s">
        <v>20</v>
      </c>
      <c r="E671" s="2">
        <v>142</v>
      </c>
      <c r="F671" s="2">
        <v>2449.669</v>
      </c>
    </row>
    <row r="672" spans="3:6" x14ac:dyDescent="0.25">
      <c r="C672" s="2" t="s">
        <v>15905</v>
      </c>
      <c r="D672" s="2" t="s">
        <v>20</v>
      </c>
      <c r="E672" s="2">
        <v>142</v>
      </c>
      <c r="F672" s="2">
        <v>0</v>
      </c>
    </row>
    <row r="673" spans="3:6" x14ac:dyDescent="0.25">
      <c r="C673" s="2" t="s">
        <v>15906</v>
      </c>
      <c r="D673" s="2" t="s">
        <v>20</v>
      </c>
      <c r="E673" s="2">
        <v>142</v>
      </c>
      <c r="F673" s="2">
        <v>3081.269</v>
      </c>
    </row>
    <row r="674" spans="3:6" x14ac:dyDescent="0.25">
      <c r="C674" s="2" t="s">
        <v>15907</v>
      </c>
      <c r="D674" s="2" t="s">
        <v>20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15321</v>
      </c>
      <c r="C676" s="2" t="s">
        <v>15908</v>
      </c>
      <c r="D676" s="2" t="s">
        <v>9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15909</v>
      </c>
      <c r="D677" s="2" t="s">
        <v>9</v>
      </c>
      <c r="E677" s="2">
        <v>141</v>
      </c>
      <c r="F677" s="2">
        <v>2874.39</v>
      </c>
    </row>
    <row r="678" spans="3:6" x14ac:dyDescent="0.25">
      <c r="C678" s="2" t="s">
        <v>15910</v>
      </c>
      <c r="D678" s="2" t="s">
        <v>9</v>
      </c>
      <c r="E678" s="2">
        <v>236</v>
      </c>
      <c r="F678" s="2">
        <v>4753.01</v>
      </c>
    </row>
    <row r="679" spans="3:6" x14ac:dyDescent="0.25">
      <c r="C679" s="2" t="s">
        <v>15911</v>
      </c>
      <c r="D679" s="2" t="s">
        <v>9</v>
      </c>
      <c r="E679" s="2">
        <v>282</v>
      </c>
      <c r="F679" s="2">
        <v>5758.96</v>
      </c>
    </row>
    <row r="680" spans="3:6" x14ac:dyDescent="0.25">
      <c r="C680" s="2" t="s">
        <v>15912</v>
      </c>
      <c r="D680" s="2" t="s">
        <v>9</v>
      </c>
      <c r="E680" s="2">
        <v>15</v>
      </c>
      <c r="F680" s="2" t="s">
        <v>8758</v>
      </c>
    </row>
    <row r="681" spans="3:6" x14ac:dyDescent="0.25">
      <c r="C681" s="2" t="s">
        <v>15913</v>
      </c>
      <c r="D681" s="2" t="s">
        <v>9</v>
      </c>
      <c r="E681" s="2">
        <v>15</v>
      </c>
      <c r="F681" s="2" t="s">
        <v>8758</v>
      </c>
    </row>
    <row r="682" spans="3:6" x14ac:dyDescent="0.25">
      <c r="C682" s="2" t="s">
        <v>15914</v>
      </c>
      <c r="D682" s="2" t="s">
        <v>9</v>
      </c>
      <c r="E682" s="2">
        <v>264</v>
      </c>
      <c r="F682" s="2">
        <v>5343.29</v>
      </c>
    </row>
    <row r="683" spans="3:6" x14ac:dyDescent="0.25">
      <c r="C683" s="2" t="s">
        <v>15915</v>
      </c>
      <c r="D683" s="2" t="s">
        <v>9</v>
      </c>
      <c r="E683" s="2">
        <v>264</v>
      </c>
      <c r="F683" s="2">
        <v>5399.8</v>
      </c>
    </row>
    <row r="684" spans="3:6" x14ac:dyDescent="0.25">
      <c r="C684" s="2" t="s">
        <v>15916</v>
      </c>
      <c r="D684" s="2" t="s">
        <v>9</v>
      </c>
      <c r="E684" s="2">
        <v>80</v>
      </c>
      <c r="F684" s="2">
        <v>340.335</v>
      </c>
    </row>
    <row r="685" spans="3:6" x14ac:dyDescent="0.25">
      <c r="C685" s="2" t="s">
        <v>15917</v>
      </c>
      <c r="D685" s="2" t="s">
        <v>9</v>
      </c>
      <c r="E685" s="2">
        <v>123</v>
      </c>
      <c r="F685" s="2">
        <v>2325.74</v>
      </c>
    </row>
    <row r="686" spans="3:6" x14ac:dyDescent="0.25">
      <c r="C686" s="2" t="s">
        <v>15918</v>
      </c>
      <c r="D686" s="2" t="s">
        <v>9</v>
      </c>
      <c r="E686" s="2">
        <v>102</v>
      </c>
      <c r="F686" s="2">
        <v>1981.01</v>
      </c>
    </row>
    <row r="687" spans="3:6" x14ac:dyDescent="0.25">
      <c r="C687" s="2" t="s">
        <v>15919</v>
      </c>
      <c r="D687" s="2" t="s">
        <v>9</v>
      </c>
      <c r="E687" s="2">
        <v>170</v>
      </c>
      <c r="F687" s="2">
        <v>3487.34</v>
      </c>
    </row>
    <row r="688" spans="3:6" x14ac:dyDescent="0.25">
      <c r="C688" s="2" t="s">
        <v>15920</v>
      </c>
      <c r="D688" s="2" t="s">
        <v>9</v>
      </c>
      <c r="E688" s="2">
        <v>34</v>
      </c>
      <c r="F688" s="2">
        <v>642.49</v>
      </c>
    </row>
    <row r="689" spans="3:6" x14ac:dyDescent="0.25">
      <c r="C689" s="2" t="s">
        <v>15921</v>
      </c>
      <c r="D689" s="2" t="s">
        <v>9</v>
      </c>
      <c r="E689" s="2">
        <v>75</v>
      </c>
      <c r="F689" s="2">
        <v>1236.239</v>
      </c>
    </row>
    <row r="690" spans="3:6" x14ac:dyDescent="0.25">
      <c r="C690" s="2" t="s">
        <v>15922</v>
      </c>
      <c r="D690" s="2" t="s">
        <v>9</v>
      </c>
      <c r="E690" s="2">
        <v>141</v>
      </c>
      <c r="F690" s="2">
        <v>2835.89</v>
      </c>
    </row>
    <row r="691" spans="3:6" x14ac:dyDescent="0.25">
      <c r="C691" s="2" t="s">
        <v>15923</v>
      </c>
      <c r="D691" s="2" t="s">
        <v>9</v>
      </c>
      <c r="E691" s="2">
        <v>141</v>
      </c>
      <c r="F691" s="2">
        <v>2966.859</v>
      </c>
    </row>
    <row r="692" spans="3:6" x14ac:dyDescent="0.25">
      <c r="C692" s="2" t="s">
        <v>15924</v>
      </c>
      <c r="D692" s="2" t="s">
        <v>9</v>
      </c>
      <c r="E692" s="2">
        <v>141</v>
      </c>
      <c r="F692" s="2">
        <v>2597.278</v>
      </c>
    </row>
    <row r="693" spans="3:6" x14ac:dyDescent="0.25">
      <c r="C693" s="2" t="s">
        <v>15925</v>
      </c>
      <c r="D693" s="2" t="s">
        <v>9</v>
      </c>
      <c r="E693" s="2">
        <v>101</v>
      </c>
      <c r="F693" s="2">
        <v>1759.277</v>
      </c>
    </row>
    <row r="694" spans="3:6" x14ac:dyDescent="0.25">
      <c r="C694" s="2" t="s">
        <v>15926</v>
      </c>
      <c r="D694" s="2" t="s">
        <v>9</v>
      </c>
      <c r="E694" s="2">
        <v>54</v>
      </c>
      <c r="F694" s="2">
        <v>226.1</v>
      </c>
    </row>
    <row r="695" spans="3:6" x14ac:dyDescent="0.25">
      <c r="C695" s="2" t="s">
        <v>15927</v>
      </c>
      <c r="D695" s="2" t="s">
        <v>9</v>
      </c>
      <c r="E695" s="2">
        <v>141</v>
      </c>
      <c r="F695" s="2">
        <v>2860.88</v>
      </c>
    </row>
    <row r="696" spans="3:6" x14ac:dyDescent="0.25">
      <c r="C696" s="2" t="s">
        <v>15928</v>
      </c>
      <c r="D696" s="2" t="s">
        <v>9</v>
      </c>
      <c r="E696" s="2">
        <v>282</v>
      </c>
      <c r="F696" s="2">
        <v>5811.56</v>
      </c>
    </row>
    <row r="697" spans="3:6" x14ac:dyDescent="0.25">
      <c r="C697" s="2" t="s">
        <v>15929</v>
      </c>
      <c r="D697" s="2" t="s">
        <v>9</v>
      </c>
      <c r="E697" s="2">
        <v>282</v>
      </c>
      <c r="F697" s="2">
        <v>5679.269</v>
      </c>
    </row>
    <row r="698" spans="3:6" x14ac:dyDescent="0.25">
      <c r="C698" s="2" t="s">
        <v>15930</v>
      </c>
      <c r="D698" s="2" t="s">
        <v>9</v>
      </c>
      <c r="E698" s="2">
        <v>123</v>
      </c>
      <c r="F698" s="2">
        <v>2517.93</v>
      </c>
    </row>
    <row r="699" spans="3:6" x14ac:dyDescent="0.25">
      <c r="C699" s="2" t="s">
        <v>15931</v>
      </c>
      <c r="D699" s="2" t="s">
        <v>9</v>
      </c>
      <c r="E699" s="2">
        <v>142</v>
      </c>
      <c r="F699" s="2">
        <v>2896.43</v>
      </c>
    </row>
    <row r="700" spans="3:6" x14ac:dyDescent="0.25">
      <c r="C700" s="2" t="s">
        <v>15932</v>
      </c>
      <c r="D700" s="2" t="s">
        <v>9</v>
      </c>
      <c r="E700" s="2">
        <v>141</v>
      </c>
      <c r="F700" s="2">
        <v>2702.35</v>
      </c>
    </row>
    <row r="701" spans="3:6" x14ac:dyDescent="0.25">
      <c r="C701" s="2" t="s">
        <v>15933</v>
      </c>
      <c r="D701" s="2" t="s">
        <v>9</v>
      </c>
      <c r="E701" s="2">
        <v>114</v>
      </c>
      <c r="F701" s="2">
        <v>2139.669</v>
      </c>
    </row>
    <row r="702" spans="3:6" x14ac:dyDescent="0.25">
      <c r="C702" s="2" t="s">
        <v>15934</v>
      </c>
      <c r="D702" s="2" t="s">
        <v>9</v>
      </c>
      <c r="E702" s="2">
        <v>28</v>
      </c>
      <c r="F702" s="2">
        <v>483.79</v>
      </c>
    </row>
    <row r="703" spans="3:6" x14ac:dyDescent="0.25">
      <c r="C703" s="2" t="s">
        <v>15935</v>
      </c>
      <c r="D703" s="2" t="s">
        <v>9</v>
      </c>
      <c r="E703" s="2">
        <v>141</v>
      </c>
      <c r="F703" s="2">
        <v>2864.87</v>
      </c>
    </row>
    <row r="704" spans="3:6" x14ac:dyDescent="0.25">
      <c r="C704" s="2" t="s">
        <v>15936</v>
      </c>
      <c r="D704" s="2" t="s">
        <v>9</v>
      </c>
      <c r="E704" s="2">
        <v>23</v>
      </c>
      <c r="F704" s="2">
        <v>465.519</v>
      </c>
    </row>
    <row r="705" spans="3:6" x14ac:dyDescent="0.25">
      <c r="C705" s="2" t="s">
        <v>15937</v>
      </c>
      <c r="D705" s="2" t="s">
        <v>9</v>
      </c>
      <c r="E705" s="2">
        <v>18</v>
      </c>
      <c r="F705" s="2">
        <v>351.34</v>
      </c>
    </row>
    <row r="706" spans="3:6" x14ac:dyDescent="0.25">
      <c r="C706" s="2" t="s">
        <v>15938</v>
      </c>
      <c r="D706" s="2" t="s">
        <v>9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15939</v>
      </c>
      <c r="C708" s="2" t="s">
        <v>15940</v>
      </c>
      <c r="D708" s="2" t="s">
        <v>42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15941</v>
      </c>
      <c r="D709" s="2" t="s">
        <v>42</v>
      </c>
      <c r="E709" s="2">
        <v>75</v>
      </c>
      <c r="F709" s="2">
        <v>396.77</v>
      </c>
    </row>
    <row r="710" spans="3:6" x14ac:dyDescent="0.25">
      <c r="C710" s="2" t="s">
        <v>15942</v>
      </c>
      <c r="D710" s="2" t="s">
        <v>42</v>
      </c>
      <c r="E710" s="2">
        <v>100</v>
      </c>
      <c r="F710" s="2">
        <v>2052.34</v>
      </c>
    </row>
    <row r="711" spans="3:6" x14ac:dyDescent="0.25">
      <c r="C711" s="2" t="s">
        <v>15943</v>
      </c>
      <c r="D711" s="2" t="s">
        <v>42</v>
      </c>
      <c r="E711" s="2">
        <v>66</v>
      </c>
      <c r="F711" s="2">
        <v>1281.776</v>
      </c>
    </row>
    <row r="712" spans="3:6" x14ac:dyDescent="0.25">
      <c r="C712" s="2" t="s">
        <v>15944</v>
      </c>
      <c r="D712" s="2" t="s">
        <v>42</v>
      </c>
      <c r="E712" s="2">
        <v>100</v>
      </c>
      <c r="F712" s="2">
        <v>2242.32</v>
      </c>
    </row>
    <row r="713" spans="3:6" x14ac:dyDescent="0.25">
      <c r="C713" s="2" t="s">
        <v>15945</v>
      </c>
      <c r="D713" s="2" t="s">
        <v>42</v>
      </c>
      <c r="E713" s="2">
        <v>135</v>
      </c>
      <c r="F713" s="2">
        <v>2039.99</v>
      </c>
    </row>
    <row r="714" spans="3:6" x14ac:dyDescent="0.25">
      <c r="C714" s="2" t="s">
        <v>15946</v>
      </c>
      <c r="D714" s="2" t="s">
        <v>42</v>
      </c>
      <c r="E714" s="2">
        <v>109</v>
      </c>
      <c r="F714" s="2">
        <v>2292.027</v>
      </c>
    </row>
    <row r="715" spans="3:6" x14ac:dyDescent="0.25">
      <c r="C715" s="2" t="s">
        <v>15947</v>
      </c>
      <c r="D715" s="2" t="s">
        <v>42</v>
      </c>
      <c r="E715" s="2">
        <v>128</v>
      </c>
      <c r="F715" s="2">
        <v>1977.16</v>
      </c>
    </row>
    <row r="716" spans="3:6" x14ac:dyDescent="0.25">
      <c r="C716" s="2" t="s">
        <v>15948</v>
      </c>
      <c r="D716" s="2" t="s">
        <v>42</v>
      </c>
      <c r="E716" s="2">
        <v>141</v>
      </c>
      <c r="F716" s="2">
        <v>2838.81</v>
      </c>
    </row>
    <row r="717" spans="3:6" x14ac:dyDescent="0.25">
      <c r="C717" s="2" t="s">
        <v>15949</v>
      </c>
      <c r="D717" s="2" t="s">
        <v>42</v>
      </c>
      <c r="E717" s="2">
        <v>141</v>
      </c>
      <c r="F717" s="2">
        <v>2956.29</v>
      </c>
    </row>
    <row r="718" spans="3:6" x14ac:dyDescent="0.25">
      <c r="C718" s="2" t="s">
        <v>15950</v>
      </c>
      <c r="D718" s="2" t="s">
        <v>42</v>
      </c>
      <c r="E718" s="2">
        <v>141</v>
      </c>
      <c r="F718" s="2">
        <v>2886.11</v>
      </c>
    </row>
    <row r="719" spans="3:6" x14ac:dyDescent="0.25">
      <c r="C719" s="2" t="s">
        <v>15951</v>
      </c>
      <c r="D719" s="2" t="s">
        <v>42</v>
      </c>
      <c r="E719" s="2">
        <v>39</v>
      </c>
      <c r="F719" s="2">
        <v>861.05</v>
      </c>
    </row>
    <row r="720" spans="3:6" x14ac:dyDescent="0.25">
      <c r="C720" s="2" t="s">
        <v>15952</v>
      </c>
      <c r="D720" s="2" t="s">
        <v>42</v>
      </c>
      <c r="E720" s="2">
        <v>102</v>
      </c>
      <c r="F720" s="2">
        <v>2030.11</v>
      </c>
    </row>
    <row r="721" spans="3:6" x14ac:dyDescent="0.25">
      <c r="C721" s="2" t="s">
        <v>15953</v>
      </c>
      <c r="D721" s="2" t="s">
        <v>42</v>
      </c>
      <c r="E721" s="2">
        <v>20</v>
      </c>
      <c r="F721" s="2">
        <v>107.95</v>
      </c>
    </row>
    <row r="722" spans="3:6" x14ac:dyDescent="0.25">
      <c r="C722" s="2" t="s">
        <v>15954</v>
      </c>
      <c r="D722" s="2" t="s">
        <v>42</v>
      </c>
      <c r="E722" s="2">
        <v>123</v>
      </c>
      <c r="F722" s="2">
        <v>2458.33</v>
      </c>
    </row>
    <row r="723" spans="3:6" x14ac:dyDescent="0.25">
      <c r="C723" s="2" t="s">
        <v>15955</v>
      </c>
      <c r="D723" s="2" t="s">
        <v>42</v>
      </c>
      <c r="E723" s="2">
        <v>123</v>
      </c>
      <c r="F723" s="2">
        <v>2655.62</v>
      </c>
    </row>
    <row r="724" spans="3:6" x14ac:dyDescent="0.25">
      <c r="C724" s="2" t="s">
        <v>15956</v>
      </c>
      <c r="D724" s="2" t="s">
        <v>42</v>
      </c>
      <c r="E724" s="2">
        <v>100</v>
      </c>
      <c r="F724" s="2">
        <v>1849.429</v>
      </c>
    </row>
    <row r="725" spans="3:6" x14ac:dyDescent="0.25">
      <c r="C725" s="2" t="s">
        <v>15957</v>
      </c>
      <c r="D725" s="2" t="s">
        <v>42</v>
      </c>
      <c r="E725" s="2">
        <v>141</v>
      </c>
      <c r="F725" s="2">
        <v>2821.389</v>
      </c>
    </row>
    <row r="726" spans="3:6" x14ac:dyDescent="0.25">
      <c r="C726" s="2" t="s">
        <v>15958</v>
      </c>
      <c r="D726" s="2" t="s">
        <v>42</v>
      </c>
      <c r="E726" s="2">
        <v>141</v>
      </c>
      <c r="F726" s="2">
        <v>3059.449</v>
      </c>
    </row>
    <row r="727" spans="3:6" x14ac:dyDescent="0.25">
      <c r="C727" s="2" t="s">
        <v>15959</v>
      </c>
      <c r="D727" s="2" t="s">
        <v>42</v>
      </c>
      <c r="E727" s="2">
        <v>141</v>
      </c>
      <c r="F727" s="2">
        <v>2989.13</v>
      </c>
    </row>
    <row r="728" spans="3:6" x14ac:dyDescent="0.25">
      <c r="C728" s="2" t="s">
        <v>15960</v>
      </c>
      <c r="D728" s="2" t="s">
        <v>42</v>
      </c>
      <c r="E728" s="2">
        <v>63</v>
      </c>
      <c r="F728" s="2">
        <v>1316.99</v>
      </c>
    </row>
    <row r="729" spans="3:6" x14ac:dyDescent="0.25">
      <c r="C729" s="2" t="s">
        <v>15961</v>
      </c>
      <c r="D729" s="2" t="s">
        <v>42</v>
      </c>
      <c r="E729" s="2">
        <v>64</v>
      </c>
      <c r="F729" s="2">
        <v>1423.012</v>
      </c>
    </row>
    <row r="730" spans="3:6" x14ac:dyDescent="0.25">
      <c r="C730" s="2" t="s">
        <v>15962</v>
      </c>
      <c r="D730" s="2" t="s">
        <v>42</v>
      </c>
      <c r="E730" s="2">
        <v>18</v>
      </c>
      <c r="F730" s="2">
        <v>351.42</v>
      </c>
    </row>
    <row r="731" spans="3:6" x14ac:dyDescent="0.25">
      <c r="C731" s="2" t="s">
        <v>15963</v>
      </c>
      <c r="D731" s="2" t="s">
        <v>42</v>
      </c>
      <c r="E731" s="2">
        <v>54</v>
      </c>
      <c r="F731" s="2">
        <v>1118.67</v>
      </c>
    </row>
    <row r="732" spans="3:6" x14ac:dyDescent="0.25">
      <c r="C732" s="2" t="s">
        <v>15964</v>
      </c>
      <c r="D732" s="2" t="s">
        <v>42</v>
      </c>
      <c r="E732" s="2">
        <v>82</v>
      </c>
      <c r="F732" s="2">
        <v>1644.379</v>
      </c>
    </row>
    <row r="733" spans="3:6" x14ac:dyDescent="0.25">
      <c r="C733" s="2" t="s">
        <v>15965</v>
      </c>
      <c r="D733" s="2" t="s">
        <v>42</v>
      </c>
      <c r="E733" s="2">
        <v>87</v>
      </c>
      <c r="F733" s="2">
        <v>1636.265</v>
      </c>
    </row>
    <row r="734" spans="3:6" x14ac:dyDescent="0.25">
      <c r="C734" s="2" t="s">
        <v>15966</v>
      </c>
      <c r="D734" s="2" t="s">
        <v>42</v>
      </c>
      <c r="E734" s="2">
        <v>65</v>
      </c>
      <c r="F734" s="2">
        <v>1354.38</v>
      </c>
    </row>
    <row r="735" spans="3:6" x14ac:dyDescent="0.25">
      <c r="C735" s="2" t="s">
        <v>15967</v>
      </c>
      <c r="D735" s="2" t="s">
        <v>42</v>
      </c>
      <c r="E735" s="2">
        <v>10</v>
      </c>
      <c r="F735" s="2">
        <v>201.61</v>
      </c>
    </row>
    <row r="736" spans="3:6" x14ac:dyDescent="0.25">
      <c r="C736" s="2" t="s">
        <v>15968</v>
      </c>
      <c r="D736" s="2" t="s">
        <v>42</v>
      </c>
      <c r="E736" s="2">
        <v>61</v>
      </c>
      <c r="F736" s="2">
        <v>1218.54</v>
      </c>
    </row>
    <row r="737" spans="3:6" x14ac:dyDescent="0.25">
      <c r="C737" s="2" t="s">
        <v>15969</v>
      </c>
      <c r="D737" s="2" t="s">
        <v>42</v>
      </c>
      <c r="E737" s="2">
        <v>141</v>
      </c>
      <c r="F737" s="2">
        <v>2816.79</v>
      </c>
    </row>
    <row r="738" spans="3:6" x14ac:dyDescent="0.25">
      <c r="C738" s="2" t="s">
        <v>15970</v>
      </c>
      <c r="D738" s="2" t="s">
        <v>42</v>
      </c>
      <c r="E738" s="2">
        <v>141</v>
      </c>
      <c r="F738" s="2">
        <v>2705.87</v>
      </c>
    </row>
    <row r="739" spans="3:6" x14ac:dyDescent="0.25">
      <c r="C739" s="2" t="s">
        <v>15971</v>
      </c>
      <c r="D739" s="2" t="s">
        <v>42</v>
      </c>
      <c r="E739" s="2">
        <v>57</v>
      </c>
      <c r="F739" s="2">
        <v>919.819</v>
      </c>
    </row>
    <row r="740" spans="3:6" x14ac:dyDescent="0.25">
      <c r="C740" s="2" t="s">
        <v>15972</v>
      </c>
      <c r="D740" s="2" t="s">
        <v>42</v>
      </c>
      <c r="E740" s="2">
        <v>15</v>
      </c>
      <c r="F740" s="2">
        <v>262.38</v>
      </c>
    </row>
    <row r="741" spans="3:6" x14ac:dyDescent="0.25">
      <c r="C741" s="2" t="s">
        <v>15973</v>
      </c>
      <c r="D741" s="2" t="s">
        <v>42</v>
      </c>
      <c r="E741" s="2">
        <v>9</v>
      </c>
      <c r="F741" s="2">
        <v>146.7</v>
      </c>
    </row>
    <row r="742" spans="3:6" x14ac:dyDescent="0.25">
      <c r="C742" s="2" t="s">
        <v>15974</v>
      </c>
      <c r="D742" s="2" t="s">
        <v>42</v>
      </c>
      <c r="E742" s="2">
        <v>77</v>
      </c>
      <c r="F742" s="2">
        <v>1524.389</v>
      </c>
    </row>
    <row r="743" spans="3:6" x14ac:dyDescent="0.25">
      <c r="C743" s="2" t="s">
        <v>15975</v>
      </c>
      <c r="D743" s="2" t="s">
        <v>42</v>
      </c>
      <c r="E743" s="2">
        <v>75</v>
      </c>
      <c r="F743" s="2">
        <v>392.46</v>
      </c>
    </row>
    <row r="744" spans="3:6" x14ac:dyDescent="0.25">
      <c r="C744" s="2" t="s">
        <v>15976</v>
      </c>
      <c r="D744" s="2" t="s">
        <v>42</v>
      </c>
      <c r="E744" s="2">
        <v>100</v>
      </c>
      <c r="F744" s="2">
        <v>2063.13</v>
      </c>
    </row>
    <row r="745" spans="3:6" x14ac:dyDescent="0.25">
      <c r="C745" s="2" t="s">
        <v>15977</v>
      </c>
      <c r="D745" s="2" t="s">
        <v>42</v>
      </c>
      <c r="E745" s="2">
        <v>131</v>
      </c>
      <c r="F745" s="2">
        <v>1908.013</v>
      </c>
    </row>
    <row r="746" spans="3:6" x14ac:dyDescent="0.25">
      <c r="C746" s="2" t="s">
        <v>15978</v>
      </c>
      <c r="D746" s="2" t="s">
        <v>42</v>
      </c>
      <c r="E746" s="2">
        <v>141</v>
      </c>
      <c r="F746" s="2">
        <v>2915.42</v>
      </c>
    </row>
    <row r="747" spans="3:6" x14ac:dyDescent="0.25">
      <c r="C747" s="2" t="s">
        <v>15979</v>
      </c>
      <c r="D747" s="2" t="s">
        <v>42</v>
      </c>
      <c r="E747" s="2">
        <v>123</v>
      </c>
      <c r="F747" s="2">
        <v>2531.99</v>
      </c>
    </row>
    <row r="748" spans="3:6" x14ac:dyDescent="0.25">
      <c r="C748" s="2" t="s">
        <v>15980</v>
      </c>
      <c r="D748" s="2" t="s">
        <v>42</v>
      </c>
      <c r="E748" s="2">
        <v>34</v>
      </c>
      <c r="F748" s="2">
        <v>707</v>
      </c>
    </row>
    <row r="749" spans="3:6" x14ac:dyDescent="0.25">
      <c r="C749" s="2" t="s">
        <v>15981</v>
      </c>
      <c r="D749" s="2" t="s">
        <v>42</v>
      </c>
      <c r="E749" s="2">
        <v>75</v>
      </c>
      <c r="F749" s="2">
        <v>1548.31</v>
      </c>
    </row>
    <row r="750" spans="3:6" x14ac:dyDescent="0.25">
      <c r="C750" s="2" t="s">
        <v>15982</v>
      </c>
      <c r="D750" s="2" t="s">
        <v>42</v>
      </c>
      <c r="E750" s="2">
        <v>18</v>
      </c>
      <c r="F750" s="2">
        <v>435.74</v>
      </c>
    </row>
    <row r="751" spans="3:6" x14ac:dyDescent="0.25">
      <c r="C751" s="2" t="s">
        <v>15983</v>
      </c>
      <c r="D751" s="2" t="s">
        <v>42</v>
      </c>
      <c r="E751" s="2">
        <v>61</v>
      </c>
      <c r="F751" s="2">
        <v>1152.37</v>
      </c>
    </row>
    <row r="752" spans="3:6" x14ac:dyDescent="0.25">
      <c r="C752" s="2" t="s">
        <v>15984</v>
      </c>
      <c r="D752" s="2" t="s">
        <v>42</v>
      </c>
      <c r="E752" s="2">
        <v>91</v>
      </c>
      <c r="F752" s="2">
        <v>1888.009</v>
      </c>
    </row>
    <row r="753" spans="3:6" x14ac:dyDescent="0.25">
      <c r="C753" s="2" t="s">
        <v>15985</v>
      </c>
      <c r="D753" s="2" t="s">
        <v>42</v>
      </c>
      <c r="E753" s="2">
        <v>39</v>
      </c>
      <c r="F753" s="2">
        <v>721.91</v>
      </c>
    </row>
    <row r="754" spans="3:6" x14ac:dyDescent="0.25">
      <c r="C754" s="2" t="s">
        <v>15986</v>
      </c>
      <c r="D754" s="2" t="s">
        <v>42</v>
      </c>
      <c r="E754" s="2">
        <v>141</v>
      </c>
      <c r="F754" s="2">
        <v>2884.11</v>
      </c>
    </row>
    <row r="755" spans="3:6" x14ac:dyDescent="0.25">
      <c r="C755" s="2" t="s">
        <v>15987</v>
      </c>
      <c r="D755" s="2" t="s">
        <v>42</v>
      </c>
      <c r="E755" s="2">
        <v>45</v>
      </c>
      <c r="F755" s="2">
        <v>1010.49</v>
      </c>
    </row>
    <row r="756" spans="3:6" x14ac:dyDescent="0.25">
      <c r="C756" s="2" t="s">
        <v>15988</v>
      </c>
      <c r="D756" s="2" t="s">
        <v>42</v>
      </c>
      <c r="E756" s="2">
        <v>100</v>
      </c>
      <c r="F756" s="2">
        <v>1978.4</v>
      </c>
    </row>
    <row r="757" spans="3:6" x14ac:dyDescent="0.25">
      <c r="C757" s="2" t="s">
        <v>15989</v>
      </c>
      <c r="D757" s="2" t="s">
        <v>42</v>
      </c>
      <c r="E757" s="2">
        <v>25</v>
      </c>
      <c r="F757" s="2">
        <v>502.3</v>
      </c>
    </row>
    <row r="758" spans="3:6" x14ac:dyDescent="0.25">
      <c r="C758" s="2" t="s">
        <v>15990</v>
      </c>
      <c r="D758" s="2" t="s">
        <v>42</v>
      </c>
      <c r="E758" s="2">
        <v>20</v>
      </c>
      <c r="F758" s="2">
        <v>360.099</v>
      </c>
    </row>
    <row r="759" spans="3:6" x14ac:dyDescent="0.25">
      <c r="C759" s="2" t="s">
        <v>15991</v>
      </c>
      <c r="D759" s="2" t="s">
        <v>42</v>
      </c>
      <c r="E759" s="2">
        <v>52</v>
      </c>
      <c r="F759" s="2">
        <v>538.543</v>
      </c>
    </row>
    <row r="760" spans="3:6" x14ac:dyDescent="0.25">
      <c r="C760" s="2" t="s">
        <v>15992</v>
      </c>
      <c r="D760" s="2" t="s">
        <v>42</v>
      </c>
      <c r="E760" s="2">
        <v>16</v>
      </c>
      <c r="F760" s="2">
        <v>333.26</v>
      </c>
    </row>
    <row r="761" spans="3:6" x14ac:dyDescent="0.25">
      <c r="C761" s="2" t="s">
        <v>15993</v>
      </c>
      <c r="D761" s="2" t="s">
        <v>42</v>
      </c>
      <c r="E761" s="2">
        <v>19</v>
      </c>
      <c r="F761" s="2">
        <v>385.16</v>
      </c>
    </row>
    <row r="762" spans="3:6" x14ac:dyDescent="0.25">
      <c r="C762" s="2" t="s">
        <v>15994</v>
      </c>
      <c r="D762" s="2" t="s">
        <v>42</v>
      </c>
      <c r="E762" s="2">
        <v>106</v>
      </c>
      <c r="F762" s="2">
        <v>2116.59</v>
      </c>
    </row>
    <row r="763" spans="3:6" x14ac:dyDescent="0.25">
      <c r="C763" s="2" t="s">
        <v>15995</v>
      </c>
      <c r="D763" s="2" t="s">
        <v>42</v>
      </c>
      <c r="E763" s="2">
        <v>39</v>
      </c>
      <c r="F763" s="2">
        <v>784.66</v>
      </c>
    </row>
    <row r="764" spans="3:6" x14ac:dyDescent="0.25">
      <c r="C764" s="2" t="s">
        <v>15996</v>
      </c>
      <c r="D764" s="2" t="s">
        <v>42</v>
      </c>
      <c r="E764" s="2">
        <v>82</v>
      </c>
      <c r="F764" s="2">
        <v>1666.599</v>
      </c>
    </row>
    <row r="765" spans="3:6" x14ac:dyDescent="0.25">
      <c r="C765" s="2" t="s">
        <v>15997</v>
      </c>
      <c r="D765" s="2" t="s">
        <v>42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15998</v>
      </c>
      <c r="C767" s="2" t="s">
        <v>15999</v>
      </c>
      <c r="D767" s="2" t="s">
        <v>1288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16000</v>
      </c>
      <c r="D768" s="2" t="s">
        <v>1288</v>
      </c>
      <c r="E768" s="2">
        <v>106</v>
      </c>
      <c r="F768" s="2">
        <v>2165.52</v>
      </c>
    </row>
    <row r="769" spans="3:6" x14ac:dyDescent="0.25">
      <c r="C769" s="2" t="s">
        <v>16001</v>
      </c>
      <c r="D769" s="2" t="s">
        <v>1288</v>
      </c>
      <c r="E769" s="2">
        <v>141</v>
      </c>
      <c r="F769" s="2">
        <v>2707.87</v>
      </c>
    </row>
    <row r="770" spans="3:6" x14ac:dyDescent="0.25">
      <c r="C770" s="2" t="s">
        <v>16002</v>
      </c>
      <c r="D770" s="2" t="s">
        <v>1288</v>
      </c>
      <c r="E770" s="2">
        <v>55</v>
      </c>
      <c r="F770" s="2">
        <v>1057.86</v>
      </c>
    </row>
    <row r="771" spans="3:6" x14ac:dyDescent="0.25">
      <c r="C771" s="2" t="s">
        <v>16003</v>
      </c>
      <c r="D771" s="2" t="s">
        <v>1288</v>
      </c>
      <c r="E771" s="2">
        <v>86</v>
      </c>
      <c r="F771" s="2">
        <v>1624.45</v>
      </c>
    </row>
    <row r="772" spans="3:6" x14ac:dyDescent="0.25">
      <c r="C772" s="2" t="s">
        <v>16004</v>
      </c>
      <c r="D772" s="2" t="s">
        <v>1288</v>
      </c>
      <c r="E772" s="2">
        <v>141</v>
      </c>
      <c r="F772" s="2">
        <v>2910.8</v>
      </c>
    </row>
    <row r="773" spans="3:6" x14ac:dyDescent="0.25">
      <c r="C773" s="2" t="s">
        <v>16005</v>
      </c>
      <c r="D773" s="2" t="s">
        <v>1288</v>
      </c>
      <c r="E773" s="2">
        <v>31</v>
      </c>
      <c r="F773" s="2">
        <v>627.02</v>
      </c>
    </row>
    <row r="774" spans="3:6" x14ac:dyDescent="0.25">
      <c r="C774" s="2" t="s">
        <v>16006</v>
      </c>
      <c r="D774" s="2" t="s">
        <v>1288</v>
      </c>
      <c r="E774" s="2">
        <v>25</v>
      </c>
      <c r="F774" s="2">
        <v>525.41</v>
      </c>
    </row>
    <row r="775" spans="3:6" x14ac:dyDescent="0.25">
      <c r="C775" s="2" t="s">
        <v>16007</v>
      </c>
      <c r="D775" s="2" t="s">
        <v>1288</v>
      </c>
      <c r="E775" s="2">
        <v>85</v>
      </c>
      <c r="F775" s="2">
        <v>1763.69</v>
      </c>
    </row>
    <row r="776" spans="3:6" x14ac:dyDescent="0.25">
      <c r="C776" s="2" t="s">
        <v>16008</v>
      </c>
      <c r="D776" s="2" t="s">
        <v>1288</v>
      </c>
      <c r="E776" s="2">
        <v>141</v>
      </c>
      <c r="F776" s="2">
        <v>2781.51</v>
      </c>
    </row>
    <row r="777" spans="3:6" x14ac:dyDescent="0.25">
      <c r="C777" s="2" t="s">
        <v>16009</v>
      </c>
      <c r="D777" s="2" t="s">
        <v>1288</v>
      </c>
      <c r="E777" s="2">
        <v>76</v>
      </c>
      <c r="F777" s="2">
        <v>1530.569</v>
      </c>
    </row>
    <row r="778" spans="3:6" x14ac:dyDescent="0.25">
      <c r="C778" s="2" t="s">
        <v>16010</v>
      </c>
      <c r="D778" s="2" t="s">
        <v>1288</v>
      </c>
      <c r="E778" s="2">
        <v>22</v>
      </c>
      <c r="F778" s="2">
        <v>421.32</v>
      </c>
    </row>
    <row r="779" spans="3:6" x14ac:dyDescent="0.25">
      <c r="C779" s="2" t="s">
        <v>16011</v>
      </c>
      <c r="D779" s="2" t="s">
        <v>1288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10</v>
      </c>
      <c r="C781" s="2" t="s">
        <v>16012</v>
      </c>
      <c r="D781" s="2" t="s">
        <v>12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16013</v>
      </c>
      <c r="D782" s="2" t="s">
        <v>12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212</v>
      </c>
      <c r="C784" s="2" t="s">
        <v>16014</v>
      </c>
      <c r="D784" s="2" t="s">
        <v>204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16015</v>
      </c>
      <c r="D785" s="2" t="s">
        <v>204</v>
      </c>
      <c r="E785" s="2">
        <v>105</v>
      </c>
      <c r="F785" s="2">
        <v>2047.35</v>
      </c>
    </row>
    <row r="786" spans="3:6" x14ac:dyDescent="0.25">
      <c r="C786" s="2" t="s">
        <v>16016</v>
      </c>
      <c r="D786" s="2" t="s">
        <v>204</v>
      </c>
      <c r="E786" s="2">
        <v>156</v>
      </c>
      <c r="F786" s="2">
        <v>3076.75</v>
      </c>
    </row>
    <row r="787" spans="3:6" x14ac:dyDescent="0.25">
      <c r="C787" s="2" t="s">
        <v>16017</v>
      </c>
      <c r="D787" s="2" t="s">
        <v>204</v>
      </c>
      <c r="E787" s="2">
        <v>36</v>
      </c>
      <c r="F787" s="2">
        <v>702.49</v>
      </c>
    </row>
    <row r="788" spans="3:6" x14ac:dyDescent="0.25">
      <c r="C788" s="2" t="s">
        <v>16018</v>
      </c>
      <c r="D788" s="2" t="s">
        <v>347</v>
      </c>
      <c r="E788" s="2">
        <v>91</v>
      </c>
      <c r="F788" s="2">
        <v>1749.1</v>
      </c>
    </row>
    <row r="789" spans="3:6" x14ac:dyDescent="0.25">
      <c r="C789" s="2" t="s">
        <v>16019</v>
      </c>
      <c r="D789" s="2" t="s">
        <v>347</v>
      </c>
      <c r="E789" s="2">
        <v>52</v>
      </c>
      <c r="F789" s="2">
        <v>994.29</v>
      </c>
    </row>
    <row r="790" spans="3:6" x14ac:dyDescent="0.25">
      <c r="C790" s="2" t="s">
        <v>16020</v>
      </c>
      <c r="D790" s="2" t="s">
        <v>347</v>
      </c>
      <c r="E790" s="2">
        <v>13</v>
      </c>
      <c r="F790" s="2">
        <v>227.846</v>
      </c>
    </row>
    <row r="791" spans="3:6" x14ac:dyDescent="0.25">
      <c r="C791" s="2" t="s">
        <v>16021</v>
      </c>
      <c r="D791" s="2" t="s">
        <v>216</v>
      </c>
      <c r="E791" s="2">
        <v>42</v>
      </c>
      <c r="F791" s="2">
        <v>788.869</v>
      </c>
    </row>
    <row r="792" spans="3:6" x14ac:dyDescent="0.25">
      <c r="C792" s="2" t="s">
        <v>16022</v>
      </c>
      <c r="D792" s="2" t="s">
        <v>216</v>
      </c>
      <c r="E792" s="2">
        <v>65</v>
      </c>
      <c r="F792" s="2">
        <v>1217.099</v>
      </c>
    </row>
    <row r="793" spans="3:6" x14ac:dyDescent="0.25">
      <c r="C793" s="2" t="s">
        <v>16023</v>
      </c>
      <c r="D793" s="2" t="s">
        <v>204</v>
      </c>
      <c r="E793" s="2">
        <v>163</v>
      </c>
      <c r="F793" s="2">
        <v>3148.21</v>
      </c>
    </row>
    <row r="794" spans="3:6" x14ac:dyDescent="0.25">
      <c r="C794" s="2" t="s">
        <v>16024</v>
      </c>
      <c r="D794" s="2" t="s">
        <v>204</v>
      </c>
      <c r="E794" s="2">
        <v>163</v>
      </c>
      <c r="F794" s="2">
        <v>3281.104</v>
      </c>
    </row>
    <row r="795" spans="3:6" x14ac:dyDescent="0.25">
      <c r="C795" s="2" t="s">
        <v>16025</v>
      </c>
      <c r="D795" s="2" t="s">
        <v>216</v>
      </c>
      <c r="E795" s="2">
        <v>163</v>
      </c>
      <c r="F795" s="2">
        <v>3186.129</v>
      </c>
    </row>
    <row r="796" spans="3:6" x14ac:dyDescent="0.25">
      <c r="C796" s="2" t="s">
        <v>16026</v>
      </c>
      <c r="D796" s="2" t="s">
        <v>204</v>
      </c>
      <c r="E796" s="2">
        <v>105</v>
      </c>
      <c r="F796" s="2">
        <v>1913.911</v>
      </c>
    </row>
    <row r="797" spans="3:6" x14ac:dyDescent="0.25">
      <c r="C797" s="2" t="s">
        <v>16027</v>
      </c>
      <c r="D797" s="2" t="s">
        <v>216</v>
      </c>
      <c r="E797" s="2">
        <v>163</v>
      </c>
      <c r="F797" s="2">
        <v>3080.56</v>
      </c>
    </row>
    <row r="798" spans="3:6" x14ac:dyDescent="0.25">
      <c r="C798" s="2" t="s">
        <v>16028</v>
      </c>
      <c r="D798" s="2" t="s">
        <v>216</v>
      </c>
      <c r="E798" s="2">
        <v>163</v>
      </c>
      <c r="F798" s="2">
        <v>3198</v>
      </c>
    </row>
    <row r="799" spans="3:6" x14ac:dyDescent="0.25">
      <c r="C799" s="2" t="s">
        <v>16029</v>
      </c>
      <c r="D799" s="2" t="s">
        <v>216</v>
      </c>
      <c r="E799" s="2">
        <v>163</v>
      </c>
      <c r="F799" s="2">
        <v>3119.52</v>
      </c>
    </row>
    <row r="800" spans="3:6" x14ac:dyDescent="0.25">
      <c r="C800" s="2" t="s">
        <v>16030</v>
      </c>
      <c r="D800" s="2" t="s">
        <v>216</v>
      </c>
      <c r="E800" s="2">
        <v>163</v>
      </c>
      <c r="F800" s="2">
        <v>3174.91</v>
      </c>
    </row>
    <row r="801" spans="3:6" x14ac:dyDescent="0.25">
      <c r="C801" s="2" t="s">
        <v>16031</v>
      </c>
      <c r="D801" s="2" t="s">
        <v>347</v>
      </c>
      <c r="E801" s="2">
        <v>56</v>
      </c>
      <c r="F801" s="2">
        <v>1085.999</v>
      </c>
    </row>
    <row r="802" spans="3:6" x14ac:dyDescent="0.25">
      <c r="C802" s="2" t="s">
        <v>16032</v>
      </c>
      <c r="D802" s="2" t="s">
        <v>347</v>
      </c>
      <c r="E802" s="2">
        <v>100</v>
      </c>
      <c r="F802" s="2">
        <v>1927.084</v>
      </c>
    </row>
    <row r="803" spans="3:6" x14ac:dyDescent="0.25">
      <c r="C803" s="2" t="s">
        <v>16033</v>
      </c>
      <c r="D803" s="2" t="s">
        <v>216</v>
      </c>
      <c r="E803" s="2">
        <v>163</v>
      </c>
      <c r="F803" s="2">
        <v>3140.07</v>
      </c>
    </row>
    <row r="804" spans="3:6" x14ac:dyDescent="0.25">
      <c r="C804" s="2" t="s">
        <v>16034</v>
      </c>
      <c r="D804" s="2" t="s">
        <v>236</v>
      </c>
      <c r="E804" s="2">
        <v>14</v>
      </c>
      <c r="F804" s="2">
        <v>251.59</v>
      </c>
    </row>
    <row r="805" spans="3:6" x14ac:dyDescent="0.25">
      <c r="C805" s="2" t="s">
        <v>16035</v>
      </c>
      <c r="D805" s="2" t="s">
        <v>236</v>
      </c>
      <c r="E805" s="2">
        <v>51</v>
      </c>
      <c r="F805" s="2">
        <v>950.568</v>
      </c>
    </row>
    <row r="806" spans="3:6" x14ac:dyDescent="0.25">
      <c r="C806" s="2" t="s">
        <v>16036</v>
      </c>
      <c r="D806" s="2" t="s">
        <v>236</v>
      </c>
      <c r="E806" s="2">
        <v>13</v>
      </c>
      <c r="F806" s="2">
        <v>219.16</v>
      </c>
    </row>
    <row r="807" spans="3:6" x14ac:dyDescent="0.25">
      <c r="C807" s="2" t="s">
        <v>16037</v>
      </c>
      <c r="D807" s="2" t="s">
        <v>236</v>
      </c>
      <c r="E807" s="2">
        <v>78</v>
      </c>
      <c r="F807" s="2">
        <v>1439.429</v>
      </c>
    </row>
    <row r="808" spans="3:6" x14ac:dyDescent="0.25">
      <c r="C808" s="2" t="s">
        <v>16038</v>
      </c>
      <c r="D808" s="2" t="s">
        <v>216</v>
      </c>
      <c r="E808" s="2">
        <v>134</v>
      </c>
      <c r="F808" s="2">
        <v>2584.678</v>
      </c>
    </row>
    <row r="809" spans="3:6" x14ac:dyDescent="0.25">
      <c r="C809" s="2" t="s">
        <v>16039</v>
      </c>
      <c r="D809" s="2" t="s">
        <v>216</v>
      </c>
      <c r="E809" s="2">
        <v>134</v>
      </c>
      <c r="F809" s="2">
        <v>2702.44</v>
      </c>
    </row>
    <row r="810" spans="3:6" x14ac:dyDescent="0.25">
      <c r="C810" s="2" t="s">
        <v>16040</v>
      </c>
      <c r="D810" s="2" t="s">
        <v>216</v>
      </c>
      <c r="E810" s="2">
        <v>134</v>
      </c>
      <c r="F810" s="2">
        <v>2703.67</v>
      </c>
    </row>
    <row r="811" spans="3:6" x14ac:dyDescent="0.25">
      <c r="C811" s="2" t="s">
        <v>16041</v>
      </c>
      <c r="D811" s="2" t="s">
        <v>216</v>
      </c>
      <c r="E811" s="2">
        <v>134</v>
      </c>
      <c r="F811" s="2">
        <v>2717.51</v>
      </c>
    </row>
    <row r="812" spans="3:6" x14ac:dyDescent="0.25">
      <c r="C812" s="2" t="s">
        <v>16042</v>
      </c>
      <c r="D812" s="2" t="s">
        <v>216</v>
      </c>
      <c r="E812" s="2">
        <v>134</v>
      </c>
      <c r="F812" s="2">
        <v>2739.12</v>
      </c>
    </row>
    <row r="813" spans="3:6" x14ac:dyDescent="0.25">
      <c r="C813" s="2" t="s">
        <v>16043</v>
      </c>
      <c r="D813" s="2" t="s">
        <v>216</v>
      </c>
      <c r="E813" s="2">
        <v>134</v>
      </c>
      <c r="F813" s="2">
        <v>2665.26</v>
      </c>
    </row>
    <row r="814" spans="3:6" x14ac:dyDescent="0.25">
      <c r="C814" s="2" t="s">
        <v>16044</v>
      </c>
      <c r="D814" s="2" t="s">
        <v>204</v>
      </c>
      <c r="E814" s="2">
        <v>105</v>
      </c>
      <c r="F814" s="2">
        <v>800</v>
      </c>
    </row>
    <row r="815" spans="3:6" x14ac:dyDescent="0.25">
      <c r="C815" s="2" t="s">
        <v>16045</v>
      </c>
      <c r="D815" s="2" t="s">
        <v>204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16046</v>
      </c>
      <c r="C817" s="2" t="s">
        <v>16047</v>
      </c>
      <c r="D817" s="2" t="s">
        <v>216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16048</v>
      </c>
      <c r="D818" s="2" t="s">
        <v>216</v>
      </c>
      <c r="E818" s="2">
        <v>23</v>
      </c>
      <c r="F818" s="2">
        <v>387.41</v>
      </c>
    </row>
    <row r="819" spans="3:6" x14ac:dyDescent="0.25">
      <c r="C819" s="2" t="s">
        <v>16049</v>
      </c>
      <c r="D819" s="2" t="s">
        <v>214</v>
      </c>
      <c r="E819" s="2">
        <v>156</v>
      </c>
      <c r="F819" s="2">
        <v>2750.82</v>
      </c>
    </row>
    <row r="820" spans="3:6" x14ac:dyDescent="0.25">
      <c r="C820" s="2" t="s">
        <v>16050</v>
      </c>
      <c r="D820" s="2" t="s">
        <v>214</v>
      </c>
      <c r="E820" s="2">
        <v>105</v>
      </c>
      <c r="F820" s="2">
        <v>1801.089</v>
      </c>
    </row>
    <row r="821" spans="3:6" x14ac:dyDescent="0.25">
      <c r="C821" s="2" t="s">
        <v>16051</v>
      </c>
      <c r="D821" s="2" t="s">
        <v>297</v>
      </c>
      <c r="E821" s="2">
        <v>156</v>
      </c>
      <c r="F821" s="2">
        <v>3044.12</v>
      </c>
    </row>
    <row r="822" spans="3:6" x14ac:dyDescent="0.25">
      <c r="C822" s="2" t="s">
        <v>16052</v>
      </c>
      <c r="D822" s="2" t="s">
        <v>297</v>
      </c>
      <c r="E822" s="2">
        <v>156</v>
      </c>
      <c r="F822" s="2">
        <v>3129.283</v>
      </c>
    </row>
    <row r="823" spans="3:6" x14ac:dyDescent="0.25">
      <c r="C823" s="2" t="s">
        <v>16053</v>
      </c>
      <c r="D823" s="2" t="s">
        <v>214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1434</v>
      </c>
      <c r="C825" s="2" t="s">
        <v>16054</v>
      </c>
      <c r="D825" s="2" t="s">
        <v>122</v>
      </c>
      <c r="E825" s="2">
        <v>121</v>
      </c>
      <c r="F825" s="2">
        <v>2481.64</v>
      </c>
      <c r="G825" s="1" t="s">
        <v>16055</v>
      </c>
    </row>
    <row r="826" spans="3:6" x14ac:dyDescent="0.25">
      <c r="C826" s="2" t="s">
        <v>16056</v>
      </c>
      <c r="D826" s="2" t="s">
        <v>122</v>
      </c>
      <c r="E826" s="2">
        <v>121</v>
      </c>
      <c r="F826" s="2">
        <v>2454.209</v>
      </c>
    </row>
    <row r="827" spans="3:6" x14ac:dyDescent="0.25">
      <c r="C827" s="2" t="s">
        <v>16057</v>
      </c>
      <c r="D827" s="2" t="s">
        <v>122</v>
      </c>
      <c r="E827" s="2">
        <v>100</v>
      </c>
      <c r="F827" s="2">
        <v>1988.76</v>
      </c>
    </row>
    <row r="828" spans="3:6" x14ac:dyDescent="0.25">
      <c r="C828" s="2" t="s">
        <v>16058</v>
      </c>
      <c r="D828" s="2" t="s">
        <v>122</v>
      </c>
      <c r="E828" s="2">
        <v>100</v>
      </c>
      <c r="F828" s="2">
        <v>2029.13</v>
      </c>
    </row>
    <row r="829" spans="3:6" x14ac:dyDescent="0.25">
      <c r="C829" s="2" t="s">
        <v>16059</v>
      </c>
      <c r="D829" s="2" t="s">
        <v>122</v>
      </c>
      <c r="E829" s="2">
        <v>69</v>
      </c>
      <c r="F829" s="2">
        <v>1382.64</v>
      </c>
    </row>
    <row r="830" spans="3:6" x14ac:dyDescent="0.25">
      <c r="C830" s="2" t="s">
        <v>16060</v>
      </c>
      <c r="D830" s="2" t="s">
        <v>122</v>
      </c>
      <c r="E830" s="2">
        <v>31</v>
      </c>
      <c r="F830" s="2">
        <v>639.809</v>
      </c>
    </row>
    <row r="831" spans="3:6" x14ac:dyDescent="0.25">
      <c r="C831" s="2" t="s">
        <v>16061</v>
      </c>
      <c r="D831" s="2" t="s">
        <v>122</v>
      </c>
      <c r="E831" s="2">
        <v>46</v>
      </c>
      <c r="F831" s="2">
        <v>926.85</v>
      </c>
    </row>
    <row r="832" spans="3:6" x14ac:dyDescent="0.25">
      <c r="C832" s="2" t="s">
        <v>16062</v>
      </c>
      <c r="D832" s="2" t="s">
        <v>122</v>
      </c>
      <c r="E832" s="2">
        <v>54</v>
      </c>
      <c r="F832" s="2">
        <v>1083.05</v>
      </c>
    </row>
    <row r="833" spans="3:6" x14ac:dyDescent="0.25">
      <c r="C833" s="2" t="s">
        <v>16063</v>
      </c>
      <c r="D833" s="2" t="s">
        <v>122</v>
      </c>
      <c r="E833" s="2">
        <v>141</v>
      </c>
      <c r="F833" s="2">
        <v>2907.53</v>
      </c>
    </row>
    <row r="834" spans="3:6" x14ac:dyDescent="0.25">
      <c r="C834" s="2" t="s">
        <v>16064</v>
      </c>
      <c r="D834" s="2" t="s">
        <v>122</v>
      </c>
      <c r="E834" s="2">
        <v>141</v>
      </c>
      <c r="F834" s="2">
        <v>2872.23</v>
      </c>
    </row>
    <row r="835" spans="3:6" x14ac:dyDescent="0.25">
      <c r="C835" s="2" t="s">
        <v>16065</v>
      </c>
      <c r="D835" s="2" t="s">
        <v>122</v>
      </c>
      <c r="E835" s="2">
        <v>141</v>
      </c>
      <c r="F835" s="2">
        <v>2866.039</v>
      </c>
    </row>
    <row r="836" spans="3:6" x14ac:dyDescent="0.25">
      <c r="C836" s="2" t="s">
        <v>16066</v>
      </c>
      <c r="D836" s="2" t="s">
        <v>122</v>
      </c>
      <c r="E836" s="2">
        <v>115</v>
      </c>
      <c r="F836" s="2">
        <v>2191.235</v>
      </c>
    </row>
    <row r="837" spans="3:6" x14ac:dyDescent="0.25">
      <c r="C837" s="2" t="s">
        <v>16067</v>
      </c>
      <c r="D837" s="2" t="s">
        <v>122</v>
      </c>
      <c r="E837" s="2">
        <v>26</v>
      </c>
      <c r="F837" s="2">
        <v>511.26</v>
      </c>
    </row>
    <row r="838" spans="3:6" x14ac:dyDescent="0.25">
      <c r="C838" s="2" t="s">
        <v>16068</v>
      </c>
      <c r="D838" s="2" t="s">
        <v>122</v>
      </c>
      <c r="E838" s="2">
        <v>112</v>
      </c>
      <c r="F838" s="2">
        <v>2239.49</v>
      </c>
    </row>
    <row r="839" spans="3:6" x14ac:dyDescent="0.25">
      <c r="C839" s="2" t="s">
        <v>16069</v>
      </c>
      <c r="D839" s="2" t="s">
        <v>122</v>
      </c>
      <c r="E839" s="2">
        <v>29</v>
      </c>
      <c r="F839" s="2">
        <v>522.16</v>
      </c>
    </row>
    <row r="840" spans="3:6" x14ac:dyDescent="0.25">
      <c r="C840" s="2" t="s">
        <v>16070</v>
      </c>
      <c r="D840" s="2" t="s">
        <v>122</v>
      </c>
      <c r="E840" s="2">
        <v>141</v>
      </c>
      <c r="F840" s="2">
        <v>2765.67</v>
      </c>
    </row>
    <row r="841" spans="3:6" x14ac:dyDescent="0.25">
      <c r="C841" s="2" t="s">
        <v>16071</v>
      </c>
      <c r="D841" s="2" t="s">
        <v>122</v>
      </c>
      <c r="E841" s="2">
        <v>23</v>
      </c>
      <c r="F841" s="2">
        <v>451.77</v>
      </c>
    </row>
    <row r="842" spans="3:6" x14ac:dyDescent="0.25">
      <c r="C842" s="2" t="s">
        <v>16072</v>
      </c>
      <c r="D842" s="2" t="s">
        <v>122</v>
      </c>
      <c r="E842" s="2">
        <v>48</v>
      </c>
      <c r="F842" s="2">
        <v>894.97</v>
      </c>
    </row>
    <row r="843" spans="3:6" x14ac:dyDescent="0.25">
      <c r="C843" s="2" t="s">
        <v>16073</v>
      </c>
      <c r="D843" s="2" t="s">
        <v>122</v>
      </c>
      <c r="E843" s="2">
        <v>29</v>
      </c>
      <c r="F843" s="2">
        <v>535.6</v>
      </c>
    </row>
    <row r="844" spans="3:6" x14ac:dyDescent="0.25">
      <c r="C844" s="2" t="s">
        <v>16074</v>
      </c>
      <c r="D844" s="2" t="s">
        <v>122</v>
      </c>
      <c r="E844" s="2">
        <v>13</v>
      </c>
      <c r="F844" s="2">
        <v>248.55</v>
      </c>
    </row>
    <row r="845" spans="3:6" x14ac:dyDescent="0.25">
      <c r="C845" s="2" t="s">
        <v>16075</v>
      </c>
      <c r="D845" s="2" t="s">
        <v>122</v>
      </c>
      <c r="E845" s="2">
        <v>28</v>
      </c>
      <c r="F845" s="2">
        <v>512.17</v>
      </c>
    </row>
    <row r="846" spans="3:6" x14ac:dyDescent="0.25">
      <c r="C846" s="2" t="s">
        <v>16076</v>
      </c>
      <c r="D846" s="2" t="s">
        <v>122</v>
      </c>
      <c r="E846" s="2">
        <v>46</v>
      </c>
      <c r="F846" s="2">
        <v>957.32</v>
      </c>
    </row>
    <row r="847" spans="3:6" x14ac:dyDescent="0.25">
      <c r="C847" s="2" t="s">
        <v>16077</v>
      </c>
      <c r="D847" s="2" t="s">
        <v>122</v>
      </c>
      <c r="E847" s="2">
        <v>39</v>
      </c>
      <c r="F847" s="2">
        <v>769.98</v>
      </c>
    </row>
    <row r="848" spans="3:6" x14ac:dyDescent="0.25">
      <c r="C848" s="2" t="s">
        <v>16078</v>
      </c>
      <c r="D848" s="2" t="s">
        <v>122</v>
      </c>
      <c r="E848" s="2">
        <v>30</v>
      </c>
      <c r="F848" s="2">
        <v>594.82</v>
      </c>
    </row>
    <row r="849" spans="3:6" x14ac:dyDescent="0.25">
      <c r="C849" s="2" t="s">
        <v>16079</v>
      </c>
      <c r="D849" s="2" t="s">
        <v>122</v>
      </c>
      <c r="E849" s="2">
        <v>26</v>
      </c>
      <c r="F849" s="2">
        <v>530</v>
      </c>
    </row>
    <row r="850" spans="3:6" x14ac:dyDescent="0.25">
      <c r="C850" s="2" t="s">
        <v>16080</v>
      </c>
      <c r="D850" s="2" t="s">
        <v>122</v>
      </c>
      <c r="E850" s="2">
        <v>79</v>
      </c>
      <c r="F850" s="2">
        <v>1613.2</v>
      </c>
    </row>
    <row r="851" spans="3:6" x14ac:dyDescent="0.25">
      <c r="C851" s="2" t="s">
        <v>16081</v>
      </c>
      <c r="D851" s="2" t="s">
        <v>122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206</v>
      </c>
      <c r="C853" s="2" t="s">
        <v>16082</v>
      </c>
      <c r="D853" s="2" t="s">
        <v>27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16083</v>
      </c>
      <c r="D854" s="2" t="s">
        <v>27</v>
      </c>
      <c r="E854" s="2">
        <v>82</v>
      </c>
      <c r="F854" s="2">
        <v>1596.05</v>
      </c>
    </row>
    <row r="855" spans="3:6" x14ac:dyDescent="0.25">
      <c r="C855" s="2" t="s">
        <v>16084</v>
      </c>
      <c r="D855" s="2" t="s">
        <v>27</v>
      </c>
      <c r="E855" s="2">
        <v>37</v>
      </c>
      <c r="F855" s="2">
        <v>680</v>
      </c>
    </row>
    <row r="856" spans="3:6" x14ac:dyDescent="0.25">
      <c r="C856" s="2" t="s">
        <v>16085</v>
      </c>
      <c r="D856" s="2" t="s">
        <v>27</v>
      </c>
      <c r="E856" s="2">
        <v>58</v>
      </c>
      <c r="F856" s="2">
        <v>1157.019</v>
      </c>
    </row>
    <row r="857" spans="3:6" x14ac:dyDescent="0.25">
      <c r="C857" s="2" t="s">
        <v>16086</v>
      </c>
      <c r="D857" s="2" t="s">
        <v>27</v>
      </c>
      <c r="E857" s="2">
        <v>12</v>
      </c>
      <c r="F857" s="2">
        <v>205.87</v>
      </c>
    </row>
    <row r="858" spans="3:6" x14ac:dyDescent="0.25">
      <c r="C858" s="2" t="s">
        <v>16087</v>
      </c>
      <c r="D858" s="2" t="s">
        <v>27</v>
      </c>
      <c r="E858" s="2">
        <v>8</v>
      </c>
      <c r="F858" s="2">
        <v>153.09</v>
      </c>
    </row>
    <row r="859" spans="3:6" x14ac:dyDescent="0.25">
      <c r="C859" s="2" t="s">
        <v>16088</v>
      </c>
      <c r="D859" s="2" t="s">
        <v>27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10</v>
      </c>
      <c r="C861" s="2" t="s">
        <v>16089</v>
      </c>
      <c r="D861" s="2" t="s">
        <v>12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16090</v>
      </c>
      <c r="D862" s="2" t="s">
        <v>12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16091</v>
      </c>
      <c r="C864" s="2" t="s">
        <v>16092</v>
      </c>
      <c r="D864" s="2" t="s">
        <v>15769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1286</v>
      </c>
      <c r="C866" s="2" t="s">
        <v>16093</v>
      </c>
      <c r="D866" s="2" t="s">
        <v>8441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1286</v>
      </c>
      <c r="C868" s="2" t="s">
        <v>16094</v>
      </c>
      <c r="D868" s="2" t="s">
        <v>8924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40</v>
      </c>
      <c r="C870" s="2" t="s">
        <v>16095</v>
      </c>
      <c r="D870" s="2" t="s">
        <v>42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16096</v>
      </c>
      <c r="D871" s="2" t="s">
        <v>42</v>
      </c>
      <c r="E871" s="2">
        <v>37</v>
      </c>
      <c r="F871" s="2">
        <v>797.28</v>
      </c>
    </row>
    <row r="872" spans="3:6" x14ac:dyDescent="0.25">
      <c r="C872" s="2" t="s">
        <v>16097</v>
      </c>
      <c r="D872" s="2" t="s">
        <v>42</v>
      </c>
      <c r="E872" s="2">
        <v>57</v>
      </c>
      <c r="F872" s="2">
        <v>1157.81</v>
      </c>
    </row>
    <row r="873" spans="3:6" x14ac:dyDescent="0.25">
      <c r="C873" s="2" t="s">
        <v>16098</v>
      </c>
      <c r="D873" s="2" t="s">
        <v>42</v>
      </c>
      <c r="E873" s="2">
        <v>66</v>
      </c>
      <c r="F873" s="2">
        <v>1257.529</v>
      </c>
    </row>
    <row r="874" spans="3:6" x14ac:dyDescent="0.25">
      <c r="C874" s="2" t="s">
        <v>16099</v>
      </c>
      <c r="D874" s="2" t="s">
        <v>42</v>
      </c>
      <c r="E874" s="2">
        <v>123</v>
      </c>
      <c r="F874" s="2">
        <v>2426.8</v>
      </c>
    </row>
    <row r="875" spans="3:6" x14ac:dyDescent="0.25">
      <c r="C875" s="2" t="s">
        <v>16100</v>
      </c>
      <c r="D875" s="2" t="s">
        <v>42</v>
      </c>
      <c r="E875" s="2">
        <v>20</v>
      </c>
      <c r="F875" s="2">
        <v>94.01</v>
      </c>
    </row>
    <row r="876" spans="3:6" x14ac:dyDescent="0.25">
      <c r="C876" s="2" t="s">
        <v>16101</v>
      </c>
      <c r="D876" s="2" t="s">
        <v>42</v>
      </c>
      <c r="E876" s="2">
        <v>123</v>
      </c>
      <c r="F876" s="2">
        <v>2455.43</v>
      </c>
    </row>
    <row r="877" spans="3:6" x14ac:dyDescent="0.25">
      <c r="C877" s="2" t="s">
        <v>16102</v>
      </c>
      <c r="D877" s="2" t="s">
        <v>42</v>
      </c>
      <c r="E877" s="2">
        <v>22</v>
      </c>
      <c r="F877" s="2">
        <v>446.236</v>
      </c>
    </row>
    <row r="878" spans="3:6" x14ac:dyDescent="0.25">
      <c r="C878" s="2" t="s">
        <v>16103</v>
      </c>
      <c r="D878" s="2" t="s">
        <v>42</v>
      </c>
      <c r="E878" s="2">
        <v>11</v>
      </c>
      <c r="F878" s="2">
        <v>194.98</v>
      </c>
    </row>
    <row r="879" spans="3:6" x14ac:dyDescent="0.25">
      <c r="C879" s="2" t="s">
        <v>16104</v>
      </c>
      <c r="D879" s="2" t="s">
        <v>42</v>
      </c>
      <c r="E879" s="2">
        <v>108</v>
      </c>
      <c r="F879" s="2">
        <v>2316.9</v>
      </c>
    </row>
    <row r="880" spans="3:6" x14ac:dyDescent="0.25">
      <c r="C880" s="2" t="s">
        <v>16105</v>
      </c>
      <c r="D880" s="2" t="s">
        <v>42</v>
      </c>
      <c r="E880" s="2">
        <v>44</v>
      </c>
      <c r="F880" s="2">
        <v>901.54</v>
      </c>
    </row>
    <row r="881" spans="3:6" x14ac:dyDescent="0.25">
      <c r="C881" s="2" t="s">
        <v>16106</v>
      </c>
      <c r="D881" s="2" t="s">
        <v>42</v>
      </c>
      <c r="E881" s="2">
        <v>47</v>
      </c>
      <c r="F881" s="2">
        <v>957.39</v>
      </c>
    </row>
    <row r="882" spans="3:6" x14ac:dyDescent="0.25">
      <c r="C882" s="2" t="s">
        <v>16107</v>
      </c>
      <c r="D882" s="2" t="s">
        <v>42</v>
      </c>
      <c r="E882" s="2">
        <v>50</v>
      </c>
      <c r="F882" s="2">
        <v>1000.6</v>
      </c>
    </row>
    <row r="883" spans="3:6" x14ac:dyDescent="0.25">
      <c r="C883" s="2" t="s">
        <v>16108</v>
      </c>
      <c r="D883" s="2" t="s">
        <v>42</v>
      </c>
      <c r="E883" s="2">
        <v>30</v>
      </c>
      <c r="F883" s="2">
        <v>158.95</v>
      </c>
    </row>
    <row r="884" spans="3:6" x14ac:dyDescent="0.25">
      <c r="C884" s="2" t="s">
        <v>16109</v>
      </c>
      <c r="D884" s="2" t="s">
        <v>42</v>
      </c>
      <c r="E884" s="2">
        <v>141</v>
      </c>
      <c r="F884" s="2">
        <v>2048.049</v>
      </c>
    </row>
    <row r="885" spans="3:6" x14ac:dyDescent="0.25">
      <c r="C885" s="2" t="s">
        <v>16110</v>
      </c>
      <c r="D885" s="2" t="s">
        <v>42</v>
      </c>
      <c r="E885" s="2">
        <v>100</v>
      </c>
      <c r="F885" s="2">
        <v>1962.8</v>
      </c>
    </row>
    <row r="886" spans="3:6" x14ac:dyDescent="0.25">
      <c r="C886" s="2" t="s">
        <v>16111</v>
      </c>
      <c r="D886" s="2" t="s">
        <v>42</v>
      </c>
      <c r="E886" s="2">
        <v>41</v>
      </c>
      <c r="F886" s="2">
        <v>848.099</v>
      </c>
    </row>
    <row r="887" spans="3:6" x14ac:dyDescent="0.25">
      <c r="C887" s="2" t="s">
        <v>16112</v>
      </c>
      <c r="D887" s="2" t="s">
        <v>42</v>
      </c>
      <c r="E887" s="2">
        <v>40</v>
      </c>
      <c r="F887" s="2">
        <v>800.42</v>
      </c>
    </row>
    <row r="888" spans="3:6" x14ac:dyDescent="0.25">
      <c r="C888" s="2" t="s">
        <v>16113</v>
      </c>
      <c r="D888" s="2" t="s">
        <v>42</v>
      </c>
      <c r="E888" s="2">
        <v>11</v>
      </c>
      <c r="F888" s="2">
        <v>182.13</v>
      </c>
    </row>
    <row r="889" spans="3:6" x14ac:dyDescent="0.25">
      <c r="C889" s="2" t="s">
        <v>16114</v>
      </c>
      <c r="D889" s="2" t="s">
        <v>42</v>
      </c>
      <c r="E889" s="2">
        <v>90</v>
      </c>
      <c r="F889" s="2">
        <v>1987.66</v>
      </c>
    </row>
    <row r="890" spans="3:6" x14ac:dyDescent="0.25">
      <c r="C890" s="2" t="s">
        <v>16115</v>
      </c>
      <c r="D890" s="2" t="s">
        <v>42</v>
      </c>
      <c r="E890" s="2">
        <v>42</v>
      </c>
      <c r="F890" s="2">
        <v>887.25</v>
      </c>
    </row>
    <row r="891" spans="3:6" x14ac:dyDescent="0.25">
      <c r="C891" s="2" t="s">
        <v>16116</v>
      </c>
      <c r="D891" s="2" t="s">
        <v>42</v>
      </c>
      <c r="E891" s="2">
        <v>74</v>
      </c>
      <c r="F891" s="2">
        <v>1606.49</v>
      </c>
    </row>
    <row r="892" spans="3:6" x14ac:dyDescent="0.25">
      <c r="C892" s="2" t="s">
        <v>16117</v>
      </c>
      <c r="D892" s="2" t="s">
        <v>42</v>
      </c>
      <c r="E892" s="2">
        <v>100</v>
      </c>
      <c r="F892" s="2">
        <v>2026.03</v>
      </c>
    </row>
    <row r="893" spans="3:6" x14ac:dyDescent="0.25">
      <c r="C893" s="2" t="s">
        <v>16118</v>
      </c>
      <c r="D893" s="2" t="s">
        <v>42</v>
      </c>
      <c r="E893" s="2">
        <v>21</v>
      </c>
      <c r="F893" s="2">
        <v>467.719</v>
      </c>
    </row>
    <row r="894" spans="3:6" x14ac:dyDescent="0.25">
      <c r="C894" s="2" t="s">
        <v>16119</v>
      </c>
      <c r="D894" s="2" t="s">
        <v>42</v>
      </c>
      <c r="E894" s="2">
        <v>20</v>
      </c>
      <c r="F894" s="2">
        <v>332.77</v>
      </c>
    </row>
    <row r="895" spans="3:6" x14ac:dyDescent="0.25">
      <c r="C895" s="2" t="s">
        <v>16120</v>
      </c>
      <c r="D895" s="2" t="s">
        <v>42</v>
      </c>
      <c r="E895" s="2">
        <v>141</v>
      </c>
      <c r="F895" s="2">
        <v>1831.538</v>
      </c>
    </row>
    <row r="896" spans="3:6" x14ac:dyDescent="0.25">
      <c r="C896" s="2" t="s">
        <v>16121</v>
      </c>
      <c r="D896" s="2" t="s">
        <v>42</v>
      </c>
      <c r="E896" s="2">
        <v>141</v>
      </c>
      <c r="F896" s="2">
        <v>2811.81</v>
      </c>
    </row>
    <row r="897" spans="3:6" x14ac:dyDescent="0.25">
      <c r="C897" s="2" t="s">
        <v>16122</v>
      </c>
      <c r="D897" s="2" t="s">
        <v>42</v>
      </c>
      <c r="E897" s="2">
        <v>75</v>
      </c>
      <c r="F897" s="2">
        <v>377.95</v>
      </c>
    </row>
    <row r="898" spans="3:6" x14ac:dyDescent="0.25">
      <c r="C898" s="2" t="s">
        <v>16123</v>
      </c>
      <c r="D898" s="2" t="s">
        <v>42</v>
      </c>
      <c r="E898" s="2">
        <v>108</v>
      </c>
      <c r="F898" s="2">
        <v>2133.21</v>
      </c>
    </row>
    <row r="899" spans="3:6" x14ac:dyDescent="0.25">
      <c r="C899" s="2" t="s">
        <v>16124</v>
      </c>
      <c r="D899" s="2" t="s">
        <v>42</v>
      </c>
      <c r="E899" s="2">
        <v>33</v>
      </c>
      <c r="F899" s="2">
        <v>649.95</v>
      </c>
    </row>
    <row r="900" spans="3:6" x14ac:dyDescent="0.25">
      <c r="C900" s="2" t="s">
        <v>16125</v>
      </c>
      <c r="D900" s="2" t="s">
        <v>42</v>
      </c>
      <c r="E900" s="2">
        <v>141</v>
      </c>
      <c r="F900" s="2">
        <v>3116.95</v>
      </c>
    </row>
    <row r="901" spans="3:6" x14ac:dyDescent="0.25">
      <c r="C901" s="2" t="s">
        <v>16126</v>
      </c>
      <c r="D901" s="2" t="s">
        <v>42</v>
      </c>
      <c r="E901" s="2">
        <v>141</v>
      </c>
      <c r="F901" s="2">
        <v>2883.56</v>
      </c>
    </row>
    <row r="902" spans="3:6" x14ac:dyDescent="0.25">
      <c r="C902" s="2" t="s">
        <v>16127</v>
      </c>
      <c r="D902" s="2" t="s">
        <v>42</v>
      </c>
      <c r="E902" s="2">
        <v>141</v>
      </c>
      <c r="F902" s="2">
        <v>2888.61</v>
      </c>
    </row>
    <row r="903" spans="3:6" x14ac:dyDescent="0.25">
      <c r="C903" s="2" t="s">
        <v>16128</v>
      </c>
      <c r="D903" s="2" t="s">
        <v>42</v>
      </c>
      <c r="E903" s="2">
        <v>130</v>
      </c>
      <c r="F903" s="2">
        <v>2151.43</v>
      </c>
    </row>
    <row r="904" spans="3:6" x14ac:dyDescent="0.25">
      <c r="C904" s="2" t="s">
        <v>16129</v>
      </c>
      <c r="D904" s="2" t="s">
        <v>42</v>
      </c>
      <c r="E904" s="2">
        <v>75</v>
      </c>
      <c r="F904" s="2">
        <v>379.44</v>
      </c>
    </row>
    <row r="905" spans="3:6" x14ac:dyDescent="0.25">
      <c r="C905" s="2" t="s">
        <v>16130</v>
      </c>
      <c r="D905" s="2" t="s">
        <v>42</v>
      </c>
      <c r="E905" s="2">
        <v>134</v>
      </c>
      <c r="F905" s="2">
        <v>2753.89</v>
      </c>
    </row>
    <row r="906" spans="3:6" x14ac:dyDescent="0.25">
      <c r="C906" s="2" t="s">
        <v>16131</v>
      </c>
      <c r="D906" s="2" t="s">
        <v>42</v>
      </c>
      <c r="E906" s="2">
        <v>100</v>
      </c>
      <c r="F906" s="2">
        <v>2055.859</v>
      </c>
    </row>
    <row r="907" spans="3:6" x14ac:dyDescent="0.25">
      <c r="C907" s="2" t="s">
        <v>16132</v>
      </c>
      <c r="D907" s="2" t="s">
        <v>42</v>
      </c>
      <c r="E907" s="2">
        <v>75</v>
      </c>
      <c r="F907" s="2">
        <v>1099.856</v>
      </c>
    </row>
    <row r="908" spans="3:6" x14ac:dyDescent="0.25">
      <c r="C908" s="2" t="s">
        <v>16133</v>
      </c>
      <c r="D908" s="2" t="s">
        <v>42</v>
      </c>
      <c r="E908" s="2">
        <v>42</v>
      </c>
      <c r="F908" s="2">
        <v>855.809</v>
      </c>
    </row>
    <row r="909" spans="3:6" x14ac:dyDescent="0.25">
      <c r="C909" s="2" t="s">
        <v>16134</v>
      </c>
      <c r="D909" s="2" t="s">
        <v>42</v>
      </c>
      <c r="E909" s="2">
        <v>22</v>
      </c>
      <c r="F909" s="2">
        <v>455.54</v>
      </c>
    </row>
    <row r="910" spans="3:6" x14ac:dyDescent="0.25">
      <c r="C910" s="2" t="s">
        <v>16135</v>
      </c>
      <c r="D910" s="2" t="s">
        <v>42</v>
      </c>
      <c r="E910" s="2">
        <v>36</v>
      </c>
      <c r="F910" s="2">
        <v>716.326</v>
      </c>
    </row>
    <row r="911" spans="3:6" x14ac:dyDescent="0.25">
      <c r="C911" s="2" t="s">
        <v>16136</v>
      </c>
      <c r="D911" s="2" t="s">
        <v>42</v>
      </c>
      <c r="E911" s="2">
        <v>100</v>
      </c>
      <c r="F911" s="2">
        <v>1977.339</v>
      </c>
    </row>
    <row r="912" spans="3:6" x14ac:dyDescent="0.25">
      <c r="C912" s="2" t="s">
        <v>16137</v>
      </c>
      <c r="D912" s="2" t="s">
        <v>42</v>
      </c>
      <c r="E912" s="2">
        <v>76</v>
      </c>
      <c r="F912" s="2">
        <v>1583.35</v>
      </c>
    </row>
    <row r="913" spans="3:6" x14ac:dyDescent="0.25">
      <c r="C913" s="2" t="s">
        <v>16138</v>
      </c>
      <c r="D913" s="2" t="s">
        <v>42</v>
      </c>
      <c r="E913" s="2">
        <v>24</v>
      </c>
      <c r="F913" s="2">
        <v>466.539</v>
      </c>
    </row>
    <row r="914" spans="3:6" x14ac:dyDescent="0.25">
      <c r="C914" s="2" t="s">
        <v>16139</v>
      </c>
      <c r="D914" s="2" t="s">
        <v>42</v>
      </c>
      <c r="E914" s="2">
        <v>100</v>
      </c>
      <c r="F914" s="2">
        <v>2043.72</v>
      </c>
    </row>
    <row r="915" spans="3:6" x14ac:dyDescent="0.25">
      <c r="C915" s="2" t="s">
        <v>16140</v>
      </c>
      <c r="D915" s="2" t="s">
        <v>42</v>
      </c>
      <c r="E915" s="2">
        <v>54</v>
      </c>
      <c r="F915" s="2">
        <v>1153.95</v>
      </c>
    </row>
    <row r="916" spans="3:6" x14ac:dyDescent="0.25">
      <c r="C916" s="2" t="s">
        <v>16141</v>
      </c>
      <c r="D916" s="2" t="s">
        <v>42</v>
      </c>
      <c r="E916" s="2">
        <v>31</v>
      </c>
      <c r="F916" s="2">
        <v>682.176</v>
      </c>
    </row>
    <row r="917" spans="3:6" x14ac:dyDescent="0.25">
      <c r="C917" s="2" t="s">
        <v>16142</v>
      </c>
      <c r="D917" s="2" t="s">
        <v>42</v>
      </c>
      <c r="E917" s="2">
        <v>65</v>
      </c>
      <c r="F917" s="2">
        <v>1296.82</v>
      </c>
    </row>
    <row r="918" spans="3:6" x14ac:dyDescent="0.25">
      <c r="C918" s="2" t="s">
        <v>16143</v>
      </c>
      <c r="D918" s="2" t="s">
        <v>42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8925</v>
      </c>
      <c r="C920" s="2" t="s">
        <v>16144</v>
      </c>
      <c r="D920" s="2" t="s">
        <v>122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16145</v>
      </c>
      <c r="D921" s="2" t="s">
        <v>122</v>
      </c>
      <c r="E921" s="2">
        <v>72</v>
      </c>
      <c r="F921" s="2">
        <v>2185.82</v>
      </c>
    </row>
    <row r="922" spans="3:6" x14ac:dyDescent="0.25">
      <c r="C922" s="2" t="s">
        <v>16146</v>
      </c>
      <c r="D922" s="2" t="s">
        <v>122</v>
      </c>
      <c r="E922" s="2">
        <v>72</v>
      </c>
      <c r="F922" s="2">
        <v>2619.46</v>
      </c>
    </row>
    <row r="923" spans="3:6" x14ac:dyDescent="0.25">
      <c r="C923" s="2" t="s">
        <v>16147</v>
      </c>
      <c r="D923" s="2" t="s">
        <v>122</v>
      </c>
      <c r="E923" s="2">
        <v>107</v>
      </c>
      <c r="F923" s="2">
        <v>1891.823</v>
      </c>
    </row>
    <row r="924" spans="3:6" x14ac:dyDescent="0.25">
      <c r="C924" s="2" t="s">
        <v>16148</v>
      </c>
      <c r="D924" s="2" t="s">
        <v>122</v>
      </c>
      <c r="E924" s="2">
        <v>91</v>
      </c>
      <c r="F924" s="2">
        <v>952.434</v>
      </c>
    </row>
    <row r="925" spans="3:6" x14ac:dyDescent="0.25">
      <c r="C925" s="2" t="s">
        <v>16149</v>
      </c>
      <c r="D925" s="2" t="s">
        <v>122</v>
      </c>
      <c r="E925" s="2">
        <v>77</v>
      </c>
      <c r="F925" s="2">
        <v>2306.579</v>
      </c>
    </row>
    <row r="926" spans="3:6" x14ac:dyDescent="0.25">
      <c r="C926" s="2" t="s">
        <v>16150</v>
      </c>
      <c r="D926" s="2" t="s">
        <v>122</v>
      </c>
      <c r="E926" s="2">
        <v>141</v>
      </c>
      <c r="F926" s="2">
        <v>2663.159</v>
      </c>
    </row>
    <row r="927" spans="3:6" x14ac:dyDescent="0.25">
      <c r="C927" s="2" t="s">
        <v>16151</v>
      </c>
      <c r="D927" s="2" t="s">
        <v>122</v>
      </c>
      <c r="E927" s="2">
        <v>93</v>
      </c>
      <c r="F927" s="2">
        <v>1815.349</v>
      </c>
    </row>
    <row r="928" spans="3:6" x14ac:dyDescent="0.25">
      <c r="C928" s="2" t="s">
        <v>16152</v>
      </c>
      <c r="D928" s="2" t="s">
        <v>122</v>
      </c>
      <c r="E928" s="2">
        <v>48</v>
      </c>
      <c r="F928" s="2">
        <v>853.04</v>
      </c>
    </row>
    <row r="929" spans="3:6" x14ac:dyDescent="0.25">
      <c r="C929" s="2" t="s">
        <v>16153</v>
      </c>
      <c r="D929" s="2" t="s">
        <v>122</v>
      </c>
      <c r="E929" s="2">
        <v>141</v>
      </c>
      <c r="F929" s="2">
        <v>2945.55</v>
      </c>
    </row>
    <row r="930" spans="3:6" x14ac:dyDescent="0.25">
      <c r="C930" s="2" t="s">
        <v>16154</v>
      </c>
      <c r="D930" s="2" t="s">
        <v>122</v>
      </c>
      <c r="E930" s="2">
        <v>102</v>
      </c>
      <c r="F930" s="2">
        <v>2061.07</v>
      </c>
    </row>
    <row r="931" spans="3:6" x14ac:dyDescent="0.25">
      <c r="C931" s="2" t="s">
        <v>16155</v>
      </c>
      <c r="D931" s="2" t="s">
        <v>122</v>
      </c>
      <c r="E931" s="2">
        <v>45</v>
      </c>
      <c r="F931" s="2">
        <v>893.13</v>
      </c>
    </row>
    <row r="932" spans="3:6" x14ac:dyDescent="0.25">
      <c r="C932" s="2" t="s">
        <v>16156</v>
      </c>
      <c r="D932" s="2" t="s">
        <v>122</v>
      </c>
      <c r="E932" s="2">
        <v>40</v>
      </c>
      <c r="F932" s="2">
        <v>747.87</v>
      </c>
    </row>
    <row r="933" spans="3:6" x14ac:dyDescent="0.25">
      <c r="C933" s="2" t="s">
        <v>16157</v>
      </c>
      <c r="D933" s="2" t="s">
        <v>122</v>
      </c>
      <c r="E933" s="2">
        <v>17</v>
      </c>
      <c r="F933" s="2">
        <v>341.82</v>
      </c>
    </row>
    <row r="934" spans="3:6" x14ac:dyDescent="0.25">
      <c r="C934" s="2" t="s">
        <v>16158</v>
      </c>
      <c r="D934" s="2" t="s">
        <v>122</v>
      </c>
      <c r="E934" s="2">
        <v>31</v>
      </c>
      <c r="F934" s="2">
        <v>539.389</v>
      </c>
    </row>
    <row r="935" spans="3:6" x14ac:dyDescent="0.25">
      <c r="C935" s="2" t="s">
        <v>16159</v>
      </c>
      <c r="D935" s="2" t="s">
        <v>122</v>
      </c>
      <c r="E935" s="2">
        <v>71</v>
      </c>
      <c r="F935" s="2">
        <v>1466.62</v>
      </c>
    </row>
    <row r="936" spans="3:6" x14ac:dyDescent="0.25">
      <c r="C936" s="2" t="s">
        <v>16160</v>
      </c>
      <c r="D936" s="2" t="s">
        <v>122</v>
      </c>
      <c r="E936" s="2">
        <v>116</v>
      </c>
      <c r="F936" s="2">
        <v>2280</v>
      </c>
    </row>
    <row r="937" spans="3:6" x14ac:dyDescent="0.25">
      <c r="C937" s="2" t="s">
        <v>16161</v>
      </c>
      <c r="D937" s="2" t="s">
        <v>122</v>
      </c>
      <c r="E937" s="2">
        <v>18</v>
      </c>
      <c r="F937" s="2">
        <v>366.5</v>
      </c>
    </row>
    <row r="938" spans="3:6" x14ac:dyDescent="0.25">
      <c r="C938" s="2" t="s">
        <v>16162</v>
      </c>
      <c r="D938" s="2" t="s">
        <v>122</v>
      </c>
      <c r="E938" s="2">
        <v>71</v>
      </c>
      <c r="F938" s="2">
        <v>1432.772</v>
      </c>
    </row>
    <row r="939" spans="3:6" x14ac:dyDescent="0.25">
      <c r="C939" s="2" t="s">
        <v>16163</v>
      </c>
      <c r="D939" s="2" t="s">
        <v>122</v>
      </c>
      <c r="E939" s="2">
        <v>60</v>
      </c>
      <c r="F939" s="2">
        <v>1574.491</v>
      </c>
    </row>
    <row r="940" spans="3:6" x14ac:dyDescent="0.25">
      <c r="C940" s="2" t="s">
        <v>16164</v>
      </c>
      <c r="D940" s="2" t="s">
        <v>122</v>
      </c>
      <c r="E940" s="2">
        <v>141</v>
      </c>
      <c r="F940" s="2">
        <v>2835.42</v>
      </c>
    </row>
    <row r="941" spans="3:6" x14ac:dyDescent="0.25">
      <c r="C941" s="2" t="s">
        <v>16165</v>
      </c>
      <c r="D941" s="2" t="s">
        <v>122</v>
      </c>
      <c r="E941" s="2">
        <v>75</v>
      </c>
      <c r="F941" s="2">
        <v>1494.279</v>
      </c>
    </row>
    <row r="942" spans="3:6" x14ac:dyDescent="0.25">
      <c r="C942" s="2" t="s">
        <v>16166</v>
      </c>
      <c r="D942" s="2" t="s">
        <v>122</v>
      </c>
      <c r="E942" s="2">
        <v>34</v>
      </c>
      <c r="F942" s="2">
        <v>680.82</v>
      </c>
    </row>
    <row r="943" spans="3:6" x14ac:dyDescent="0.25">
      <c r="C943" s="2" t="s">
        <v>16167</v>
      </c>
      <c r="D943" s="2" t="s">
        <v>122</v>
      </c>
      <c r="E943" s="2">
        <v>32</v>
      </c>
      <c r="F943" s="2">
        <v>636.48</v>
      </c>
    </row>
    <row r="944" spans="3:6" x14ac:dyDescent="0.25">
      <c r="C944" s="2" t="s">
        <v>16168</v>
      </c>
      <c r="D944" s="2" t="s">
        <v>122</v>
      </c>
      <c r="E944" s="2">
        <v>42</v>
      </c>
      <c r="F944" s="2">
        <v>827.35</v>
      </c>
    </row>
    <row r="945" spans="3:6" x14ac:dyDescent="0.25">
      <c r="C945" s="2" t="s">
        <v>16169</v>
      </c>
      <c r="D945" s="2" t="s">
        <v>122</v>
      </c>
      <c r="E945" s="2">
        <v>56</v>
      </c>
      <c r="F945" s="2">
        <v>1099.149</v>
      </c>
    </row>
    <row r="946" spans="3:6" x14ac:dyDescent="0.25">
      <c r="C946" s="2" t="s">
        <v>16170</v>
      </c>
      <c r="D946" s="2" t="s">
        <v>122</v>
      </c>
      <c r="E946" s="2">
        <v>43</v>
      </c>
      <c r="F946" s="2">
        <v>873.919</v>
      </c>
    </row>
    <row r="947" spans="3:6" x14ac:dyDescent="0.25">
      <c r="C947" s="2" t="s">
        <v>16171</v>
      </c>
      <c r="D947" s="2" t="s">
        <v>122</v>
      </c>
      <c r="E947" s="2">
        <v>50</v>
      </c>
      <c r="F947" s="2">
        <v>1029.309</v>
      </c>
    </row>
    <row r="948" spans="3:6" x14ac:dyDescent="0.25">
      <c r="C948" s="2" t="s">
        <v>16172</v>
      </c>
      <c r="D948" s="2" t="s">
        <v>122</v>
      </c>
      <c r="E948" s="2">
        <v>50</v>
      </c>
      <c r="F948" s="2">
        <v>971.628</v>
      </c>
    </row>
    <row r="949" spans="3:6" x14ac:dyDescent="0.25">
      <c r="C949" s="2" t="s">
        <v>16173</v>
      </c>
      <c r="D949" s="2" t="s">
        <v>122</v>
      </c>
      <c r="E949" s="2">
        <v>22</v>
      </c>
      <c r="F949" s="2">
        <v>441.01</v>
      </c>
    </row>
    <row r="950" spans="3:6" x14ac:dyDescent="0.25">
      <c r="C950" s="2" t="s">
        <v>16174</v>
      </c>
      <c r="D950" s="2" t="s">
        <v>122</v>
      </c>
      <c r="E950" s="2">
        <v>19</v>
      </c>
      <c r="F950" s="2">
        <v>383.26</v>
      </c>
    </row>
    <row r="951" spans="3:6" x14ac:dyDescent="0.25">
      <c r="C951" s="2" t="s">
        <v>16175</v>
      </c>
      <c r="D951" s="2" t="s">
        <v>122</v>
      </c>
      <c r="E951" s="2">
        <v>70</v>
      </c>
      <c r="F951" s="2">
        <v>1448.39</v>
      </c>
    </row>
    <row r="952" spans="3:6" x14ac:dyDescent="0.25">
      <c r="C952" s="2" t="s">
        <v>16176</v>
      </c>
      <c r="D952" s="2" t="s">
        <v>122</v>
      </c>
      <c r="E952" s="2">
        <v>33</v>
      </c>
      <c r="F952" s="2">
        <v>663.14</v>
      </c>
    </row>
    <row r="953" spans="3:6" x14ac:dyDescent="0.25">
      <c r="C953" s="2" t="s">
        <v>16177</v>
      </c>
      <c r="D953" s="2" t="s">
        <v>122</v>
      </c>
      <c r="E953" s="2">
        <v>135</v>
      </c>
      <c r="F953" s="2">
        <v>585.018</v>
      </c>
    </row>
    <row r="954" spans="3:6" x14ac:dyDescent="0.25">
      <c r="C954" s="2" t="s">
        <v>16178</v>
      </c>
      <c r="D954" s="2" t="s">
        <v>122</v>
      </c>
      <c r="E954" s="2">
        <v>14</v>
      </c>
      <c r="F954" s="2">
        <v>285.26</v>
      </c>
    </row>
    <row r="955" spans="3:6" x14ac:dyDescent="0.25">
      <c r="C955" s="2" t="s">
        <v>16179</v>
      </c>
      <c r="D955" s="2" t="s">
        <v>122</v>
      </c>
      <c r="E955" s="2">
        <v>35</v>
      </c>
      <c r="F955" s="2">
        <v>720.41</v>
      </c>
    </row>
    <row r="956" spans="3:6" x14ac:dyDescent="0.25">
      <c r="C956" s="2" t="s">
        <v>16180</v>
      </c>
      <c r="D956" s="2" t="s">
        <v>122</v>
      </c>
      <c r="E956" s="2">
        <v>36</v>
      </c>
      <c r="F956" s="2">
        <v>754.7</v>
      </c>
    </row>
    <row r="957" spans="3:6" x14ac:dyDescent="0.25">
      <c r="C957" s="2" t="s">
        <v>16181</v>
      </c>
      <c r="D957" s="2" t="s">
        <v>122</v>
      </c>
      <c r="E957" s="2">
        <v>26</v>
      </c>
      <c r="F957" s="2">
        <v>303.334</v>
      </c>
    </row>
    <row r="958" spans="3:6" x14ac:dyDescent="0.25">
      <c r="C958" s="2" t="s">
        <v>16182</v>
      </c>
      <c r="D958" s="2" t="s">
        <v>122</v>
      </c>
      <c r="E958" s="2">
        <v>10</v>
      </c>
      <c r="F958" s="2">
        <v>271.51</v>
      </c>
    </row>
    <row r="959" spans="3:6" x14ac:dyDescent="0.25">
      <c r="C959" s="2" t="s">
        <v>16183</v>
      </c>
      <c r="D959" s="2" t="s">
        <v>122</v>
      </c>
      <c r="E959" s="2">
        <v>120</v>
      </c>
      <c r="F959" s="2">
        <v>2322.539</v>
      </c>
    </row>
    <row r="960" spans="3:6" x14ac:dyDescent="0.25">
      <c r="C960" s="2" t="s">
        <v>16184</v>
      </c>
      <c r="D960" s="2" t="s">
        <v>122</v>
      </c>
      <c r="E960" s="2">
        <v>21</v>
      </c>
      <c r="F960" s="2">
        <v>420.71</v>
      </c>
    </row>
    <row r="961" spans="3:6" x14ac:dyDescent="0.25">
      <c r="C961" s="2" t="s">
        <v>16185</v>
      </c>
      <c r="D961" s="2" t="s">
        <v>122</v>
      </c>
      <c r="E961" s="2">
        <v>56</v>
      </c>
      <c r="F961" s="2">
        <v>1124.289</v>
      </c>
    </row>
    <row r="962" spans="3:6" x14ac:dyDescent="0.25">
      <c r="C962" s="2" t="s">
        <v>16186</v>
      </c>
      <c r="D962" s="2" t="s">
        <v>122</v>
      </c>
      <c r="E962" s="2">
        <v>47</v>
      </c>
      <c r="F962" s="2">
        <v>945.92</v>
      </c>
    </row>
    <row r="963" spans="3:6" x14ac:dyDescent="0.25">
      <c r="C963" s="2" t="s">
        <v>16187</v>
      </c>
      <c r="D963" s="2" t="s">
        <v>122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90</v>
      </c>
      <c r="C965" s="2" t="s">
        <v>16188</v>
      </c>
      <c r="D965" s="2" t="s">
        <v>9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16189</v>
      </c>
      <c r="D966" s="2" t="s">
        <v>9</v>
      </c>
      <c r="E966" s="2">
        <v>134</v>
      </c>
      <c r="F966" s="2">
        <v>2773.79</v>
      </c>
    </row>
    <row r="967" spans="3:6" x14ac:dyDescent="0.25">
      <c r="C967" s="2" t="s">
        <v>16190</v>
      </c>
      <c r="D967" s="2" t="s">
        <v>9</v>
      </c>
      <c r="E967" s="2">
        <v>75</v>
      </c>
      <c r="F967" s="2">
        <v>1321.95</v>
      </c>
    </row>
    <row r="968" spans="3:6" x14ac:dyDescent="0.25">
      <c r="C968" s="2" t="s">
        <v>16191</v>
      </c>
      <c r="D968" s="2" t="s">
        <v>9</v>
      </c>
      <c r="E968" s="2">
        <v>30</v>
      </c>
      <c r="F968" s="2">
        <v>126.6</v>
      </c>
    </row>
    <row r="969" spans="3:6" x14ac:dyDescent="0.25">
      <c r="C969" s="2" t="s">
        <v>16192</v>
      </c>
      <c r="D969" s="2" t="s">
        <v>9</v>
      </c>
      <c r="E969" s="2">
        <v>130</v>
      </c>
      <c r="F969" s="2">
        <v>2498.96</v>
      </c>
    </row>
    <row r="970" spans="3:6" x14ac:dyDescent="0.25">
      <c r="C970" s="2" t="s">
        <v>16193</v>
      </c>
      <c r="D970" s="2" t="s">
        <v>9</v>
      </c>
      <c r="E970" s="2">
        <v>152</v>
      </c>
      <c r="F970" s="2">
        <v>2882.759</v>
      </c>
    </row>
    <row r="971" spans="3:6" x14ac:dyDescent="0.25">
      <c r="C971" s="2" t="s">
        <v>16194</v>
      </c>
      <c r="D971" s="2" t="s">
        <v>9</v>
      </c>
      <c r="E971" s="2">
        <v>15</v>
      </c>
      <c r="F971" s="2">
        <v>63.88</v>
      </c>
    </row>
    <row r="972" spans="3:6" x14ac:dyDescent="0.25">
      <c r="C972" s="2" t="s">
        <v>16195</v>
      </c>
      <c r="D972" s="2" t="s">
        <v>9</v>
      </c>
      <c r="E972" s="2">
        <v>141</v>
      </c>
      <c r="F972" s="2">
        <v>2839.49</v>
      </c>
    </row>
    <row r="973" spans="3:6" x14ac:dyDescent="0.25">
      <c r="C973" s="2" t="s">
        <v>16196</v>
      </c>
      <c r="D973" s="2" t="s">
        <v>9</v>
      </c>
      <c r="E973" s="2">
        <v>123</v>
      </c>
      <c r="F973" s="2">
        <v>2436.79</v>
      </c>
    </row>
    <row r="974" spans="3:6" x14ac:dyDescent="0.25">
      <c r="C974" s="2" t="s">
        <v>16197</v>
      </c>
      <c r="D974" s="2" t="s">
        <v>9</v>
      </c>
      <c r="E974" s="2">
        <v>264</v>
      </c>
      <c r="F974" s="2">
        <v>5259.507</v>
      </c>
    </row>
    <row r="975" spans="3:6" x14ac:dyDescent="0.25">
      <c r="C975" s="2" t="s">
        <v>16198</v>
      </c>
      <c r="D975" s="2" t="s">
        <v>9</v>
      </c>
      <c r="E975" s="2">
        <v>282</v>
      </c>
      <c r="F975" s="2">
        <v>5701.94</v>
      </c>
    </row>
    <row r="976" spans="3:6" x14ac:dyDescent="0.25">
      <c r="C976" s="2" t="s">
        <v>16199</v>
      </c>
      <c r="D976" s="2" t="s">
        <v>9</v>
      </c>
      <c r="E976" s="2">
        <v>123</v>
      </c>
      <c r="F976" s="2">
        <v>2377.46</v>
      </c>
    </row>
    <row r="977" spans="3:6" x14ac:dyDescent="0.25">
      <c r="C977" s="2" t="s">
        <v>16200</v>
      </c>
      <c r="D977" s="2" t="s">
        <v>9</v>
      </c>
      <c r="E977" s="2">
        <v>123</v>
      </c>
      <c r="F977" s="2">
        <v>2368.348</v>
      </c>
    </row>
    <row r="978" spans="3:6" x14ac:dyDescent="0.25">
      <c r="C978" s="2" t="s">
        <v>16201</v>
      </c>
      <c r="D978" s="2" t="s">
        <v>9</v>
      </c>
      <c r="E978" s="2">
        <v>35</v>
      </c>
      <c r="F978" s="2">
        <v>149.54</v>
      </c>
    </row>
    <row r="979" spans="3:6" x14ac:dyDescent="0.25">
      <c r="C979" s="2" t="s">
        <v>16202</v>
      </c>
      <c r="D979" s="2" t="s">
        <v>9</v>
      </c>
      <c r="E979" s="2">
        <v>62</v>
      </c>
      <c r="F979" s="2">
        <v>1139.249</v>
      </c>
    </row>
    <row r="980" spans="3:6" x14ac:dyDescent="0.25">
      <c r="C980" s="2" t="s">
        <v>16203</v>
      </c>
      <c r="D980" s="2" t="s">
        <v>9</v>
      </c>
      <c r="E980" s="2">
        <v>79</v>
      </c>
      <c r="F980" s="2">
        <v>1601.3</v>
      </c>
    </row>
    <row r="981" spans="3:6" x14ac:dyDescent="0.25">
      <c r="C981" s="2" t="s">
        <v>16204</v>
      </c>
      <c r="D981" s="2" t="s">
        <v>9</v>
      </c>
      <c r="E981" s="2">
        <v>71</v>
      </c>
      <c r="F981" s="2">
        <v>1278.79</v>
      </c>
    </row>
    <row r="982" spans="3:6" x14ac:dyDescent="0.25">
      <c r="C982" s="2" t="s">
        <v>16205</v>
      </c>
      <c r="D982" s="2" t="s">
        <v>9</v>
      </c>
      <c r="E982" s="2">
        <v>72</v>
      </c>
      <c r="F982" s="2">
        <v>1355.26</v>
      </c>
    </row>
    <row r="983" spans="3:6" x14ac:dyDescent="0.25">
      <c r="C983" s="2" t="s">
        <v>16206</v>
      </c>
      <c r="D983" s="2" t="s">
        <v>9</v>
      </c>
      <c r="E983" s="2">
        <v>141</v>
      </c>
      <c r="F983" s="2">
        <v>2818.15</v>
      </c>
    </row>
    <row r="984" spans="3:6" x14ac:dyDescent="0.25">
      <c r="C984" s="2" t="s">
        <v>16207</v>
      </c>
      <c r="D984" s="2" t="s">
        <v>9</v>
      </c>
      <c r="E984" s="2">
        <v>243</v>
      </c>
      <c r="F984" s="2">
        <v>4595.54</v>
      </c>
    </row>
    <row r="985" spans="3:6" x14ac:dyDescent="0.25">
      <c r="C985" s="2" t="s">
        <v>16208</v>
      </c>
      <c r="D985" s="2" t="s">
        <v>9</v>
      </c>
      <c r="E985" s="2">
        <v>141</v>
      </c>
      <c r="F985" s="2">
        <v>2923.85</v>
      </c>
    </row>
    <row r="986" spans="3:6" x14ac:dyDescent="0.25">
      <c r="C986" s="2" t="s">
        <v>16209</v>
      </c>
      <c r="D986" s="2" t="s">
        <v>9</v>
      </c>
      <c r="E986" s="2">
        <v>102</v>
      </c>
      <c r="F986" s="2">
        <v>2105.97</v>
      </c>
    </row>
    <row r="987" spans="3:6" x14ac:dyDescent="0.25">
      <c r="C987" s="2" t="s">
        <v>16210</v>
      </c>
      <c r="D987" s="2" t="s">
        <v>9</v>
      </c>
      <c r="E987" s="2">
        <v>306</v>
      </c>
      <c r="F987" s="2">
        <v>6242.05</v>
      </c>
    </row>
    <row r="988" spans="3:6" x14ac:dyDescent="0.25">
      <c r="C988" s="2" t="s">
        <v>16211</v>
      </c>
      <c r="D988" s="2" t="s">
        <v>9</v>
      </c>
      <c r="E988" s="2">
        <v>141</v>
      </c>
      <c r="F988" s="2">
        <v>2801.1</v>
      </c>
    </row>
    <row r="989" spans="3:6" x14ac:dyDescent="0.25">
      <c r="C989" s="2" t="s">
        <v>16212</v>
      </c>
      <c r="D989" s="2" t="s">
        <v>9</v>
      </c>
      <c r="E989" s="2">
        <v>34</v>
      </c>
      <c r="F989" s="2">
        <v>691.32</v>
      </c>
    </row>
    <row r="990" spans="3:6" x14ac:dyDescent="0.25">
      <c r="C990" s="2" t="s">
        <v>16213</v>
      </c>
      <c r="D990" s="2" t="s">
        <v>9</v>
      </c>
      <c r="E990" s="2">
        <v>107</v>
      </c>
      <c r="F990" s="2">
        <v>2148.4</v>
      </c>
    </row>
    <row r="991" spans="3:6" x14ac:dyDescent="0.25">
      <c r="C991" s="2" t="s">
        <v>16214</v>
      </c>
      <c r="D991" s="2" t="s">
        <v>9</v>
      </c>
      <c r="E991" s="2">
        <v>141</v>
      </c>
      <c r="F991" s="2">
        <v>2889.57</v>
      </c>
    </row>
    <row r="992" spans="3:6" x14ac:dyDescent="0.25">
      <c r="C992" s="2" t="s">
        <v>16215</v>
      </c>
      <c r="D992" s="2" t="s">
        <v>9</v>
      </c>
      <c r="E992" s="2">
        <v>74</v>
      </c>
      <c r="F992" s="2">
        <v>1530.99</v>
      </c>
    </row>
    <row r="993" spans="3:6" x14ac:dyDescent="0.25">
      <c r="C993" s="2" t="s">
        <v>16216</v>
      </c>
      <c r="D993" s="2" t="s">
        <v>9</v>
      </c>
      <c r="E993" s="2">
        <v>28</v>
      </c>
      <c r="F993" s="2">
        <v>585.93</v>
      </c>
    </row>
    <row r="994" spans="3:6" x14ac:dyDescent="0.25">
      <c r="C994" s="2" t="s">
        <v>16217</v>
      </c>
      <c r="D994" s="2" t="s">
        <v>9</v>
      </c>
      <c r="E994" s="2">
        <v>140</v>
      </c>
      <c r="F994" s="2">
        <v>2632.37</v>
      </c>
    </row>
    <row r="995" spans="3:6" x14ac:dyDescent="0.25">
      <c r="C995" s="2" t="s">
        <v>16218</v>
      </c>
      <c r="D995" s="2" t="s">
        <v>9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10</v>
      </c>
      <c r="C997" s="2" t="s">
        <v>16219</v>
      </c>
      <c r="D997" s="2" t="s">
        <v>12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16220</v>
      </c>
      <c r="D998" s="2" t="s">
        <v>12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2738</v>
      </c>
      <c r="C1000" s="2" t="s">
        <v>16221</v>
      </c>
      <c r="D1000" s="2" t="s">
        <v>20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16222</v>
      </c>
      <c r="D1001" s="2" t="s">
        <v>20</v>
      </c>
      <c r="E1001" s="2">
        <v>142</v>
      </c>
      <c r="F1001" s="2">
        <v>2759.86</v>
      </c>
    </row>
    <row r="1002" spans="3:6" x14ac:dyDescent="0.25">
      <c r="C1002" s="2" t="s">
        <v>16223</v>
      </c>
      <c r="D1002" s="2" t="s">
        <v>20</v>
      </c>
      <c r="E1002" s="2">
        <v>102</v>
      </c>
      <c r="F1002" s="2">
        <v>1932.27</v>
      </c>
    </row>
    <row r="1003" spans="3:6" x14ac:dyDescent="0.25">
      <c r="C1003" s="2" t="s">
        <v>16224</v>
      </c>
      <c r="D1003" s="2" t="s">
        <v>20</v>
      </c>
      <c r="E1003" s="2">
        <v>142</v>
      </c>
      <c r="F1003" s="2">
        <v>2833.51</v>
      </c>
    </row>
    <row r="1004" spans="3:6" x14ac:dyDescent="0.25">
      <c r="C1004" s="2" t="s">
        <v>16225</v>
      </c>
      <c r="D1004" s="2" t="s">
        <v>20</v>
      </c>
      <c r="E1004" s="2">
        <v>102</v>
      </c>
      <c r="F1004" s="2">
        <v>1909.13</v>
      </c>
    </row>
    <row r="1005" spans="3:6" x14ac:dyDescent="0.25">
      <c r="C1005" s="2" t="s">
        <v>16226</v>
      </c>
      <c r="D1005" s="2" t="s">
        <v>20</v>
      </c>
      <c r="E1005" s="2">
        <v>142</v>
      </c>
      <c r="F1005" s="2">
        <v>2592.55</v>
      </c>
    </row>
    <row r="1006" spans="3:6" x14ac:dyDescent="0.25">
      <c r="C1006" s="2" t="s">
        <v>16227</v>
      </c>
      <c r="D1006" s="2" t="s">
        <v>20</v>
      </c>
      <c r="E1006" s="2">
        <v>142</v>
      </c>
      <c r="F1006" s="2">
        <v>2723.93</v>
      </c>
    </row>
    <row r="1007" spans="3:6" x14ac:dyDescent="0.25">
      <c r="C1007" s="2" t="s">
        <v>16228</v>
      </c>
      <c r="D1007" s="2" t="s">
        <v>20</v>
      </c>
      <c r="E1007" s="2">
        <v>142</v>
      </c>
      <c r="F1007" s="2">
        <v>2776.03</v>
      </c>
    </row>
    <row r="1008" spans="3:6" x14ac:dyDescent="0.25">
      <c r="C1008" s="2" t="s">
        <v>16229</v>
      </c>
      <c r="D1008" s="2" t="s">
        <v>20</v>
      </c>
      <c r="E1008" s="2">
        <v>142</v>
      </c>
      <c r="F1008" s="2">
        <v>2652.96</v>
      </c>
    </row>
    <row r="1009" spans="3:6" x14ac:dyDescent="0.25">
      <c r="C1009" s="2" t="s">
        <v>16230</v>
      </c>
      <c r="D1009" s="2" t="s">
        <v>20</v>
      </c>
      <c r="E1009" s="2">
        <v>102</v>
      </c>
      <c r="F1009" s="2">
        <v>1930.81</v>
      </c>
    </row>
    <row r="1010" spans="3:6" x14ac:dyDescent="0.25">
      <c r="C1010" s="2" t="s">
        <v>16231</v>
      </c>
      <c r="D1010" s="2" t="s">
        <v>20</v>
      </c>
      <c r="E1010" s="2">
        <v>142</v>
      </c>
      <c r="F1010" s="2">
        <v>2740.187</v>
      </c>
    </row>
    <row r="1011" spans="3:6" x14ac:dyDescent="0.25">
      <c r="C1011" s="2" t="s">
        <v>16232</v>
      </c>
      <c r="D1011" s="2" t="s">
        <v>20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324</v>
      </c>
      <c r="C1013" s="2" t="s">
        <v>16082</v>
      </c>
      <c r="D1013" s="2" t="s">
        <v>27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16083</v>
      </c>
      <c r="D1014" s="2" t="s">
        <v>27</v>
      </c>
      <c r="E1014" s="2">
        <v>82</v>
      </c>
      <c r="F1014" s="2">
        <v>1596.05</v>
      </c>
    </row>
    <row r="1015" spans="3:6" x14ac:dyDescent="0.25">
      <c r="C1015" s="2" t="s">
        <v>16084</v>
      </c>
      <c r="D1015" s="2" t="s">
        <v>27</v>
      </c>
      <c r="E1015" s="2">
        <v>37</v>
      </c>
      <c r="F1015" s="2">
        <v>680</v>
      </c>
    </row>
    <row r="1016" spans="3:6" x14ac:dyDescent="0.25">
      <c r="C1016" s="2" t="s">
        <v>16085</v>
      </c>
      <c r="D1016" s="2" t="s">
        <v>27</v>
      </c>
      <c r="E1016" s="2">
        <v>58</v>
      </c>
      <c r="F1016" s="2">
        <v>1157.019</v>
      </c>
    </row>
    <row r="1017" spans="3:6" x14ac:dyDescent="0.25">
      <c r="C1017" s="2" t="s">
        <v>16086</v>
      </c>
      <c r="D1017" s="2" t="s">
        <v>27</v>
      </c>
      <c r="E1017" s="2">
        <v>12</v>
      </c>
      <c r="F1017" s="2">
        <v>205.87</v>
      </c>
    </row>
    <row r="1018" spans="3:6" x14ac:dyDescent="0.25">
      <c r="C1018" s="2" t="s">
        <v>16087</v>
      </c>
      <c r="D1018" s="2" t="s">
        <v>27</v>
      </c>
      <c r="E1018" s="2">
        <v>8</v>
      </c>
      <c r="F1018" s="2">
        <v>153.09</v>
      </c>
    </row>
    <row r="1019" spans="3:6" x14ac:dyDescent="0.25">
      <c r="C1019" s="2" t="s">
        <v>16088</v>
      </c>
      <c r="D1019" s="2" t="s">
        <v>27</v>
      </c>
      <c r="E1019" s="2">
        <v>63</v>
      </c>
      <c r="F1019" s="2">
        <v>1264.53</v>
      </c>
    </row>
    <row r="1020" spans="3:6" x14ac:dyDescent="0.25">
      <c r="C1020" s="2" t="s">
        <v>16233</v>
      </c>
      <c r="D1020" s="2" t="s">
        <v>27</v>
      </c>
      <c r="E1020" s="2">
        <v>16</v>
      </c>
      <c r="F1020" s="2">
        <v>303.55</v>
      </c>
    </row>
    <row r="1021" spans="3:6" x14ac:dyDescent="0.25">
      <c r="C1021" s="2" t="s">
        <v>16234</v>
      </c>
      <c r="D1021" s="2" t="s">
        <v>27</v>
      </c>
      <c r="E1021" s="2">
        <v>16</v>
      </c>
      <c r="F1021" s="2">
        <v>291.69</v>
      </c>
    </row>
    <row r="1022" spans="3:6" x14ac:dyDescent="0.25">
      <c r="C1022" s="2" t="s">
        <v>16235</v>
      </c>
      <c r="D1022" s="2" t="s">
        <v>27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120</v>
      </c>
      <c r="C1024" s="2" t="s">
        <v>16236</v>
      </c>
      <c r="D1024" s="2" t="s">
        <v>122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16237</v>
      </c>
      <c r="D1025" s="2" t="s">
        <v>122</v>
      </c>
      <c r="E1025" s="2">
        <v>54</v>
      </c>
      <c r="F1025" s="2">
        <v>1068.11</v>
      </c>
    </row>
    <row r="1026" spans="3:6" x14ac:dyDescent="0.25">
      <c r="C1026" s="2" t="s">
        <v>16238</v>
      </c>
      <c r="D1026" s="2" t="s">
        <v>122</v>
      </c>
      <c r="E1026" s="2">
        <v>63</v>
      </c>
      <c r="F1026" s="2">
        <v>1263.5</v>
      </c>
    </row>
    <row r="1027" spans="3:6" x14ac:dyDescent="0.25">
      <c r="C1027" s="2" t="s">
        <v>16239</v>
      </c>
      <c r="D1027" s="2" t="s">
        <v>122</v>
      </c>
      <c r="E1027" s="2">
        <v>122</v>
      </c>
      <c r="F1027" s="2">
        <v>2278.398</v>
      </c>
    </row>
    <row r="1028" spans="3:6" x14ac:dyDescent="0.25">
      <c r="C1028" s="2" t="s">
        <v>16240</v>
      </c>
      <c r="D1028" s="2" t="s">
        <v>122</v>
      </c>
      <c r="E1028" s="2">
        <v>123</v>
      </c>
      <c r="F1028" s="2">
        <v>2398.22</v>
      </c>
    </row>
    <row r="1029" spans="3:6" x14ac:dyDescent="0.25">
      <c r="C1029" s="2" t="s">
        <v>16241</v>
      </c>
      <c r="D1029" s="2" t="s">
        <v>122</v>
      </c>
      <c r="E1029" s="2" t="s">
        <v>8758</v>
      </c>
      <c r="F1029" s="2" t="s">
        <v>8758</v>
      </c>
    </row>
    <row r="1030" spans="3:6" x14ac:dyDescent="0.25">
      <c r="C1030" s="2" t="s">
        <v>16242</v>
      </c>
      <c r="D1030" s="2" t="s">
        <v>122</v>
      </c>
      <c r="E1030" s="2" t="s">
        <v>8758</v>
      </c>
      <c r="F1030" s="2" t="s">
        <v>8758</v>
      </c>
    </row>
    <row r="1031" spans="3:6" x14ac:dyDescent="0.25">
      <c r="C1031" s="2" t="s">
        <v>16243</v>
      </c>
      <c r="D1031" s="2" t="s">
        <v>122</v>
      </c>
      <c r="E1031" s="2">
        <v>103</v>
      </c>
      <c r="F1031" s="2">
        <v>2094.89</v>
      </c>
    </row>
    <row r="1032" spans="3:6" x14ac:dyDescent="0.25">
      <c r="C1032" s="2" t="s">
        <v>16244</v>
      </c>
      <c r="D1032" s="2" t="s">
        <v>122</v>
      </c>
      <c r="E1032" s="2">
        <v>31</v>
      </c>
      <c r="F1032" s="2">
        <v>689.53</v>
      </c>
    </row>
    <row r="1033" spans="3:6" x14ac:dyDescent="0.25">
      <c r="C1033" s="2" t="s">
        <v>16245</v>
      </c>
      <c r="D1033" s="2" t="s">
        <v>122</v>
      </c>
      <c r="E1033" s="2">
        <v>75</v>
      </c>
      <c r="F1033" s="2">
        <v>1402.579</v>
      </c>
    </row>
    <row r="1034" spans="3:6" x14ac:dyDescent="0.25">
      <c r="C1034" s="2" t="s">
        <v>16246</v>
      </c>
      <c r="D1034" s="2" t="s">
        <v>122</v>
      </c>
      <c r="E1034" s="2">
        <v>141</v>
      </c>
      <c r="F1034" s="2">
        <v>2844.349</v>
      </c>
    </row>
    <row r="1035" spans="3:6" x14ac:dyDescent="0.25">
      <c r="C1035" s="2" t="s">
        <v>16247</v>
      </c>
      <c r="D1035" s="2" t="s">
        <v>122</v>
      </c>
      <c r="E1035" s="2">
        <v>141</v>
      </c>
      <c r="F1035" s="2">
        <v>2850.64</v>
      </c>
    </row>
    <row r="1036" spans="3:6" x14ac:dyDescent="0.25">
      <c r="C1036" s="2" t="s">
        <v>16248</v>
      </c>
      <c r="D1036" s="2" t="s">
        <v>122</v>
      </c>
      <c r="E1036" s="2">
        <v>141</v>
      </c>
      <c r="F1036" s="2">
        <v>2856.61</v>
      </c>
    </row>
    <row r="1037" spans="3:6" x14ac:dyDescent="0.25">
      <c r="C1037" s="2" t="s">
        <v>16249</v>
      </c>
      <c r="D1037" s="2" t="s">
        <v>122</v>
      </c>
      <c r="E1037" s="2">
        <v>90</v>
      </c>
      <c r="F1037" s="2">
        <v>1788.529</v>
      </c>
    </row>
    <row r="1038" spans="3:6" x14ac:dyDescent="0.25">
      <c r="C1038" s="2" t="s">
        <v>16250</v>
      </c>
      <c r="D1038" s="2" t="s">
        <v>122</v>
      </c>
      <c r="E1038" s="2">
        <v>51</v>
      </c>
      <c r="F1038" s="2">
        <v>1036.85</v>
      </c>
    </row>
    <row r="1039" spans="3:6" x14ac:dyDescent="0.25">
      <c r="C1039" s="2" t="s">
        <v>16251</v>
      </c>
      <c r="D1039" s="2" t="s">
        <v>122</v>
      </c>
      <c r="E1039" s="2">
        <v>79</v>
      </c>
      <c r="F1039" s="2">
        <v>1609.39</v>
      </c>
    </row>
    <row r="1040" spans="3:6" x14ac:dyDescent="0.25">
      <c r="C1040" s="2" t="s">
        <v>16252</v>
      </c>
      <c r="D1040" s="2" t="s">
        <v>122</v>
      </c>
      <c r="E1040" s="2">
        <v>62</v>
      </c>
      <c r="F1040" s="2">
        <v>1275.42</v>
      </c>
    </row>
    <row r="1041" spans="3:6" x14ac:dyDescent="0.25">
      <c r="C1041" s="2" t="s">
        <v>16253</v>
      </c>
      <c r="D1041" s="2" t="s">
        <v>122</v>
      </c>
      <c r="E1041" s="2">
        <v>64</v>
      </c>
      <c r="F1041" s="2">
        <v>1268.06</v>
      </c>
    </row>
    <row r="1042" spans="3:6" x14ac:dyDescent="0.25">
      <c r="C1042" s="2" t="s">
        <v>16254</v>
      </c>
      <c r="D1042" s="2" t="s">
        <v>122</v>
      </c>
      <c r="E1042" s="2">
        <v>42</v>
      </c>
      <c r="F1042" s="2">
        <v>840.78</v>
      </c>
    </row>
    <row r="1043" spans="3:6" x14ac:dyDescent="0.25">
      <c r="C1043" s="2" t="s">
        <v>16255</v>
      </c>
      <c r="D1043" s="2" t="s">
        <v>122</v>
      </c>
      <c r="E1043" s="2">
        <v>36</v>
      </c>
      <c r="F1043" s="2">
        <v>707.43</v>
      </c>
    </row>
    <row r="1044" spans="3:6" x14ac:dyDescent="0.25">
      <c r="C1044" s="2" t="s">
        <v>16256</v>
      </c>
      <c r="D1044" s="2" t="s">
        <v>122</v>
      </c>
      <c r="E1044" s="2">
        <v>42</v>
      </c>
      <c r="F1044" s="2">
        <v>840.06</v>
      </c>
    </row>
    <row r="1045" spans="3:6" x14ac:dyDescent="0.25">
      <c r="C1045" s="2" t="s">
        <v>16257</v>
      </c>
      <c r="D1045" s="2" t="s">
        <v>122</v>
      </c>
      <c r="E1045" s="2">
        <v>99</v>
      </c>
      <c r="F1045" s="2">
        <v>2054.08</v>
      </c>
    </row>
    <row r="1046" spans="3:6" x14ac:dyDescent="0.25">
      <c r="C1046" s="2" t="s">
        <v>16258</v>
      </c>
      <c r="D1046" s="2" t="s">
        <v>122</v>
      </c>
      <c r="E1046" s="2">
        <v>70</v>
      </c>
      <c r="F1046" s="2">
        <v>1404.56</v>
      </c>
    </row>
    <row r="1047" spans="3:6" x14ac:dyDescent="0.25">
      <c r="C1047" s="2" t="s">
        <v>16259</v>
      </c>
      <c r="D1047" s="2" t="s">
        <v>122</v>
      </c>
      <c r="E1047" s="2">
        <v>46</v>
      </c>
      <c r="F1047" s="2">
        <v>955.08</v>
      </c>
    </row>
    <row r="1048" spans="3:6" x14ac:dyDescent="0.25">
      <c r="C1048" s="2" t="s">
        <v>16260</v>
      </c>
      <c r="D1048" s="2" t="s">
        <v>122</v>
      </c>
      <c r="E1048" s="2">
        <v>25</v>
      </c>
      <c r="F1048" s="2">
        <v>506.6</v>
      </c>
    </row>
    <row r="1049" spans="3:6" x14ac:dyDescent="0.25">
      <c r="C1049" s="2" t="s">
        <v>16261</v>
      </c>
      <c r="D1049" s="2" t="s">
        <v>122</v>
      </c>
      <c r="E1049" s="2">
        <v>99</v>
      </c>
      <c r="F1049" s="2">
        <v>1952.53</v>
      </c>
    </row>
    <row r="1050" spans="3:6" x14ac:dyDescent="0.25">
      <c r="C1050" s="2" t="s">
        <v>16262</v>
      </c>
      <c r="D1050" s="2" t="s">
        <v>122</v>
      </c>
      <c r="E1050" s="2">
        <v>42</v>
      </c>
      <c r="F1050" s="2">
        <v>834.06</v>
      </c>
    </row>
    <row r="1051" spans="3:6" x14ac:dyDescent="0.25">
      <c r="C1051" s="2" t="s">
        <v>16263</v>
      </c>
      <c r="D1051" s="2" t="s">
        <v>122</v>
      </c>
      <c r="E1051" s="2">
        <v>66</v>
      </c>
      <c r="F1051" s="2">
        <v>1264.56</v>
      </c>
    </row>
    <row r="1052" spans="3:6" x14ac:dyDescent="0.25">
      <c r="C1052" s="2" t="s">
        <v>16264</v>
      </c>
      <c r="D1052" s="2" t="s">
        <v>122</v>
      </c>
      <c r="E1052" s="2">
        <v>63</v>
      </c>
      <c r="F1052" s="2">
        <v>385.589</v>
      </c>
    </row>
    <row r="1053" spans="3:6" x14ac:dyDescent="0.25">
      <c r="C1053" s="2" t="s">
        <v>16265</v>
      </c>
      <c r="D1053" s="2" t="s">
        <v>122</v>
      </c>
      <c r="E1053" s="2">
        <v>72</v>
      </c>
      <c r="F1053" s="2">
        <v>2016.39</v>
      </c>
    </row>
    <row r="1054" spans="3:6" x14ac:dyDescent="0.25">
      <c r="C1054" s="2" t="s">
        <v>16266</v>
      </c>
      <c r="D1054" s="2" t="s">
        <v>122</v>
      </c>
      <c r="E1054" s="2">
        <v>67</v>
      </c>
      <c r="F1054" s="2">
        <v>1323.521</v>
      </c>
    </row>
    <row r="1055" spans="3:6" x14ac:dyDescent="0.25">
      <c r="C1055" s="2" t="s">
        <v>16267</v>
      </c>
      <c r="D1055" s="2" t="s">
        <v>122</v>
      </c>
      <c r="E1055" s="2">
        <v>52</v>
      </c>
      <c r="F1055" s="2">
        <v>1007.32</v>
      </c>
    </row>
    <row r="1056" spans="3:6" x14ac:dyDescent="0.25">
      <c r="C1056" s="2" t="s">
        <v>16268</v>
      </c>
      <c r="D1056" s="2" t="s">
        <v>122</v>
      </c>
      <c r="E1056" s="2">
        <v>22</v>
      </c>
      <c r="F1056" s="2">
        <v>430.7</v>
      </c>
    </row>
    <row r="1057" spans="3:6" x14ac:dyDescent="0.25">
      <c r="C1057" s="2" t="s">
        <v>16269</v>
      </c>
      <c r="D1057" s="2" t="s">
        <v>122</v>
      </c>
      <c r="E1057" s="2">
        <v>102</v>
      </c>
      <c r="F1057" s="2">
        <v>2055.45</v>
      </c>
    </row>
    <row r="1058" spans="3:6" x14ac:dyDescent="0.25">
      <c r="C1058" s="2" t="s">
        <v>16270</v>
      </c>
      <c r="D1058" s="2" t="s">
        <v>122</v>
      </c>
      <c r="E1058" s="2">
        <v>102</v>
      </c>
      <c r="F1058" s="2">
        <v>2090.36</v>
      </c>
    </row>
    <row r="1059" spans="3:6" x14ac:dyDescent="0.25">
      <c r="C1059" s="2" t="s">
        <v>16271</v>
      </c>
      <c r="D1059" s="2" t="s">
        <v>122</v>
      </c>
      <c r="E1059" s="2">
        <v>102</v>
      </c>
      <c r="F1059" s="2">
        <v>2084.11</v>
      </c>
    </row>
    <row r="1060" spans="3:6" x14ac:dyDescent="0.25">
      <c r="C1060" s="2" t="s">
        <v>16272</v>
      </c>
      <c r="D1060" s="2" t="s">
        <v>122</v>
      </c>
      <c r="E1060" s="2">
        <v>38</v>
      </c>
      <c r="F1060" s="2">
        <v>778.2</v>
      </c>
    </row>
    <row r="1061" spans="3:6" x14ac:dyDescent="0.25">
      <c r="C1061" s="2" t="s">
        <v>16273</v>
      </c>
      <c r="D1061" s="2" t="s">
        <v>122</v>
      </c>
      <c r="E1061" s="2">
        <v>28</v>
      </c>
      <c r="F1061" s="2">
        <v>575.06</v>
      </c>
    </row>
    <row r="1062" spans="3:6" x14ac:dyDescent="0.25">
      <c r="C1062" s="2" t="s">
        <v>16274</v>
      </c>
      <c r="D1062" s="2" t="s">
        <v>122</v>
      </c>
      <c r="E1062" s="2">
        <v>36</v>
      </c>
      <c r="F1062" s="2">
        <v>731.39</v>
      </c>
    </row>
    <row r="1063" spans="3:6" x14ac:dyDescent="0.25">
      <c r="C1063" s="2" t="s">
        <v>16275</v>
      </c>
      <c r="D1063" s="2" t="s">
        <v>122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172</v>
      </c>
      <c r="C1065" s="2" t="s">
        <v>16276</v>
      </c>
      <c r="D1065" s="2" t="s">
        <v>9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16277</v>
      </c>
      <c r="D1066" s="2" t="s">
        <v>9</v>
      </c>
      <c r="E1066" s="2">
        <v>98</v>
      </c>
      <c r="F1066" s="2">
        <v>1880.32</v>
      </c>
    </row>
    <row r="1067" spans="3:6" x14ac:dyDescent="0.25">
      <c r="C1067" s="2" t="s">
        <v>16278</v>
      </c>
      <c r="D1067" s="2" t="s">
        <v>9</v>
      </c>
      <c r="E1067" s="2">
        <v>95</v>
      </c>
      <c r="F1067" s="2">
        <v>1972.41</v>
      </c>
    </row>
    <row r="1068" spans="3:6" x14ac:dyDescent="0.25">
      <c r="C1068" s="2" t="s">
        <v>16279</v>
      </c>
      <c r="D1068" s="2" t="s">
        <v>9</v>
      </c>
      <c r="E1068" s="2">
        <v>246</v>
      </c>
      <c r="F1068" s="2">
        <v>5079.959</v>
      </c>
    </row>
    <row r="1069" spans="3:6" x14ac:dyDescent="0.25">
      <c r="C1069" s="2" t="s">
        <v>16280</v>
      </c>
      <c r="D1069" s="2" t="s">
        <v>9</v>
      </c>
      <c r="E1069" s="2">
        <v>282</v>
      </c>
      <c r="F1069" s="2">
        <v>5599.18</v>
      </c>
    </row>
    <row r="1070" spans="3:6" x14ac:dyDescent="0.25">
      <c r="C1070" s="2" t="s">
        <v>16281</v>
      </c>
      <c r="D1070" s="2" t="s">
        <v>9</v>
      </c>
      <c r="E1070" s="2">
        <v>92</v>
      </c>
      <c r="F1070" s="2">
        <v>1779.75</v>
      </c>
    </row>
    <row r="1071" spans="3:6" x14ac:dyDescent="0.25">
      <c r="C1071" s="2" t="s">
        <v>16282</v>
      </c>
      <c r="D1071" s="2" t="s">
        <v>9</v>
      </c>
      <c r="E1071" s="2">
        <v>31</v>
      </c>
      <c r="F1071" s="2">
        <v>568.56</v>
      </c>
    </row>
    <row r="1072" spans="3:6" x14ac:dyDescent="0.25">
      <c r="C1072" s="2" t="s">
        <v>16190</v>
      </c>
      <c r="D1072" s="2" t="s">
        <v>9</v>
      </c>
      <c r="E1072" s="2" t="s">
        <v>8758</v>
      </c>
      <c r="F1072" s="2" t="s">
        <v>8758</v>
      </c>
    </row>
    <row r="1073" spans="3:6" x14ac:dyDescent="0.25">
      <c r="C1073" s="2" t="s">
        <v>16283</v>
      </c>
      <c r="D1073" s="2" t="s">
        <v>9</v>
      </c>
      <c r="E1073" s="2">
        <v>39</v>
      </c>
      <c r="F1073" s="2">
        <v>788.53</v>
      </c>
    </row>
    <row r="1074" spans="3:6" x14ac:dyDescent="0.25">
      <c r="C1074" s="2" t="s">
        <v>16284</v>
      </c>
      <c r="D1074" s="2" t="s">
        <v>9</v>
      </c>
      <c r="E1074" s="2">
        <v>105</v>
      </c>
      <c r="F1074" s="2">
        <v>448.49</v>
      </c>
    </row>
    <row r="1075" spans="3:6" x14ac:dyDescent="0.25">
      <c r="C1075" s="2" t="s">
        <v>16285</v>
      </c>
      <c r="D1075" s="2" t="s">
        <v>9</v>
      </c>
      <c r="E1075" s="2">
        <v>150</v>
      </c>
      <c r="F1075" s="2">
        <v>615.52</v>
      </c>
    </row>
    <row r="1076" spans="3:6" x14ac:dyDescent="0.25">
      <c r="C1076" s="2" t="s">
        <v>16286</v>
      </c>
      <c r="D1076" s="2" t="s">
        <v>9</v>
      </c>
      <c r="E1076" s="2">
        <v>282</v>
      </c>
      <c r="F1076" s="2">
        <v>5917.269</v>
      </c>
    </row>
    <row r="1077" spans="3:6" x14ac:dyDescent="0.25">
      <c r="C1077" s="2" t="s">
        <v>16287</v>
      </c>
      <c r="D1077" s="2" t="s">
        <v>9</v>
      </c>
      <c r="E1077" s="2">
        <v>141</v>
      </c>
      <c r="F1077" s="2">
        <v>3026.71</v>
      </c>
    </row>
    <row r="1078" spans="3:6" x14ac:dyDescent="0.25">
      <c r="C1078" s="2" t="s">
        <v>16288</v>
      </c>
      <c r="D1078" s="2" t="s">
        <v>9</v>
      </c>
      <c r="E1078" s="2">
        <v>282</v>
      </c>
      <c r="F1078" s="2">
        <v>5794.527</v>
      </c>
    </row>
    <row r="1079" spans="3:6" x14ac:dyDescent="0.25">
      <c r="C1079" s="2" t="s">
        <v>16289</v>
      </c>
      <c r="D1079" s="2" t="s">
        <v>9</v>
      </c>
      <c r="E1079" s="2">
        <v>243</v>
      </c>
      <c r="F1079" s="2">
        <v>5001.96</v>
      </c>
    </row>
    <row r="1080" spans="3:6" x14ac:dyDescent="0.25">
      <c r="C1080" s="2" t="s">
        <v>16290</v>
      </c>
      <c r="D1080" s="2" t="s">
        <v>9</v>
      </c>
      <c r="E1080" s="2">
        <v>133</v>
      </c>
      <c r="F1080" s="2">
        <v>2737.84</v>
      </c>
    </row>
    <row r="1081" spans="3:6" x14ac:dyDescent="0.25">
      <c r="C1081" s="2" t="s">
        <v>16291</v>
      </c>
      <c r="D1081" s="2" t="s">
        <v>9</v>
      </c>
      <c r="E1081" s="2">
        <v>71</v>
      </c>
      <c r="F1081" s="2">
        <v>1421.51</v>
      </c>
    </row>
    <row r="1082" spans="3:6" x14ac:dyDescent="0.25">
      <c r="C1082" s="2" t="s">
        <v>16292</v>
      </c>
      <c r="D1082" s="2" t="s">
        <v>9</v>
      </c>
      <c r="E1082" s="2">
        <v>102</v>
      </c>
      <c r="F1082" s="2">
        <v>2205.53</v>
      </c>
    </row>
    <row r="1083" spans="3:6" x14ac:dyDescent="0.25">
      <c r="C1083" s="2" t="s">
        <v>16293</v>
      </c>
      <c r="D1083" s="2" t="s">
        <v>9</v>
      </c>
      <c r="E1083" s="2">
        <v>199</v>
      </c>
      <c r="F1083" s="2">
        <v>3676.498</v>
      </c>
    </row>
    <row r="1084" spans="3:6" x14ac:dyDescent="0.25">
      <c r="C1084" s="2" t="s">
        <v>16294</v>
      </c>
      <c r="D1084" s="2" t="s">
        <v>9</v>
      </c>
      <c r="E1084" s="2">
        <v>83</v>
      </c>
      <c r="F1084" s="2">
        <v>1652.74</v>
      </c>
    </row>
    <row r="1085" spans="3:6" x14ac:dyDescent="0.25">
      <c r="C1085" s="2" t="s">
        <v>16295</v>
      </c>
      <c r="D1085" s="2" t="s">
        <v>9</v>
      </c>
      <c r="E1085" s="2">
        <v>141</v>
      </c>
      <c r="F1085" s="2">
        <v>2970.78</v>
      </c>
    </row>
    <row r="1086" spans="3:6" x14ac:dyDescent="0.25">
      <c r="C1086" s="2" t="s">
        <v>16296</v>
      </c>
      <c r="D1086" s="2" t="s">
        <v>9</v>
      </c>
      <c r="E1086" s="2">
        <v>48</v>
      </c>
      <c r="F1086" s="2">
        <v>1023.69</v>
      </c>
    </row>
    <row r="1087" spans="3:6" x14ac:dyDescent="0.25">
      <c r="C1087" s="2" t="s">
        <v>16297</v>
      </c>
      <c r="D1087" s="2" t="s">
        <v>9</v>
      </c>
      <c r="E1087" s="2">
        <v>54</v>
      </c>
      <c r="F1087" s="2">
        <v>1097.93</v>
      </c>
    </row>
    <row r="1088" spans="3:6" x14ac:dyDescent="0.25">
      <c r="C1088" s="2" t="s">
        <v>16298</v>
      </c>
      <c r="D1088" s="2" t="s">
        <v>9</v>
      </c>
      <c r="E1088" s="2">
        <v>106</v>
      </c>
      <c r="F1088" s="2">
        <v>2251.26</v>
      </c>
    </row>
    <row r="1089" spans="3:6" x14ac:dyDescent="0.25">
      <c r="C1089" s="2" t="s">
        <v>16299</v>
      </c>
      <c r="D1089" s="2" t="s">
        <v>9</v>
      </c>
      <c r="E1089" s="2">
        <v>36</v>
      </c>
      <c r="F1089" s="2">
        <v>755.13</v>
      </c>
    </row>
    <row r="1090" spans="3:6" x14ac:dyDescent="0.25">
      <c r="C1090" s="2" t="s">
        <v>16204</v>
      </c>
      <c r="D1090" s="2" t="s">
        <v>9</v>
      </c>
      <c r="E1090" s="2" t="s">
        <v>8758</v>
      </c>
      <c r="F1090" s="2" t="s">
        <v>8758</v>
      </c>
    </row>
    <row r="1091" spans="3:6" x14ac:dyDescent="0.25">
      <c r="C1091" s="2" t="s">
        <v>16205</v>
      </c>
      <c r="D1091" s="2" t="s">
        <v>9</v>
      </c>
      <c r="E1091" s="2" t="s">
        <v>8758</v>
      </c>
      <c r="F1091" s="2" t="s">
        <v>8758</v>
      </c>
    </row>
    <row r="1092" spans="3:6" x14ac:dyDescent="0.25">
      <c r="C1092" s="2" t="s">
        <v>16300</v>
      </c>
      <c r="D1092" s="2" t="s">
        <v>9</v>
      </c>
      <c r="E1092" s="2">
        <v>100</v>
      </c>
      <c r="F1092" s="2">
        <v>1777.27</v>
      </c>
    </row>
    <row r="1093" spans="3:6" x14ac:dyDescent="0.25">
      <c r="C1093" s="2" t="s">
        <v>16301</v>
      </c>
      <c r="D1093" s="2" t="s">
        <v>9</v>
      </c>
      <c r="E1093" s="2">
        <v>100</v>
      </c>
      <c r="F1093" s="2">
        <v>1946.32</v>
      </c>
    </row>
    <row r="1094" spans="3:6" x14ac:dyDescent="0.25">
      <c r="C1094" s="2" t="s">
        <v>16302</v>
      </c>
      <c r="D1094" s="2" t="s">
        <v>9</v>
      </c>
      <c r="E1094" s="2">
        <v>82</v>
      </c>
      <c r="F1094" s="2">
        <v>1713.52</v>
      </c>
    </row>
    <row r="1095" spans="3:6" x14ac:dyDescent="0.25">
      <c r="C1095" s="2" t="s">
        <v>16303</v>
      </c>
      <c r="D1095" s="2" t="s">
        <v>9</v>
      </c>
      <c r="E1095" s="2">
        <v>141</v>
      </c>
      <c r="F1095" s="2">
        <v>2766.309</v>
      </c>
    </row>
    <row r="1096" spans="3:6" x14ac:dyDescent="0.25">
      <c r="C1096" s="2" t="s">
        <v>16304</v>
      </c>
      <c r="D1096" s="2" t="s">
        <v>9</v>
      </c>
      <c r="E1096" s="2">
        <v>110</v>
      </c>
      <c r="F1096" s="2">
        <v>2368.41</v>
      </c>
    </row>
    <row r="1097" spans="3:6" x14ac:dyDescent="0.25">
      <c r="C1097" s="2" t="s">
        <v>16305</v>
      </c>
      <c r="D1097" s="2" t="s">
        <v>9</v>
      </c>
      <c r="E1097" s="2">
        <v>31</v>
      </c>
      <c r="F1097" s="2">
        <v>625.12</v>
      </c>
    </row>
    <row r="1098" spans="3:6" x14ac:dyDescent="0.25">
      <c r="C1098" s="2" t="s">
        <v>16306</v>
      </c>
      <c r="D1098" s="2" t="s">
        <v>9</v>
      </c>
      <c r="E1098" s="2">
        <v>102</v>
      </c>
      <c r="F1098" s="2">
        <v>2046.36</v>
      </c>
    </row>
    <row r="1099" spans="3:6" x14ac:dyDescent="0.25">
      <c r="C1099" s="2" t="s">
        <v>16307</v>
      </c>
      <c r="D1099" s="2" t="s">
        <v>9</v>
      </c>
      <c r="E1099" s="2">
        <v>31</v>
      </c>
      <c r="F1099" s="2">
        <v>638</v>
      </c>
    </row>
    <row r="1100" spans="3:6" x14ac:dyDescent="0.25">
      <c r="C1100" s="2" t="s">
        <v>16308</v>
      </c>
      <c r="D1100" s="2" t="s">
        <v>9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10</v>
      </c>
      <c r="C1102" s="2" t="s">
        <v>16309</v>
      </c>
      <c r="D1102" s="2" t="s">
        <v>12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16310</v>
      </c>
      <c r="D1103" s="2" t="s">
        <v>12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503</v>
      </c>
      <c r="C1105" s="2" t="s">
        <v>16311</v>
      </c>
      <c r="D1105" s="2" t="s">
        <v>42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2094</v>
      </c>
      <c r="C1107" s="2" t="s">
        <v>16312</v>
      </c>
      <c r="D1107" s="2" t="s">
        <v>2096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13576</v>
      </c>
      <c r="C1109" s="2" t="s">
        <v>16313</v>
      </c>
      <c r="D1109" s="2" t="s">
        <v>1288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16314</v>
      </c>
      <c r="D1110" s="2" t="s">
        <v>1288</v>
      </c>
      <c r="E1110" s="2">
        <v>41</v>
      </c>
      <c r="F1110" s="2">
        <v>785.64</v>
      </c>
    </row>
    <row r="1111" spans="3:6" x14ac:dyDescent="0.25">
      <c r="C1111" s="2" t="s">
        <v>16315</v>
      </c>
      <c r="D1111" s="2" t="s">
        <v>1288</v>
      </c>
      <c r="E1111" s="2">
        <v>97</v>
      </c>
      <c r="F1111" s="2">
        <v>1777.7</v>
      </c>
    </row>
    <row r="1112" spans="3:6" x14ac:dyDescent="0.25">
      <c r="C1112" s="2" t="s">
        <v>16316</v>
      </c>
      <c r="D1112" s="2" t="s">
        <v>1288</v>
      </c>
      <c r="E1112" s="2">
        <v>44</v>
      </c>
      <c r="F1112" s="2">
        <v>898.44</v>
      </c>
    </row>
    <row r="1113" spans="3:6" x14ac:dyDescent="0.25">
      <c r="C1113" s="2" t="s">
        <v>16317</v>
      </c>
      <c r="D1113" s="2" t="s">
        <v>1288</v>
      </c>
      <c r="E1113" s="2">
        <v>23</v>
      </c>
      <c r="F1113" s="2">
        <v>475.71</v>
      </c>
    </row>
    <row r="1114" spans="3:6" x14ac:dyDescent="0.25">
      <c r="C1114" s="2" t="s">
        <v>16318</v>
      </c>
      <c r="D1114" s="2" t="s">
        <v>1288</v>
      </c>
      <c r="E1114" s="2">
        <v>18</v>
      </c>
      <c r="F1114" s="2">
        <v>392.32</v>
      </c>
    </row>
    <row r="1115" spans="3:6" x14ac:dyDescent="0.25">
      <c r="C1115" s="2" t="s">
        <v>16319</v>
      </c>
      <c r="D1115" s="2" t="s">
        <v>1288</v>
      </c>
      <c r="E1115" s="2">
        <v>36</v>
      </c>
      <c r="F1115" s="2">
        <v>674.69</v>
      </c>
    </row>
    <row r="1116" spans="3:6" x14ac:dyDescent="0.25">
      <c r="C1116" s="2" t="s">
        <v>16320</v>
      </c>
      <c r="D1116" s="2" t="s">
        <v>1288</v>
      </c>
      <c r="E1116" s="2">
        <v>31</v>
      </c>
      <c r="F1116" s="2">
        <v>633.04</v>
      </c>
    </row>
    <row r="1117" spans="3:6" x14ac:dyDescent="0.25">
      <c r="C1117" s="2" t="s">
        <v>16321</v>
      </c>
      <c r="D1117" s="2" t="s">
        <v>1288</v>
      </c>
      <c r="E1117" s="2">
        <v>33</v>
      </c>
      <c r="F1117" s="2">
        <v>659.53</v>
      </c>
    </row>
    <row r="1118" spans="3:6" x14ac:dyDescent="0.25">
      <c r="C1118" s="2" t="s">
        <v>16322</v>
      </c>
      <c r="D1118" s="2" t="s">
        <v>1288</v>
      </c>
      <c r="E1118" s="2">
        <v>45</v>
      </c>
      <c r="F1118" s="2">
        <v>880.83</v>
      </c>
    </row>
    <row r="1119" spans="3:6" x14ac:dyDescent="0.25">
      <c r="C1119" s="2" t="s">
        <v>16323</v>
      </c>
      <c r="D1119" s="2" t="s">
        <v>1288</v>
      </c>
      <c r="E1119" s="2">
        <v>96</v>
      </c>
      <c r="F1119" s="2">
        <v>1958.98</v>
      </c>
    </row>
    <row r="1120" spans="3:6" x14ac:dyDescent="0.25">
      <c r="C1120" s="2" t="s">
        <v>16324</v>
      </c>
      <c r="D1120" s="2" t="s">
        <v>1288</v>
      </c>
      <c r="E1120" s="2">
        <v>70</v>
      </c>
      <c r="F1120" s="2">
        <v>1318.298</v>
      </c>
    </row>
    <row r="1121" spans="3:6" x14ac:dyDescent="0.25">
      <c r="C1121" s="2" t="s">
        <v>16325</v>
      </c>
      <c r="D1121" s="2" t="s">
        <v>1288</v>
      </c>
      <c r="E1121" s="2">
        <v>48</v>
      </c>
      <c r="F1121" s="2">
        <v>873.74</v>
      </c>
    </row>
    <row r="1122" spans="3:6" x14ac:dyDescent="0.25">
      <c r="C1122" s="2" t="s">
        <v>16326</v>
      </c>
      <c r="D1122" s="2" t="s">
        <v>1288</v>
      </c>
      <c r="E1122" s="2">
        <v>23</v>
      </c>
      <c r="F1122" s="2">
        <v>405.97</v>
      </c>
    </row>
    <row r="1123" spans="3:6" x14ac:dyDescent="0.25">
      <c r="C1123" s="2" t="s">
        <v>16327</v>
      </c>
      <c r="D1123" s="2" t="s">
        <v>1288</v>
      </c>
      <c r="E1123" s="2">
        <v>18</v>
      </c>
      <c r="F1123" s="2">
        <v>348.67</v>
      </c>
    </row>
    <row r="1124" spans="3:6" x14ac:dyDescent="0.25">
      <c r="C1124" s="2" t="s">
        <v>16328</v>
      </c>
      <c r="D1124" s="2" t="s">
        <v>1288</v>
      </c>
      <c r="E1124" s="2">
        <v>52</v>
      </c>
      <c r="F1124" s="2">
        <v>1055.85</v>
      </c>
    </row>
    <row r="1125" spans="3:6" x14ac:dyDescent="0.25">
      <c r="C1125" s="2" t="s">
        <v>16329</v>
      </c>
      <c r="D1125" s="2" t="s">
        <v>1288</v>
      </c>
      <c r="E1125" s="2">
        <v>71</v>
      </c>
      <c r="F1125" s="2">
        <v>1462.94</v>
      </c>
    </row>
    <row r="1126" spans="3:6" x14ac:dyDescent="0.25">
      <c r="C1126" s="2" t="s">
        <v>16330</v>
      </c>
      <c r="D1126" s="2" t="s">
        <v>1288</v>
      </c>
      <c r="E1126" s="2">
        <v>34</v>
      </c>
      <c r="F1126" s="2">
        <v>634.1</v>
      </c>
    </row>
    <row r="1127" spans="3:6" x14ac:dyDescent="0.25">
      <c r="C1127" s="2" t="s">
        <v>16331</v>
      </c>
      <c r="D1127" s="2" t="s">
        <v>1288</v>
      </c>
      <c r="E1127" s="2">
        <v>66</v>
      </c>
      <c r="F1127" s="2">
        <v>1284.68</v>
      </c>
    </row>
    <row r="1128" spans="3:6" x14ac:dyDescent="0.25">
      <c r="C1128" s="2" t="s">
        <v>16332</v>
      </c>
      <c r="D1128" s="2" t="s">
        <v>1288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183</v>
      </c>
      <c r="C1130" s="2" t="s">
        <v>16333</v>
      </c>
      <c r="D1130" s="2" t="s">
        <v>122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16334</v>
      </c>
      <c r="D1131" s="2" t="s">
        <v>122</v>
      </c>
      <c r="E1131" s="2">
        <v>141</v>
      </c>
      <c r="F1131" s="2">
        <v>2860.619</v>
      </c>
    </row>
    <row r="1132" spans="3:6" x14ac:dyDescent="0.25">
      <c r="C1132" s="2" t="s">
        <v>16335</v>
      </c>
      <c r="D1132" s="2" t="s">
        <v>122</v>
      </c>
      <c r="E1132" s="2">
        <v>100</v>
      </c>
      <c r="F1132" s="2">
        <v>2116.42</v>
      </c>
    </row>
    <row r="1133" spans="3:6" x14ac:dyDescent="0.25">
      <c r="C1133" s="2" t="s">
        <v>16336</v>
      </c>
      <c r="D1133" s="2" t="s">
        <v>122</v>
      </c>
      <c r="E1133" s="2">
        <v>60</v>
      </c>
      <c r="F1133" s="2">
        <v>1238.25</v>
      </c>
    </row>
    <row r="1134" spans="3:6" x14ac:dyDescent="0.25">
      <c r="C1134" s="2" t="s">
        <v>16337</v>
      </c>
      <c r="D1134" s="2" t="s">
        <v>122</v>
      </c>
      <c r="E1134" s="2">
        <v>40</v>
      </c>
      <c r="F1134" s="2">
        <v>820.71</v>
      </c>
    </row>
    <row r="1135" spans="3:6" x14ac:dyDescent="0.25">
      <c r="C1135" s="2" t="s">
        <v>16338</v>
      </c>
      <c r="D1135" s="2" t="s">
        <v>122</v>
      </c>
      <c r="E1135" s="2">
        <v>50</v>
      </c>
      <c r="F1135" s="2">
        <v>1048.94</v>
      </c>
    </row>
    <row r="1136" spans="3:6" x14ac:dyDescent="0.25">
      <c r="C1136" s="2" t="s">
        <v>16339</v>
      </c>
      <c r="D1136" s="2" t="s">
        <v>122</v>
      </c>
      <c r="E1136" s="2">
        <v>50</v>
      </c>
      <c r="F1136" s="2">
        <v>1097.54</v>
      </c>
    </row>
    <row r="1137" spans="3:6" x14ac:dyDescent="0.25">
      <c r="C1137" s="2" t="s">
        <v>16340</v>
      </c>
      <c r="D1137" s="2" t="s">
        <v>122</v>
      </c>
      <c r="E1137" s="2">
        <v>75</v>
      </c>
      <c r="F1137" s="2">
        <v>1475.92</v>
      </c>
    </row>
    <row r="1138" spans="3:6" x14ac:dyDescent="0.25">
      <c r="C1138" s="2" t="s">
        <v>16341</v>
      </c>
      <c r="D1138" s="2" t="s">
        <v>122</v>
      </c>
      <c r="E1138" s="2">
        <v>42</v>
      </c>
      <c r="F1138" s="2">
        <v>862.58</v>
      </c>
    </row>
    <row r="1139" spans="3:6" x14ac:dyDescent="0.25">
      <c r="C1139" s="2" t="s">
        <v>16342</v>
      </c>
      <c r="D1139" s="2" t="s">
        <v>122</v>
      </c>
      <c r="E1139" s="2">
        <v>43</v>
      </c>
      <c r="F1139" s="2">
        <v>899.46</v>
      </c>
    </row>
    <row r="1140" spans="3:6" x14ac:dyDescent="0.25">
      <c r="C1140" s="2" t="s">
        <v>16343</v>
      </c>
      <c r="D1140" s="2" t="s">
        <v>122</v>
      </c>
      <c r="E1140" s="2">
        <v>36</v>
      </c>
      <c r="F1140" s="2">
        <v>754.86</v>
      </c>
    </row>
    <row r="1141" spans="3:6" x14ac:dyDescent="0.25">
      <c r="C1141" s="2" t="s">
        <v>16344</v>
      </c>
      <c r="D1141" s="2" t="s">
        <v>122</v>
      </c>
      <c r="E1141" s="2">
        <v>200</v>
      </c>
      <c r="F1141" s="2">
        <v>2347.28</v>
      </c>
    </row>
    <row r="1142" spans="3:6" x14ac:dyDescent="0.25">
      <c r="C1142" s="2" t="s">
        <v>16345</v>
      </c>
      <c r="D1142" s="2" t="s">
        <v>122</v>
      </c>
      <c r="E1142" s="2">
        <v>200</v>
      </c>
      <c r="F1142" s="2">
        <v>1260.984</v>
      </c>
    </row>
    <row r="1143" spans="3:6" x14ac:dyDescent="0.25">
      <c r="C1143" s="2" t="s">
        <v>16346</v>
      </c>
      <c r="D1143" s="2" t="s">
        <v>122</v>
      </c>
      <c r="E1143" s="2">
        <v>77</v>
      </c>
      <c r="F1143" s="2">
        <v>1640.37</v>
      </c>
    </row>
    <row r="1144" spans="3:6" x14ac:dyDescent="0.25">
      <c r="C1144" s="2" t="s">
        <v>16347</v>
      </c>
      <c r="D1144" s="2" t="s">
        <v>122</v>
      </c>
      <c r="E1144" s="2">
        <v>44</v>
      </c>
      <c r="F1144" s="2">
        <v>860.36</v>
      </c>
    </row>
    <row r="1145" spans="3:6" x14ac:dyDescent="0.25">
      <c r="C1145" s="2" t="s">
        <v>16348</v>
      </c>
      <c r="D1145" s="2" t="s">
        <v>122</v>
      </c>
      <c r="E1145" s="2">
        <v>86</v>
      </c>
      <c r="F1145" s="2">
        <v>1754.44</v>
      </c>
    </row>
    <row r="1146" spans="3:6" x14ac:dyDescent="0.25">
      <c r="C1146" s="2" t="s">
        <v>16349</v>
      </c>
      <c r="D1146" s="2" t="s">
        <v>122</v>
      </c>
      <c r="E1146" s="2">
        <v>35</v>
      </c>
      <c r="F1146" s="2">
        <v>696.87</v>
      </c>
    </row>
    <row r="1147" spans="3:6" x14ac:dyDescent="0.25">
      <c r="C1147" s="2" t="s">
        <v>16350</v>
      </c>
      <c r="D1147" s="2" t="s">
        <v>122</v>
      </c>
      <c r="E1147" s="2">
        <v>73</v>
      </c>
      <c r="F1147" s="2">
        <v>1434.36</v>
      </c>
    </row>
    <row r="1148" spans="3:6" x14ac:dyDescent="0.25">
      <c r="C1148" s="2" t="s">
        <v>16351</v>
      </c>
      <c r="D1148" s="2" t="s">
        <v>122</v>
      </c>
      <c r="E1148" s="2">
        <v>31</v>
      </c>
      <c r="F1148" s="2">
        <v>632.83</v>
      </c>
    </row>
    <row r="1149" spans="3:6" x14ac:dyDescent="0.25">
      <c r="C1149" s="2" t="s">
        <v>16352</v>
      </c>
      <c r="D1149" s="2" t="s">
        <v>122</v>
      </c>
      <c r="E1149" s="2">
        <v>17</v>
      </c>
      <c r="F1149" s="2">
        <v>329.94</v>
      </c>
    </row>
    <row r="1150" spans="3:6" x14ac:dyDescent="0.25">
      <c r="C1150" s="2" t="s">
        <v>16353</v>
      </c>
      <c r="D1150" s="2" t="s">
        <v>122</v>
      </c>
      <c r="E1150" s="2">
        <v>133</v>
      </c>
      <c r="F1150" s="2">
        <v>2753.84</v>
      </c>
    </row>
    <row r="1151" spans="3:6" x14ac:dyDescent="0.25">
      <c r="C1151" s="2" t="s">
        <v>16354</v>
      </c>
      <c r="D1151" s="2" t="s">
        <v>122</v>
      </c>
      <c r="E1151" s="2">
        <v>141</v>
      </c>
      <c r="F1151" s="2">
        <v>2995.69</v>
      </c>
    </row>
    <row r="1152" spans="3:6" x14ac:dyDescent="0.25">
      <c r="C1152" s="2" t="s">
        <v>16355</v>
      </c>
      <c r="D1152" s="2" t="s">
        <v>122</v>
      </c>
      <c r="E1152" s="2">
        <v>141</v>
      </c>
      <c r="F1152" s="2">
        <v>2881.4</v>
      </c>
    </row>
    <row r="1153" spans="3:6" x14ac:dyDescent="0.25">
      <c r="C1153" s="2" t="s">
        <v>16356</v>
      </c>
      <c r="D1153" s="2" t="s">
        <v>122</v>
      </c>
      <c r="E1153" s="2">
        <v>98</v>
      </c>
      <c r="F1153" s="2">
        <v>2096.34</v>
      </c>
    </row>
    <row r="1154" spans="3:6" x14ac:dyDescent="0.25">
      <c r="C1154" s="2" t="s">
        <v>16357</v>
      </c>
      <c r="D1154" s="2" t="s">
        <v>122</v>
      </c>
      <c r="E1154" s="2">
        <v>43</v>
      </c>
      <c r="F1154" s="2">
        <v>893.01</v>
      </c>
    </row>
    <row r="1155" spans="3:6" x14ac:dyDescent="0.25">
      <c r="C1155" s="2" t="s">
        <v>16358</v>
      </c>
      <c r="D1155" s="2" t="s">
        <v>122</v>
      </c>
      <c r="E1155" s="2">
        <v>41</v>
      </c>
      <c r="F1155" s="2">
        <v>846.49</v>
      </c>
    </row>
    <row r="1156" spans="3:6" x14ac:dyDescent="0.25">
      <c r="C1156" s="2" t="s">
        <v>16359</v>
      </c>
      <c r="D1156" s="2" t="s">
        <v>122</v>
      </c>
      <c r="E1156" s="2">
        <v>49</v>
      </c>
      <c r="F1156" s="2">
        <v>1061.21</v>
      </c>
    </row>
    <row r="1157" spans="3:6" x14ac:dyDescent="0.25">
      <c r="C1157" s="2" t="s">
        <v>16360</v>
      </c>
      <c r="D1157" s="2" t="s">
        <v>122</v>
      </c>
      <c r="E1157" s="2">
        <v>27</v>
      </c>
      <c r="F1157" s="2">
        <v>570.76</v>
      </c>
    </row>
    <row r="1158" spans="3:6" x14ac:dyDescent="0.25">
      <c r="C1158" s="2" t="s">
        <v>16361</v>
      </c>
      <c r="D1158" s="2" t="s">
        <v>122</v>
      </c>
      <c r="E1158" s="2">
        <v>24</v>
      </c>
      <c r="F1158" s="2">
        <v>505.91</v>
      </c>
    </row>
    <row r="1159" spans="3:6" x14ac:dyDescent="0.25">
      <c r="C1159" s="2" t="s">
        <v>16362</v>
      </c>
      <c r="D1159" s="2" t="s">
        <v>122</v>
      </c>
      <c r="E1159" s="2">
        <v>100</v>
      </c>
      <c r="F1159" s="2">
        <v>2013.129</v>
      </c>
    </row>
    <row r="1160" spans="3:6" x14ac:dyDescent="0.25">
      <c r="C1160" s="2" t="s">
        <v>16363</v>
      </c>
      <c r="D1160" s="2" t="s">
        <v>122</v>
      </c>
      <c r="E1160" s="2">
        <v>100</v>
      </c>
      <c r="F1160" s="2">
        <v>2004.4</v>
      </c>
    </row>
    <row r="1161" spans="3:6" x14ac:dyDescent="0.25">
      <c r="C1161" s="2" t="s">
        <v>16364</v>
      </c>
      <c r="D1161" s="2" t="s">
        <v>122</v>
      </c>
      <c r="E1161" s="2">
        <v>57</v>
      </c>
      <c r="F1161" s="2">
        <v>1128.18</v>
      </c>
    </row>
    <row r="1162" spans="3:6" x14ac:dyDescent="0.25">
      <c r="C1162" s="2" t="s">
        <v>16365</v>
      </c>
      <c r="D1162" s="2" t="s">
        <v>122</v>
      </c>
      <c r="E1162" s="2">
        <v>84</v>
      </c>
      <c r="F1162" s="2">
        <v>1727.47</v>
      </c>
    </row>
    <row r="1163" spans="3:6" x14ac:dyDescent="0.25">
      <c r="C1163" s="2" t="s">
        <v>16366</v>
      </c>
      <c r="D1163" s="2" t="s">
        <v>122</v>
      </c>
      <c r="E1163" s="2">
        <v>81</v>
      </c>
      <c r="F1163" s="2">
        <v>1565.619</v>
      </c>
    </row>
    <row r="1164" spans="3:6" x14ac:dyDescent="0.25">
      <c r="C1164" s="2" t="s">
        <v>16367</v>
      </c>
      <c r="D1164" s="2" t="s">
        <v>122</v>
      </c>
      <c r="E1164" s="2">
        <v>60</v>
      </c>
      <c r="F1164" s="2">
        <v>1261.33</v>
      </c>
    </row>
    <row r="1165" spans="3:6" x14ac:dyDescent="0.25">
      <c r="C1165" s="2" t="s">
        <v>16368</v>
      </c>
      <c r="D1165" s="2" t="s">
        <v>122</v>
      </c>
      <c r="E1165" s="2">
        <v>56</v>
      </c>
      <c r="F1165" s="2">
        <v>1154.67</v>
      </c>
    </row>
    <row r="1166" spans="3:6" x14ac:dyDescent="0.25">
      <c r="C1166" s="2" t="s">
        <v>16369</v>
      </c>
      <c r="D1166" s="2" t="s">
        <v>122</v>
      </c>
      <c r="E1166" s="2">
        <v>85</v>
      </c>
      <c r="F1166" s="2">
        <v>1796.47</v>
      </c>
    </row>
    <row r="1167" spans="3:6" x14ac:dyDescent="0.25">
      <c r="C1167" s="2" t="s">
        <v>16370</v>
      </c>
      <c r="D1167" s="2" t="s">
        <v>122</v>
      </c>
      <c r="E1167" s="2">
        <v>77</v>
      </c>
      <c r="F1167" s="2">
        <v>1474.62</v>
      </c>
    </row>
    <row r="1168" spans="3:6" x14ac:dyDescent="0.25">
      <c r="C1168" s="2" t="s">
        <v>16371</v>
      </c>
      <c r="D1168" s="2" t="s">
        <v>122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10</v>
      </c>
      <c r="C1170" s="2" t="s">
        <v>16372</v>
      </c>
      <c r="D1170" s="2" t="s">
        <v>12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16373</v>
      </c>
      <c r="D1171" s="2" t="s">
        <v>12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12270</v>
      </c>
      <c r="C1173" s="2" t="s">
        <v>16374</v>
      </c>
      <c r="D1173" s="2" t="s">
        <v>12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16375</v>
      </c>
      <c r="D1174" s="2" t="s">
        <v>12</v>
      </c>
      <c r="E1174" s="2">
        <v>156</v>
      </c>
      <c r="F1174" s="2">
        <v>3304.29</v>
      </c>
    </row>
    <row r="1175" spans="3:6" x14ac:dyDescent="0.25">
      <c r="C1175" s="2" t="s">
        <v>16376</v>
      </c>
      <c r="D1175" s="2" t="s">
        <v>12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438</v>
      </c>
      <c r="C1177" s="2" t="s">
        <v>16377</v>
      </c>
      <c r="D1177" s="2" t="s">
        <v>42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18</v>
      </c>
      <c r="C1179" s="2" t="s">
        <v>15885</v>
      </c>
      <c r="D1179" s="2" t="s">
        <v>20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15887</v>
      </c>
      <c r="D1180" s="2" t="s">
        <v>20</v>
      </c>
      <c r="E1180" s="2">
        <v>141</v>
      </c>
      <c r="F1180" s="2">
        <v>3107.901</v>
      </c>
    </row>
    <row r="1181" spans="3:6" x14ac:dyDescent="0.25">
      <c r="C1181" s="2" t="s">
        <v>15890</v>
      </c>
      <c r="D1181" s="2" t="s">
        <v>20</v>
      </c>
      <c r="E1181" s="2">
        <v>149</v>
      </c>
      <c r="F1181" s="2">
        <v>2717.67</v>
      </c>
    </row>
    <row r="1182" spans="3:6" x14ac:dyDescent="0.25">
      <c r="C1182" s="2" t="s">
        <v>15891</v>
      </c>
      <c r="D1182" s="2" t="s">
        <v>20</v>
      </c>
      <c r="E1182" s="2">
        <v>149</v>
      </c>
      <c r="F1182" s="2">
        <v>2744.339</v>
      </c>
    </row>
    <row r="1183" spans="3:6" x14ac:dyDescent="0.25">
      <c r="C1183" s="2" t="s">
        <v>15892</v>
      </c>
      <c r="D1183" s="2" t="s">
        <v>20</v>
      </c>
      <c r="E1183" s="2">
        <v>102</v>
      </c>
      <c r="F1183" s="2">
        <v>1927.47</v>
      </c>
    </row>
    <row r="1184" spans="3:6" x14ac:dyDescent="0.25">
      <c r="C1184" s="2" t="s">
        <v>15893</v>
      </c>
      <c r="D1184" s="2" t="s">
        <v>20</v>
      </c>
      <c r="E1184" s="2">
        <v>149</v>
      </c>
      <c r="F1184" s="2">
        <v>2704.688</v>
      </c>
    </row>
    <row r="1185" spans="3:6" x14ac:dyDescent="0.25">
      <c r="C1185" s="2" t="s">
        <v>16378</v>
      </c>
      <c r="D1185" s="2" t="s">
        <v>20</v>
      </c>
      <c r="E1185" s="2">
        <v>111</v>
      </c>
      <c r="F1185" s="2">
        <v>944.197</v>
      </c>
    </row>
    <row r="1186" spans="3:6" x14ac:dyDescent="0.25">
      <c r="C1186" s="2" t="s">
        <v>16379</v>
      </c>
      <c r="D1186" s="2" t="s">
        <v>20</v>
      </c>
      <c r="E1186" s="2">
        <v>142</v>
      </c>
      <c r="F1186" s="2">
        <v>2666.19</v>
      </c>
    </row>
    <row r="1187" spans="3:6" x14ac:dyDescent="0.25">
      <c r="C1187" s="2" t="s">
        <v>16380</v>
      </c>
      <c r="D1187" s="2" t="s">
        <v>20</v>
      </c>
      <c r="E1187" s="2">
        <v>67</v>
      </c>
      <c r="F1187" s="2">
        <v>1843.71</v>
      </c>
    </row>
    <row r="1188" spans="3:6" x14ac:dyDescent="0.25">
      <c r="C1188" s="2" t="s">
        <v>16381</v>
      </c>
      <c r="D1188" s="2" t="s">
        <v>20</v>
      </c>
      <c r="E1188" s="2">
        <v>81</v>
      </c>
      <c r="F1188" s="2">
        <v>1978.263</v>
      </c>
    </row>
    <row r="1189" spans="3:6" x14ac:dyDescent="0.25">
      <c r="C1189" s="2" t="s">
        <v>16382</v>
      </c>
      <c r="D1189" s="2" t="s">
        <v>20</v>
      </c>
      <c r="E1189" s="2">
        <v>90</v>
      </c>
      <c r="F1189" s="2">
        <v>1986.159</v>
      </c>
    </row>
    <row r="1190" spans="3:6" x14ac:dyDescent="0.25">
      <c r="C1190" s="2" t="s">
        <v>16383</v>
      </c>
      <c r="D1190" s="2" t="s">
        <v>20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10</v>
      </c>
      <c r="C1192" s="2" t="s">
        <v>16384</v>
      </c>
      <c r="D1192" s="2" t="s">
        <v>12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16385</v>
      </c>
      <c r="D1193" s="2" t="s">
        <v>12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2196</v>
      </c>
      <c r="C1195" s="2" t="s">
        <v>16386</v>
      </c>
      <c r="D1195" s="2" t="s">
        <v>9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16387</v>
      </c>
      <c r="D1196" s="2" t="s">
        <v>9</v>
      </c>
      <c r="E1196" s="2">
        <v>102</v>
      </c>
      <c r="F1196" s="2">
        <v>1915.35</v>
      </c>
    </row>
    <row r="1197" spans="3:6" x14ac:dyDescent="0.25">
      <c r="C1197" s="2" t="s">
        <v>16388</v>
      </c>
      <c r="D1197" s="2" t="s">
        <v>9</v>
      </c>
      <c r="E1197" s="2">
        <v>246</v>
      </c>
      <c r="F1197" s="2">
        <v>5084.169</v>
      </c>
    </row>
    <row r="1198" spans="3:6" x14ac:dyDescent="0.25">
      <c r="C1198" s="2" t="s">
        <v>16389</v>
      </c>
      <c r="D1198" s="2" t="s">
        <v>9</v>
      </c>
      <c r="E1198" s="2">
        <v>257</v>
      </c>
      <c r="F1198" s="2">
        <v>5420.519</v>
      </c>
    </row>
    <row r="1199" spans="3:6" x14ac:dyDescent="0.25">
      <c r="C1199" s="2" t="s">
        <v>16390</v>
      </c>
      <c r="D1199" s="2" t="s">
        <v>9</v>
      </c>
      <c r="E1199" s="2">
        <v>102</v>
      </c>
      <c r="F1199" s="2">
        <v>1946.64</v>
      </c>
    </row>
    <row r="1200" spans="3:6" x14ac:dyDescent="0.25">
      <c r="C1200" s="2" t="s">
        <v>16391</v>
      </c>
      <c r="D1200" s="2" t="s">
        <v>9</v>
      </c>
      <c r="E1200" s="2">
        <v>102</v>
      </c>
      <c r="F1200" s="2">
        <v>2110.08</v>
      </c>
    </row>
    <row r="1201" spans="3:6" x14ac:dyDescent="0.25">
      <c r="C1201" s="2" t="s">
        <v>16392</v>
      </c>
      <c r="D1201" s="2" t="s">
        <v>9</v>
      </c>
      <c r="E1201" s="2">
        <v>102</v>
      </c>
      <c r="F1201" s="2">
        <v>1914.759</v>
      </c>
    </row>
    <row r="1202" spans="3:6" x14ac:dyDescent="0.25">
      <c r="C1202" s="2" t="s">
        <v>16393</v>
      </c>
      <c r="D1202" s="2" t="s">
        <v>9</v>
      </c>
      <c r="E1202" s="2">
        <v>123</v>
      </c>
      <c r="F1202" s="2">
        <v>2589.18</v>
      </c>
    </row>
    <row r="1203" spans="3:6" x14ac:dyDescent="0.25">
      <c r="C1203" s="2" t="s">
        <v>16394</v>
      </c>
      <c r="D1203" s="2" t="s">
        <v>9</v>
      </c>
      <c r="E1203" s="2">
        <v>74</v>
      </c>
      <c r="F1203" s="2">
        <v>1372.67</v>
      </c>
    </row>
    <row r="1204" spans="3:6" x14ac:dyDescent="0.25">
      <c r="C1204" s="2" t="s">
        <v>16395</v>
      </c>
      <c r="D1204" s="2" t="s">
        <v>9</v>
      </c>
      <c r="E1204" s="2">
        <v>28</v>
      </c>
      <c r="F1204" s="2">
        <v>520.359</v>
      </c>
    </row>
    <row r="1205" spans="3:6" x14ac:dyDescent="0.25">
      <c r="C1205" s="2" t="s">
        <v>16396</v>
      </c>
      <c r="D1205" s="2" t="s">
        <v>9</v>
      </c>
      <c r="E1205" s="2">
        <v>282</v>
      </c>
      <c r="F1205" s="2">
        <v>5703.04</v>
      </c>
    </row>
    <row r="1206" spans="3:4" x14ac:dyDescent="0.25">
      <c r="C1206" s="2" t="s">
        <v>16397</v>
      </c>
      <c r="D1206" s="2" t="s">
        <v>9</v>
      </c>
    </row>
    <row r="1207" spans="3:6" x14ac:dyDescent="0.25">
      <c r="C1207" s="2" t="s">
        <v>16398</v>
      </c>
      <c r="D1207" s="2" t="s">
        <v>9</v>
      </c>
      <c r="E1207" s="2">
        <v>71</v>
      </c>
      <c r="F1207" s="2">
        <v>303.855</v>
      </c>
    </row>
    <row r="1208" spans="3:6" x14ac:dyDescent="0.25">
      <c r="C1208" s="2" t="s">
        <v>16399</v>
      </c>
      <c r="D1208" s="2" t="s">
        <v>9</v>
      </c>
      <c r="E1208" s="2">
        <v>282</v>
      </c>
      <c r="F1208" s="2">
        <v>5776.19</v>
      </c>
    </row>
    <row r="1209" spans="3:6" x14ac:dyDescent="0.25">
      <c r="C1209" s="2" t="s">
        <v>16400</v>
      </c>
      <c r="D1209" s="2" t="s">
        <v>9</v>
      </c>
      <c r="E1209" s="2">
        <v>141</v>
      </c>
      <c r="F1209" s="2">
        <v>2830.61</v>
      </c>
    </row>
    <row r="1210" spans="3:6" x14ac:dyDescent="0.25">
      <c r="C1210" s="2" t="s">
        <v>16401</v>
      </c>
      <c r="D1210" s="2" t="s">
        <v>9</v>
      </c>
      <c r="E1210" s="2">
        <v>75</v>
      </c>
      <c r="F1210" s="2">
        <v>1565.78</v>
      </c>
    </row>
    <row r="1211" spans="3:6" x14ac:dyDescent="0.25">
      <c r="C1211" s="2" t="s">
        <v>16402</v>
      </c>
      <c r="D1211" s="2" t="s">
        <v>9</v>
      </c>
      <c r="E1211" s="2">
        <v>90</v>
      </c>
      <c r="F1211" s="2">
        <v>381.8</v>
      </c>
    </row>
    <row r="1212" spans="3:6" x14ac:dyDescent="0.25">
      <c r="C1212" s="2" t="s">
        <v>16403</v>
      </c>
      <c r="D1212" s="2" t="s">
        <v>9</v>
      </c>
      <c r="E1212" s="2">
        <v>282</v>
      </c>
      <c r="F1212" s="2">
        <v>5907.73</v>
      </c>
    </row>
    <row r="1213" spans="3:6" x14ac:dyDescent="0.25">
      <c r="C1213" s="2" t="s">
        <v>16404</v>
      </c>
      <c r="D1213" s="2" t="s">
        <v>9</v>
      </c>
      <c r="E1213" s="2">
        <v>141</v>
      </c>
      <c r="F1213" s="2">
        <v>3010.28</v>
      </c>
    </row>
    <row r="1214" spans="3:6" x14ac:dyDescent="0.25">
      <c r="C1214" s="2" t="s">
        <v>16405</v>
      </c>
      <c r="D1214" s="2" t="s">
        <v>9</v>
      </c>
      <c r="E1214" s="2">
        <v>75</v>
      </c>
      <c r="F1214" s="2">
        <v>304.94</v>
      </c>
    </row>
    <row r="1215" spans="3:6" x14ac:dyDescent="0.25">
      <c r="C1215" s="2" t="s">
        <v>16406</v>
      </c>
      <c r="D1215" s="2" t="s">
        <v>9</v>
      </c>
      <c r="E1215" s="2">
        <v>282</v>
      </c>
      <c r="F1215" s="2">
        <v>5757.418</v>
      </c>
    </row>
    <row r="1216" spans="3:6" x14ac:dyDescent="0.25">
      <c r="C1216" s="2" t="s">
        <v>16407</v>
      </c>
      <c r="D1216" s="2" t="s">
        <v>9</v>
      </c>
      <c r="E1216" s="2">
        <v>102</v>
      </c>
      <c r="F1216" s="2">
        <v>2100.63</v>
      </c>
    </row>
    <row r="1217" spans="3:6" x14ac:dyDescent="0.25">
      <c r="C1217" s="2" t="s">
        <v>16408</v>
      </c>
      <c r="D1217" s="2" t="s">
        <v>9</v>
      </c>
      <c r="E1217" s="2">
        <v>141</v>
      </c>
      <c r="F1217" s="2">
        <v>2615.529</v>
      </c>
    </row>
    <row r="1218" spans="3:6" x14ac:dyDescent="0.25">
      <c r="C1218" s="2" t="s">
        <v>16295</v>
      </c>
      <c r="D1218" s="2" t="s">
        <v>9</v>
      </c>
      <c r="E1218" s="2">
        <v>141</v>
      </c>
      <c r="F1218" s="2" t="s">
        <v>8758</v>
      </c>
    </row>
    <row r="1219" spans="3:6" x14ac:dyDescent="0.25">
      <c r="C1219" s="2" t="s">
        <v>16304</v>
      </c>
      <c r="D1219" s="2" t="s">
        <v>9</v>
      </c>
      <c r="E1219" s="2">
        <v>110</v>
      </c>
      <c r="F1219" s="2" t="s">
        <v>8758</v>
      </c>
    </row>
    <row r="1220" spans="3:6" x14ac:dyDescent="0.25">
      <c r="C1220" s="2" t="s">
        <v>16305</v>
      </c>
      <c r="D1220" s="2" t="s">
        <v>9</v>
      </c>
      <c r="E1220" s="2">
        <v>31</v>
      </c>
      <c r="F1220" s="2" t="s">
        <v>8758</v>
      </c>
    </row>
    <row r="1221" spans="3:6" x14ac:dyDescent="0.25">
      <c r="C1221" s="2" t="s">
        <v>16409</v>
      </c>
      <c r="D1221" s="2" t="s">
        <v>9</v>
      </c>
      <c r="E1221" s="2">
        <v>141</v>
      </c>
      <c r="F1221" s="2">
        <v>2816.818</v>
      </c>
    </row>
    <row r="1222" spans="3:6" x14ac:dyDescent="0.25">
      <c r="C1222" s="2" t="s">
        <v>16410</v>
      </c>
      <c r="D1222" s="2" t="s">
        <v>9</v>
      </c>
      <c r="E1222" s="2">
        <v>80</v>
      </c>
      <c r="F1222" s="2">
        <v>1515.09</v>
      </c>
    </row>
    <row r="1223" spans="3:6" x14ac:dyDescent="0.25">
      <c r="C1223" s="2" t="s">
        <v>16411</v>
      </c>
      <c r="D1223" s="2" t="s">
        <v>9</v>
      </c>
      <c r="E1223" s="2">
        <v>61</v>
      </c>
      <c r="F1223" s="2">
        <v>1144.21</v>
      </c>
    </row>
    <row r="1224" spans="3:6" x14ac:dyDescent="0.25">
      <c r="C1224" s="2" t="s">
        <v>16412</v>
      </c>
      <c r="D1224" s="2" t="s">
        <v>9</v>
      </c>
      <c r="E1224" s="2">
        <v>95</v>
      </c>
      <c r="F1224" s="2">
        <v>1858.129</v>
      </c>
    </row>
    <row r="1225" spans="3:6" x14ac:dyDescent="0.25">
      <c r="C1225" s="2" t="s">
        <v>16413</v>
      </c>
      <c r="D1225" s="2" t="s">
        <v>9</v>
      </c>
      <c r="E1225" s="2">
        <v>47</v>
      </c>
      <c r="F1225" s="2">
        <v>848.367</v>
      </c>
    </row>
    <row r="1226" spans="3:6" x14ac:dyDescent="0.25">
      <c r="C1226" s="2" t="s">
        <v>16414</v>
      </c>
      <c r="D1226" s="2" t="s">
        <v>9</v>
      </c>
      <c r="E1226" s="2">
        <v>83</v>
      </c>
      <c r="F1226" s="2">
        <v>1658.91</v>
      </c>
    </row>
    <row r="1227" spans="3:6" x14ac:dyDescent="0.25">
      <c r="C1227" s="2" t="s">
        <v>16415</v>
      </c>
      <c r="D1227" s="2" t="s">
        <v>9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120</v>
      </c>
      <c r="C1229" s="2" t="s">
        <v>16416</v>
      </c>
      <c r="D1229" s="2" t="s">
        <v>122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16417</v>
      </c>
      <c r="D1230" s="2" t="s">
        <v>122</v>
      </c>
      <c r="E1230" s="2">
        <v>103</v>
      </c>
      <c r="F1230" s="2">
        <v>1405.111</v>
      </c>
    </row>
    <row r="1231" spans="3:6" x14ac:dyDescent="0.25">
      <c r="C1231" s="2" t="s">
        <v>16418</v>
      </c>
      <c r="D1231" s="2" t="s">
        <v>122</v>
      </c>
      <c r="E1231" s="2">
        <f>2+59+1+6</f>
        <v>68</v>
      </c>
      <c r="F1231" s="2" t="s">
        <v>8758</v>
      </c>
    </row>
    <row r="1232" spans="3:6" x14ac:dyDescent="0.25">
      <c r="C1232" s="2" t="s">
        <v>16419</v>
      </c>
      <c r="D1232" s="2" t="s">
        <v>122</v>
      </c>
      <c r="E1232" s="2">
        <v>77</v>
      </c>
      <c r="F1232" s="2" t="s">
        <v>8758</v>
      </c>
    </row>
    <row r="1233" spans="3:6" x14ac:dyDescent="0.25">
      <c r="C1233" s="2" t="s">
        <v>16420</v>
      </c>
      <c r="D1233" s="2" t="s">
        <v>122</v>
      </c>
      <c r="E1233" s="2">
        <v>98</v>
      </c>
      <c r="F1233" s="2">
        <v>2315.908</v>
      </c>
    </row>
    <row r="1234" spans="3:6" x14ac:dyDescent="0.25">
      <c r="C1234" s="2" t="s">
        <v>16421</v>
      </c>
      <c r="D1234" s="2" t="s">
        <v>122</v>
      </c>
      <c r="E1234" s="2">
        <v>143</v>
      </c>
      <c r="F1234" s="2">
        <v>640.896</v>
      </c>
    </row>
    <row r="1235" spans="3:6" x14ac:dyDescent="0.25">
      <c r="C1235" s="2" t="s">
        <v>16422</v>
      </c>
      <c r="D1235" s="2" t="s">
        <v>122</v>
      </c>
      <c r="E1235" s="2">
        <v>144</v>
      </c>
      <c r="F1235" s="2">
        <v>1470.104</v>
      </c>
    </row>
    <row r="1236" spans="3:6" x14ac:dyDescent="0.25">
      <c r="C1236" s="2" t="s">
        <v>16423</v>
      </c>
      <c r="D1236" s="2" t="s">
        <v>122</v>
      </c>
      <c r="E1236" s="2">
        <v>101</v>
      </c>
      <c r="F1236" s="2">
        <v>2019.971</v>
      </c>
    </row>
    <row r="1237" spans="3:6" x14ac:dyDescent="0.25">
      <c r="C1237" s="2" t="s">
        <v>16424</v>
      </c>
      <c r="D1237" s="2" t="s">
        <v>122</v>
      </c>
      <c r="E1237" s="2">
        <v>37</v>
      </c>
      <c r="F1237" s="2">
        <v>723.28</v>
      </c>
    </row>
    <row r="1238" spans="3:6" x14ac:dyDescent="0.25">
      <c r="C1238" s="2" t="s">
        <v>16425</v>
      </c>
      <c r="D1238" s="2" t="s">
        <v>122</v>
      </c>
      <c r="E1238" s="2">
        <v>53</v>
      </c>
      <c r="F1238" s="2">
        <v>1081.89</v>
      </c>
    </row>
    <row r="1239" spans="3:6" x14ac:dyDescent="0.25">
      <c r="C1239" s="2" t="s">
        <v>16426</v>
      </c>
      <c r="D1239" s="2" t="s">
        <v>122</v>
      </c>
      <c r="E1239" s="2">
        <v>31</v>
      </c>
      <c r="F1239" s="2">
        <v>677.31</v>
      </c>
    </row>
    <row r="1240" spans="3:6" x14ac:dyDescent="0.25">
      <c r="C1240" s="2" t="s">
        <v>16427</v>
      </c>
      <c r="D1240" s="2" t="s">
        <v>122</v>
      </c>
      <c r="E1240" s="2">
        <v>48</v>
      </c>
      <c r="F1240" s="2">
        <v>917.02</v>
      </c>
    </row>
    <row r="1241" spans="3:6" x14ac:dyDescent="0.25">
      <c r="C1241" s="2" t="s">
        <v>16428</v>
      </c>
      <c r="D1241" s="2" t="s">
        <v>122</v>
      </c>
      <c r="E1241" s="2">
        <v>31</v>
      </c>
      <c r="F1241" s="2">
        <v>568.33</v>
      </c>
    </row>
    <row r="1242" spans="3:6" x14ac:dyDescent="0.25">
      <c r="C1242" s="2" t="s">
        <v>16429</v>
      </c>
      <c r="D1242" s="2" t="s">
        <v>122</v>
      </c>
      <c r="E1242" s="2">
        <v>42</v>
      </c>
      <c r="F1242" s="2">
        <v>896.18</v>
      </c>
    </row>
    <row r="1243" spans="3:6" x14ac:dyDescent="0.25">
      <c r="C1243" s="2" t="s">
        <v>16430</v>
      </c>
      <c r="D1243" s="2" t="s">
        <v>122</v>
      </c>
      <c r="E1243" s="2">
        <v>83</v>
      </c>
      <c r="F1243" s="2">
        <v>1737.369</v>
      </c>
    </row>
    <row r="1244" spans="3:6" x14ac:dyDescent="0.25">
      <c r="C1244" s="2" t="s">
        <v>16431</v>
      </c>
      <c r="D1244" s="2" t="s">
        <v>122</v>
      </c>
      <c r="E1244" s="2">
        <v>50</v>
      </c>
      <c r="F1244" s="2">
        <v>996.529</v>
      </c>
    </row>
    <row r="1245" spans="3:6" x14ac:dyDescent="0.25">
      <c r="C1245" s="2" t="s">
        <v>16432</v>
      </c>
      <c r="D1245" s="2" t="s">
        <v>122</v>
      </c>
      <c r="E1245" s="2">
        <v>55</v>
      </c>
      <c r="F1245" s="2">
        <v>1160.95</v>
      </c>
    </row>
    <row r="1246" spans="3:6" x14ac:dyDescent="0.25">
      <c r="C1246" s="2" t="s">
        <v>16433</v>
      </c>
      <c r="D1246" s="2" t="s">
        <v>122</v>
      </c>
      <c r="E1246" s="2">
        <v>44</v>
      </c>
      <c r="F1246" s="2">
        <v>884.99</v>
      </c>
    </row>
    <row r="1247" spans="3:6" x14ac:dyDescent="0.25">
      <c r="C1247" s="2" t="s">
        <v>16434</v>
      </c>
      <c r="D1247" s="2" t="s">
        <v>122</v>
      </c>
      <c r="E1247" s="2">
        <v>42</v>
      </c>
      <c r="F1247" s="2">
        <v>754.77</v>
      </c>
    </row>
    <row r="1248" spans="3:6" x14ac:dyDescent="0.25">
      <c r="C1248" s="2" t="s">
        <v>16435</v>
      </c>
      <c r="D1248" s="2" t="s">
        <v>122</v>
      </c>
      <c r="E1248" s="2">
        <v>40</v>
      </c>
      <c r="F1248" s="2">
        <v>867.15</v>
      </c>
    </row>
    <row r="1249" spans="3:6" x14ac:dyDescent="0.25">
      <c r="C1249" s="2" t="s">
        <v>16436</v>
      </c>
      <c r="D1249" s="2" t="s">
        <v>122</v>
      </c>
      <c r="E1249" s="2">
        <v>30</v>
      </c>
      <c r="F1249" s="2">
        <v>621.64</v>
      </c>
    </row>
    <row r="1250" spans="3:6" x14ac:dyDescent="0.25">
      <c r="C1250" s="2" t="s">
        <v>16437</v>
      </c>
      <c r="D1250" s="2" t="s">
        <v>122</v>
      </c>
      <c r="E1250" s="2">
        <v>22</v>
      </c>
      <c r="F1250" s="2">
        <v>442.82</v>
      </c>
    </row>
    <row r="1251" spans="3:6" x14ac:dyDescent="0.25">
      <c r="C1251" s="2" t="s">
        <v>16438</v>
      </c>
      <c r="D1251" s="2" t="s">
        <v>122</v>
      </c>
      <c r="E1251" s="2">
        <v>49</v>
      </c>
      <c r="F1251" s="2">
        <v>1018.31</v>
      </c>
    </row>
    <row r="1252" spans="3:6" x14ac:dyDescent="0.25">
      <c r="C1252" s="2" t="s">
        <v>16439</v>
      </c>
      <c r="D1252" s="2" t="s">
        <v>122</v>
      </c>
      <c r="E1252" s="2">
        <v>45</v>
      </c>
      <c r="F1252" s="2">
        <v>846.44</v>
      </c>
    </row>
    <row r="1253" spans="3:6" x14ac:dyDescent="0.25">
      <c r="C1253" s="2" t="s">
        <v>16440</v>
      </c>
      <c r="D1253" s="2" t="s">
        <v>122</v>
      </c>
      <c r="E1253" s="2">
        <v>41</v>
      </c>
      <c r="F1253" s="2">
        <v>825.429</v>
      </c>
    </row>
    <row r="1254" spans="3:6" x14ac:dyDescent="0.25">
      <c r="C1254" s="2" t="s">
        <v>16441</v>
      </c>
      <c r="D1254" s="2" t="s">
        <v>122</v>
      </c>
      <c r="E1254" s="2">
        <v>14</v>
      </c>
      <c r="F1254" s="2">
        <v>290.06</v>
      </c>
    </row>
    <row r="1255" spans="3:6" x14ac:dyDescent="0.25">
      <c r="C1255" s="2" t="s">
        <v>16442</v>
      </c>
      <c r="D1255" s="2" t="s">
        <v>122</v>
      </c>
      <c r="E1255" s="2">
        <v>50</v>
      </c>
      <c r="F1255" s="2">
        <v>1392.9</v>
      </c>
    </row>
    <row r="1256" spans="3:6" x14ac:dyDescent="0.25">
      <c r="C1256" s="2" t="s">
        <v>16443</v>
      </c>
      <c r="D1256" s="2" t="s">
        <v>122</v>
      </c>
      <c r="E1256" s="2">
        <v>50</v>
      </c>
      <c r="F1256" s="2">
        <v>1370.23</v>
      </c>
    </row>
    <row r="1257" spans="3:6" x14ac:dyDescent="0.25">
      <c r="C1257" s="2" t="s">
        <v>16444</v>
      </c>
      <c r="D1257" s="2" t="s">
        <v>122</v>
      </c>
      <c r="E1257" s="2">
        <v>85</v>
      </c>
      <c r="F1257" s="2">
        <v>1634.646</v>
      </c>
    </row>
    <row r="1258" spans="3:6" x14ac:dyDescent="0.25">
      <c r="C1258" s="2" t="s">
        <v>16445</v>
      </c>
      <c r="D1258" s="2" t="s">
        <v>122</v>
      </c>
      <c r="E1258" s="2">
        <v>36</v>
      </c>
      <c r="F1258" s="2">
        <v>748.15</v>
      </c>
    </row>
    <row r="1259" spans="3:6" x14ac:dyDescent="0.25">
      <c r="C1259" s="2" t="s">
        <v>16446</v>
      </c>
      <c r="D1259" s="2" t="s">
        <v>122</v>
      </c>
      <c r="E1259" s="2">
        <v>39</v>
      </c>
      <c r="F1259" s="2">
        <v>299.856</v>
      </c>
    </row>
    <row r="1260" spans="3:6" x14ac:dyDescent="0.25">
      <c r="C1260" s="2" t="s">
        <v>16447</v>
      </c>
      <c r="D1260" s="2" t="s">
        <v>122</v>
      </c>
      <c r="E1260" s="2">
        <v>40</v>
      </c>
      <c r="F1260" s="2">
        <v>838.22</v>
      </c>
    </row>
    <row r="1261" spans="3:6" x14ac:dyDescent="0.25">
      <c r="C1261" s="2" t="s">
        <v>16448</v>
      </c>
      <c r="D1261" s="2" t="s">
        <v>122</v>
      </c>
      <c r="E1261" s="2">
        <v>34</v>
      </c>
      <c r="F1261" s="2">
        <v>669.689</v>
      </c>
    </row>
    <row r="1262" spans="3:6" x14ac:dyDescent="0.25">
      <c r="C1262" s="2" t="s">
        <v>16449</v>
      </c>
      <c r="D1262" s="2" t="s">
        <v>122</v>
      </c>
      <c r="E1262" s="2">
        <v>53</v>
      </c>
      <c r="F1262" s="2">
        <v>1047.73</v>
      </c>
    </row>
    <row r="1263" spans="3:6" x14ac:dyDescent="0.25">
      <c r="C1263" s="2" t="s">
        <v>16450</v>
      </c>
      <c r="D1263" s="2" t="s">
        <v>122</v>
      </c>
      <c r="E1263" s="2">
        <v>30</v>
      </c>
      <c r="F1263" s="2">
        <v>629.42</v>
      </c>
    </row>
    <row r="1264" spans="3:6" x14ac:dyDescent="0.25">
      <c r="C1264" s="2" t="s">
        <v>16451</v>
      </c>
      <c r="D1264" s="2" t="s">
        <v>122</v>
      </c>
      <c r="E1264" s="2">
        <v>23</v>
      </c>
      <c r="F1264" s="2">
        <v>457</v>
      </c>
    </row>
    <row r="1265" spans="3:6" x14ac:dyDescent="0.25">
      <c r="C1265" s="2" t="s">
        <v>16452</v>
      </c>
      <c r="D1265" s="2" t="s">
        <v>122</v>
      </c>
      <c r="E1265" s="2">
        <v>23</v>
      </c>
      <c r="F1265" s="2">
        <v>457.27</v>
      </c>
    </row>
    <row r="1266" spans="3:6" x14ac:dyDescent="0.25">
      <c r="C1266" s="2" t="s">
        <v>16453</v>
      </c>
      <c r="D1266" s="2" t="s">
        <v>122</v>
      </c>
      <c r="E1266" s="2">
        <v>12</v>
      </c>
      <c r="F1266" s="2">
        <v>252.2</v>
      </c>
    </row>
    <row r="1267" spans="3:6" x14ac:dyDescent="0.25">
      <c r="C1267" s="2" t="s">
        <v>16454</v>
      </c>
      <c r="D1267" s="2" t="s">
        <v>122</v>
      </c>
      <c r="E1267" s="2">
        <v>89</v>
      </c>
      <c r="F1267" s="2">
        <v>1839.45</v>
      </c>
    </row>
    <row r="1268" spans="3:6" x14ac:dyDescent="0.25">
      <c r="C1268" s="2" t="s">
        <v>16455</v>
      </c>
      <c r="D1268" s="2" t="s">
        <v>122</v>
      </c>
      <c r="E1268" s="2">
        <v>52</v>
      </c>
      <c r="F1268" s="2">
        <v>1101.54</v>
      </c>
    </row>
    <row r="1269" spans="3:6" x14ac:dyDescent="0.25">
      <c r="C1269" s="2" t="s">
        <v>16456</v>
      </c>
      <c r="D1269" s="2" t="s">
        <v>122</v>
      </c>
      <c r="E1269" s="2">
        <v>87</v>
      </c>
      <c r="F1269" s="2">
        <v>1812.54</v>
      </c>
    </row>
    <row r="1270" spans="3:6" x14ac:dyDescent="0.25">
      <c r="C1270" s="2" t="s">
        <v>16457</v>
      </c>
      <c r="D1270" s="2" t="s">
        <v>122</v>
      </c>
      <c r="E1270" s="2">
        <v>25</v>
      </c>
      <c r="F1270" s="2">
        <v>512.83</v>
      </c>
    </row>
    <row r="1271" spans="3:6" x14ac:dyDescent="0.25">
      <c r="C1271" s="2" t="s">
        <v>16458</v>
      </c>
      <c r="D1271" s="2" t="s">
        <v>122</v>
      </c>
      <c r="E1271" s="2">
        <v>16</v>
      </c>
      <c r="F1271" s="2">
        <v>306.56</v>
      </c>
    </row>
    <row r="1272" spans="3:6" x14ac:dyDescent="0.25">
      <c r="C1272" s="2" t="s">
        <v>16459</v>
      </c>
      <c r="D1272" s="2" t="s">
        <v>122</v>
      </c>
      <c r="E1272" s="2">
        <v>13</v>
      </c>
      <c r="F1272" s="2">
        <v>245.95</v>
      </c>
    </row>
    <row r="1273" spans="3:6" x14ac:dyDescent="0.25">
      <c r="C1273" s="2" t="s">
        <v>16460</v>
      </c>
      <c r="D1273" s="2" t="s">
        <v>122</v>
      </c>
      <c r="E1273" s="2">
        <v>80</v>
      </c>
      <c r="F1273" s="2">
        <v>1538.17</v>
      </c>
    </row>
    <row r="1274" spans="3:6" x14ac:dyDescent="0.25">
      <c r="C1274" s="2" t="s">
        <v>16461</v>
      </c>
      <c r="D1274" s="2" t="s">
        <v>122</v>
      </c>
      <c r="E1274" s="2">
        <v>20</v>
      </c>
      <c r="F1274" s="2">
        <v>387.31</v>
      </c>
    </row>
    <row r="1275" spans="3:6" x14ac:dyDescent="0.25">
      <c r="C1275" s="2" t="s">
        <v>16462</v>
      </c>
      <c r="D1275" s="2" t="s">
        <v>122</v>
      </c>
      <c r="E1275" s="2">
        <v>55</v>
      </c>
      <c r="F1275" s="2">
        <v>1141.18</v>
      </c>
    </row>
    <row r="1276" spans="3:6" x14ac:dyDescent="0.25">
      <c r="C1276" s="2" t="s">
        <v>16463</v>
      </c>
      <c r="D1276" s="2" t="s">
        <v>122</v>
      </c>
      <c r="E1276" s="2">
        <v>36</v>
      </c>
      <c r="F1276" s="2">
        <v>771.63</v>
      </c>
    </row>
    <row r="1277" spans="3:6" x14ac:dyDescent="0.25">
      <c r="C1277" s="2" t="s">
        <v>16464</v>
      </c>
      <c r="D1277" s="2" t="s">
        <v>122</v>
      </c>
      <c r="E1277" s="2" t="s">
        <v>8758</v>
      </c>
      <c r="F1277" s="2" t="s">
        <v>8758</v>
      </c>
    </row>
    <row r="1278" spans="3:6" x14ac:dyDescent="0.25">
      <c r="C1278" s="2" t="s">
        <v>16465</v>
      </c>
      <c r="D1278" s="2" t="s">
        <v>122</v>
      </c>
      <c r="E1278" s="2">
        <v>54</v>
      </c>
      <c r="F1278" s="2">
        <v>958.99</v>
      </c>
    </row>
    <row r="1279" spans="3:6" x14ac:dyDescent="0.25">
      <c r="C1279" s="2" t="s">
        <v>16466</v>
      </c>
      <c r="D1279" s="2" t="s">
        <v>122</v>
      </c>
      <c r="E1279" s="2">
        <v>21</v>
      </c>
      <c r="F1279" s="2">
        <v>412.22</v>
      </c>
    </row>
    <row r="1280" spans="3:6" x14ac:dyDescent="0.25">
      <c r="C1280" s="2" t="s">
        <v>16467</v>
      </c>
      <c r="D1280" s="2" t="s">
        <v>122</v>
      </c>
      <c r="E1280" s="2" t="s">
        <v>8758</v>
      </c>
      <c r="F1280" s="2" t="s">
        <v>8758</v>
      </c>
    </row>
    <row r="1282" spans="1:7" x14ac:dyDescent="0.25">
      <c r="A1282" s="1">
        <v>46125</v>
      </c>
      <c r="B1282" s="2" t="s">
        <v>90</v>
      </c>
      <c r="C1282" s="2" t="s">
        <v>16096</v>
      </c>
      <c r="D1282" s="2" t="s">
        <v>42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16468</v>
      </c>
      <c r="D1283" s="2" t="s">
        <v>42</v>
      </c>
      <c r="E1283" s="2">
        <v>75</v>
      </c>
      <c r="F1283" s="2">
        <v>401.36</v>
      </c>
    </row>
    <row r="1284" spans="3:6" x14ac:dyDescent="0.25">
      <c r="C1284" s="2" t="s">
        <v>16469</v>
      </c>
      <c r="D1284" s="2" t="s">
        <v>42</v>
      </c>
      <c r="E1284" s="2">
        <v>74</v>
      </c>
      <c r="F1284" s="2">
        <v>1518.78</v>
      </c>
    </row>
    <row r="1285" spans="3:6" x14ac:dyDescent="0.25">
      <c r="C1285" s="2" t="s">
        <v>16470</v>
      </c>
      <c r="D1285" s="2" t="s">
        <v>42</v>
      </c>
      <c r="E1285" s="2">
        <v>17</v>
      </c>
      <c r="F1285" s="2">
        <v>314.11</v>
      </c>
    </row>
    <row r="1286" spans="3:6" x14ac:dyDescent="0.25">
      <c r="C1286" s="2" t="s">
        <v>16471</v>
      </c>
      <c r="D1286" s="2" t="s">
        <v>42</v>
      </c>
      <c r="E1286" s="2">
        <v>141</v>
      </c>
      <c r="F1286" s="2">
        <v>2873.329</v>
      </c>
    </row>
    <row r="1287" spans="3:6" x14ac:dyDescent="0.25">
      <c r="C1287" s="2" t="s">
        <v>16472</v>
      </c>
      <c r="D1287" s="2" t="s">
        <v>42</v>
      </c>
      <c r="E1287" s="2">
        <v>30</v>
      </c>
      <c r="F1287" s="2">
        <v>159.43</v>
      </c>
    </row>
    <row r="1288" spans="3:6" x14ac:dyDescent="0.25">
      <c r="C1288" s="2" t="s">
        <v>16473</v>
      </c>
      <c r="D1288" s="2" t="s">
        <v>42</v>
      </c>
      <c r="E1288" s="2">
        <v>17</v>
      </c>
      <c r="F1288" s="2">
        <v>330.64</v>
      </c>
    </row>
    <row r="1289" spans="3:6" x14ac:dyDescent="0.25">
      <c r="C1289" s="2" t="s">
        <v>16474</v>
      </c>
      <c r="D1289" s="2" t="s">
        <v>42</v>
      </c>
      <c r="E1289" s="2">
        <v>100</v>
      </c>
      <c r="F1289" s="2">
        <v>2069.92</v>
      </c>
    </row>
    <row r="1290" spans="3:6" x14ac:dyDescent="0.25">
      <c r="C1290" s="2" t="s">
        <v>16475</v>
      </c>
      <c r="D1290" s="2" t="s">
        <v>42</v>
      </c>
      <c r="E1290" s="2">
        <v>66</v>
      </c>
      <c r="F1290" s="2">
        <v>1305.665</v>
      </c>
    </row>
    <row r="1291" spans="3:6" x14ac:dyDescent="0.25">
      <c r="C1291" s="2" t="s">
        <v>16476</v>
      </c>
      <c r="D1291" s="2" t="s">
        <v>42</v>
      </c>
      <c r="E1291" s="2">
        <v>10</v>
      </c>
      <c r="F1291" s="2">
        <v>193.83</v>
      </c>
    </row>
    <row r="1292" spans="3:6" x14ac:dyDescent="0.25">
      <c r="C1292" s="2" t="s">
        <v>16477</v>
      </c>
      <c r="D1292" s="2" t="s">
        <v>42</v>
      </c>
      <c r="E1292" s="2">
        <v>141</v>
      </c>
      <c r="F1292" s="2">
        <v>2823.38</v>
      </c>
    </row>
    <row r="1293" spans="3:6" x14ac:dyDescent="0.25">
      <c r="C1293" s="2" t="s">
        <v>16478</v>
      </c>
      <c r="D1293" s="2" t="s">
        <v>42</v>
      </c>
      <c r="E1293" s="2">
        <v>107</v>
      </c>
      <c r="F1293" s="2">
        <v>2026.227</v>
      </c>
    </row>
    <row r="1294" spans="3:6" x14ac:dyDescent="0.25">
      <c r="C1294" s="2" t="s">
        <v>16479</v>
      </c>
      <c r="D1294" s="2" t="s">
        <v>42</v>
      </c>
      <c r="E1294" s="2">
        <v>35</v>
      </c>
      <c r="F1294" s="2">
        <v>712.93</v>
      </c>
    </row>
    <row r="1295" spans="3:6" x14ac:dyDescent="0.25">
      <c r="C1295" s="2" t="s">
        <v>16480</v>
      </c>
      <c r="D1295" s="2" t="s">
        <v>42</v>
      </c>
      <c r="E1295" s="2">
        <v>74</v>
      </c>
      <c r="F1295" s="2">
        <v>1495.11</v>
      </c>
    </row>
    <row r="1296" spans="3:6" x14ac:dyDescent="0.25">
      <c r="C1296" s="2" t="s">
        <v>16481</v>
      </c>
      <c r="D1296" s="2" t="s">
        <v>42</v>
      </c>
      <c r="E1296" s="2">
        <v>75</v>
      </c>
      <c r="F1296" s="2">
        <v>400.98</v>
      </c>
    </row>
    <row r="1297" spans="3:6" x14ac:dyDescent="0.25">
      <c r="C1297" s="2" t="s">
        <v>16482</v>
      </c>
      <c r="D1297" s="2" t="s">
        <v>42</v>
      </c>
      <c r="E1297" s="2">
        <v>120</v>
      </c>
      <c r="F1297" s="2">
        <v>2503.109</v>
      </c>
    </row>
    <row r="1298" spans="3:6" x14ac:dyDescent="0.25">
      <c r="C1298" s="2" t="s">
        <v>16483</v>
      </c>
      <c r="D1298" s="2" t="s">
        <v>42</v>
      </c>
      <c r="E1298" s="2">
        <v>30</v>
      </c>
      <c r="F1298" s="2">
        <v>589.9</v>
      </c>
    </row>
    <row r="1299" spans="3:6" x14ac:dyDescent="0.25">
      <c r="C1299" s="2" t="s">
        <v>16484</v>
      </c>
      <c r="D1299" s="2" t="s">
        <v>42</v>
      </c>
      <c r="E1299" s="2">
        <v>141</v>
      </c>
      <c r="F1299" s="2">
        <v>2941.64</v>
      </c>
    </row>
    <row r="1300" spans="3:6" x14ac:dyDescent="0.25">
      <c r="C1300" s="2" t="s">
        <v>16485</v>
      </c>
      <c r="D1300" s="2" t="s">
        <v>42</v>
      </c>
      <c r="E1300" s="2">
        <v>88</v>
      </c>
      <c r="F1300" s="2">
        <v>1749.62</v>
      </c>
    </row>
    <row r="1301" spans="3:6" x14ac:dyDescent="0.25">
      <c r="C1301" s="2" t="s">
        <v>16486</v>
      </c>
      <c r="D1301" s="2" t="s">
        <v>42</v>
      </c>
      <c r="E1301" s="2">
        <v>65</v>
      </c>
      <c r="F1301" s="2">
        <v>1306.35</v>
      </c>
    </row>
    <row r="1302" spans="3:6" x14ac:dyDescent="0.25">
      <c r="C1302" s="2" t="s">
        <v>16487</v>
      </c>
      <c r="D1302" s="2" t="s">
        <v>42</v>
      </c>
      <c r="E1302" s="2">
        <v>134</v>
      </c>
      <c r="F1302" s="2">
        <v>2720.3</v>
      </c>
    </row>
    <row r="1303" spans="3:6" x14ac:dyDescent="0.25">
      <c r="C1303" s="2" t="s">
        <v>16488</v>
      </c>
      <c r="D1303" s="2" t="s">
        <v>42</v>
      </c>
      <c r="E1303" s="2">
        <v>123</v>
      </c>
      <c r="F1303" s="2">
        <v>2391</v>
      </c>
    </row>
    <row r="1304" spans="3:6" x14ac:dyDescent="0.25">
      <c r="C1304" s="2" t="s">
        <v>16489</v>
      </c>
      <c r="D1304" s="2" t="s">
        <v>42</v>
      </c>
      <c r="E1304" s="2">
        <v>85</v>
      </c>
      <c r="F1304" s="2">
        <v>1689.569</v>
      </c>
    </row>
    <row r="1305" spans="3:6" x14ac:dyDescent="0.25">
      <c r="C1305" s="2" t="s">
        <v>16490</v>
      </c>
      <c r="D1305" s="2" t="s">
        <v>42</v>
      </c>
      <c r="E1305" s="2">
        <v>88</v>
      </c>
      <c r="F1305" s="2">
        <v>1843.139</v>
      </c>
    </row>
    <row r="1306" spans="3:6" x14ac:dyDescent="0.25">
      <c r="C1306" s="2" t="s">
        <v>16491</v>
      </c>
      <c r="D1306" s="2" t="s">
        <v>42</v>
      </c>
      <c r="E1306" s="2">
        <v>10</v>
      </c>
      <c r="F1306" s="2">
        <v>197.96</v>
      </c>
    </row>
    <row r="1307" spans="3:6" x14ac:dyDescent="0.25">
      <c r="C1307" s="2" t="s">
        <v>16492</v>
      </c>
      <c r="D1307" s="2" t="s">
        <v>42</v>
      </c>
      <c r="E1307" s="2">
        <v>34</v>
      </c>
      <c r="F1307" s="2">
        <v>707.41</v>
      </c>
    </row>
    <row r="1308" spans="3:6" x14ac:dyDescent="0.25">
      <c r="C1308" s="2" t="s">
        <v>16493</v>
      </c>
      <c r="D1308" s="2" t="s">
        <v>42</v>
      </c>
      <c r="E1308" s="2">
        <v>21</v>
      </c>
      <c r="F1308" s="2">
        <v>438.4</v>
      </c>
    </row>
    <row r="1309" spans="3:6" x14ac:dyDescent="0.25">
      <c r="C1309" s="2" t="s">
        <v>16494</v>
      </c>
      <c r="D1309" s="2" t="s">
        <v>42</v>
      </c>
      <c r="E1309" s="2">
        <v>10</v>
      </c>
      <c r="F1309" s="2">
        <v>158.32</v>
      </c>
    </row>
    <row r="1310" spans="3:6" x14ac:dyDescent="0.25">
      <c r="C1310" s="2" t="s">
        <v>16495</v>
      </c>
      <c r="D1310" s="2" t="s">
        <v>42</v>
      </c>
      <c r="E1310" s="2">
        <v>13</v>
      </c>
      <c r="F1310" s="2">
        <v>214.02</v>
      </c>
    </row>
    <row r="1311" spans="3:6" x14ac:dyDescent="0.25">
      <c r="C1311" s="2" t="s">
        <v>16132</v>
      </c>
      <c r="D1311" s="2" t="s">
        <v>42</v>
      </c>
      <c r="E1311" s="2">
        <v>75</v>
      </c>
      <c r="F1311" s="2">
        <v>1099.856</v>
      </c>
    </row>
    <row r="1312" spans="3:6" x14ac:dyDescent="0.25">
      <c r="C1312" s="2" t="s">
        <v>16496</v>
      </c>
      <c r="D1312" s="2" t="s">
        <v>42</v>
      </c>
      <c r="E1312" s="2">
        <v>20</v>
      </c>
      <c r="F1312" s="2">
        <v>104.56</v>
      </c>
    </row>
    <row r="1313" spans="3:6" x14ac:dyDescent="0.25">
      <c r="C1313" s="2" t="s">
        <v>16497</v>
      </c>
      <c r="D1313" s="2" t="s">
        <v>42</v>
      </c>
      <c r="E1313" s="2">
        <v>34</v>
      </c>
      <c r="F1313" s="2">
        <v>712.45</v>
      </c>
    </row>
    <row r="1314" spans="3:6" x14ac:dyDescent="0.25">
      <c r="C1314" s="2" t="s">
        <v>16498</v>
      </c>
      <c r="D1314" s="2" t="s">
        <v>42</v>
      </c>
      <c r="E1314" s="2">
        <v>83</v>
      </c>
      <c r="F1314" s="2">
        <v>692.201</v>
      </c>
    </row>
    <row r="1315" spans="3:6" x14ac:dyDescent="0.25">
      <c r="C1315" s="2" t="s">
        <v>16499</v>
      </c>
      <c r="D1315" s="2" t="s">
        <v>42</v>
      </c>
      <c r="E1315" s="2">
        <v>67</v>
      </c>
      <c r="F1315" s="2">
        <v>1443.22</v>
      </c>
    </row>
    <row r="1316" spans="3:6" x14ac:dyDescent="0.25">
      <c r="C1316" s="2" t="s">
        <v>16500</v>
      </c>
      <c r="D1316" s="2" t="s">
        <v>42</v>
      </c>
      <c r="E1316" s="2">
        <v>80</v>
      </c>
      <c r="F1316" s="2">
        <v>1605.82</v>
      </c>
    </row>
    <row r="1317" spans="3:6" x14ac:dyDescent="0.25">
      <c r="C1317" s="2" t="s">
        <v>16501</v>
      </c>
      <c r="D1317" s="2" t="s">
        <v>42</v>
      </c>
      <c r="E1317" s="2">
        <v>141</v>
      </c>
      <c r="F1317" s="2">
        <v>2812.7</v>
      </c>
    </row>
    <row r="1318" spans="3:6" x14ac:dyDescent="0.25">
      <c r="C1318" s="2" t="s">
        <v>16502</v>
      </c>
      <c r="D1318" s="2" t="s">
        <v>42</v>
      </c>
      <c r="E1318" s="2">
        <v>114</v>
      </c>
      <c r="F1318" s="2">
        <v>1965.138</v>
      </c>
    </row>
    <row r="1319" spans="3:6" x14ac:dyDescent="0.25">
      <c r="C1319" s="2" t="s">
        <v>16503</v>
      </c>
      <c r="D1319" s="2" t="s">
        <v>42</v>
      </c>
      <c r="E1319" s="2">
        <v>42</v>
      </c>
      <c r="F1319" s="2">
        <v>833.18</v>
      </c>
    </row>
    <row r="1320" spans="3:6" x14ac:dyDescent="0.25">
      <c r="C1320" s="2" t="s">
        <v>16504</v>
      </c>
      <c r="D1320" s="2" t="s">
        <v>42</v>
      </c>
      <c r="E1320" s="2">
        <v>26</v>
      </c>
      <c r="F1320" s="2">
        <v>505.16</v>
      </c>
    </row>
    <row r="1321" spans="3:6" x14ac:dyDescent="0.25">
      <c r="C1321" s="2" t="s">
        <v>16095</v>
      </c>
      <c r="D1321" s="2" t="s">
        <v>42</v>
      </c>
      <c r="E1321" s="2">
        <v>86</v>
      </c>
      <c r="F1321" s="2">
        <v>1766.31</v>
      </c>
    </row>
    <row r="1322" spans="3:6" x14ac:dyDescent="0.25">
      <c r="C1322" s="2" t="s">
        <v>16505</v>
      </c>
      <c r="D1322" s="2" t="s">
        <v>42</v>
      </c>
      <c r="E1322" s="2">
        <v>67</v>
      </c>
      <c r="F1322" s="2">
        <v>1288.879</v>
      </c>
    </row>
    <row r="1323" spans="3:6" x14ac:dyDescent="0.25">
      <c r="C1323" s="2" t="s">
        <v>16506</v>
      </c>
      <c r="D1323" s="2" t="s">
        <v>42</v>
      </c>
      <c r="E1323" s="2">
        <v>141</v>
      </c>
      <c r="F1323" s="2">
        <v>2875.42</v>
      </c>
    </row>
    <row r="1324" spans="3:6" x14ac:dyDescent="0.25">
      <c r="C1324" s="2" t="s">
        <v>16507</v>
      </c>
      <c r="D1324" s="2" t="s">
        <v>42</v>
      </c>
      <c r="E1324" s="2">
        <v>141</v>
      </c>
      <c r="F1324" s="2">
        <v>2963.94</v>
      </c>
    </row>
    <row r="1325" spans="3:6" x14ac:dyDescent="0.25">
      <c r="C1325" s="2" t="s">
        <v>16508</v>
      </c>
      <c r="D1325" s="2" t="s">
        <v>42</v>
      </c>
      <c r="E1325" s="2">
        <v>141</v>
      </c>
      <c r="F1325" s="2">
        <v>3110</v>
      </c>
    </row>
    <row r="1326" spans="3:6" x14ac:dyDescent="0.25">
      <c r="C1326" s="2" t="s">
        <v>16509</v>
      </c>
      <c r="D1326" s="2" t="s">
        <v>42</v>
      </c>
      <c r="E1326" s="2">
        <v>79</v>
      </c>
      <c r="F1326" s="2">
        <v>999.05</v>
      </c>
    </row>
    <row r="1327" spans="3:6" x14ac:dyDescent="0.25">
      <c r="C1327" s="2" t="s">
        <v>16510</v>
      </c>
      <c r="D1327" s="2" t="s">
        <v>42</v>
      </c>
      <c r="E1327" s="2">
        <v>121</v>
      </c>
      <c r="F1327" s="2">
        <v>1921.032</v>
      </c>
    </row>
    <row r="1328" spans="3:6" x14ac:dyDescent="0.25">
      <c r="C1328" s="2" t="s">
        <v>16511</v>
      </c>
      <c r="D1328" s="2" t="s">
        <v>42</v>
      </c>
      <c r="E1328" s="2" t="s">
        <v>8758</v>
      </c>
      <c r="F1328" s="2" t="s">
        <v>8758</v>
      </c>
    </row>
    <row r="1330" spans="1:7" x14ac:dyDescent="0.25">
      <c r="A1330" s="1">
        <v>46125</v>
      </c>
      <c r="B1330" s="2" t="s">
        <v>375</v>
      </c>
      <c r="C1330" s="2" t="s">
        <v>16512</v>
      </c>
      <c r="D1330" s="2" t="s">
        <v>216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16513</v>
      </c>
      <c r="D1331" s="2" t="s">
        <v>297</v>
      </c>
      <c r="E1331" s="2">
        <v>156</v>
      </c>
      <c r="F1331" s="2">
        <v>3149</v>
      </c>
    </row>
    <row r="1332" spans="3:6" x14ac:dyDescent="0.25">
      <c r="C1332" s="2" t="s">
        <v>16514</v>
      </c>
      <c r="D1332" s="2" t="s">
        <v>297</v>
      </c>
      <c r="E1332" s="2">
        <v>156</v>
      </c>
      <c r="F1332" s="2">
        <v>3160</v>
      </c>
    </row>
    <row r="1333" spans="3:6" x14ac:dyDescent="0.25">
      <c r="C1333" s="2" t="s">
        <v>16515</v>
      </c>
      <c r="D1333" s="2" t="s">
        <v>204</v>
      </c>
      <c r="E1333" s="2">
        <v>105</v>
      </c>
      <c r="F1333" s="2">
        <v>1866</v>
      </c>
    </row>
    <row r="1334" spans="3:6" x14ac:dyDescent="0.25">
      <c r="C1334" s="2" t="s">
        <v>16516</v>
      </c>
      <c r="D1334" s="2" t="s">
        <v>204</v>
      </c>
      <c r="E1334" s="2">
        <v>105</v>
      </c>
      <c r="F1334" s="2">
        <v>2051</v>
      </c>
    </row>
    <row r="1335" spans="3:6" x14ac:dyDescent="0.25">
      <c r="C1335" s="2" t="s">
        <v>16517</v>
      </c>
      <c r="D1335" s="2" t="s">
        <v>214</v>
      </c>
      <c r="E1335" s="2">
        <v>156</v>
      </c>
      <c r="F1335" s="2">
        <v>2806</v>
      </c>
    </row>
    <row r="1336" spans="3:6" x14ac:dyDescent="0.25">
      <c r="C1336" s="2" t="s">
        <v>16518</v>
      </c>
      <c r="D1336" s="2" t="s">
        <v>214</v>
      </c>
      <c r="E1336" s="2">
        <v>156</v>
      </c>
      <c r="F1336" s="2">
        <v>2662</v>
      </c>
    </row>
    <row r="1338" spans="3:6" x14ac:dyDescent="0.25">
      <c r="C1338" s="2" t="s">
        <v>16519</v>
      </c>
      <c r="D1338" s="2" t="s">
        <v>342</v>
      </c>
      <c r="E1338" s="2">
        <v>128</v>
      </c>
      <c r="F1338" s="2">
        <v>2522.95</v>
      </c>
    </row>
    <row r="1339" spans="3:6" x14ac:dyDescent="0.25">
      <c r="C1339" s="2" t="s">
        <v>16520</v>
      </c>
      <c r="D1339" s="2" t="s">
        <v>342</v>
      </c>
      <c r="E1339" s="2">
        <v>28</v>
      </c>
      <c r="F1339" s="2">
        <v>513.599</v>
      </c>
    </row>
    <row r="1341" spans="3:6" x14ac:dyDescent="0.25">
      <c r="C1341" s="2" t="s">
        <v>16521</v>
      </c>
      <c r="D1341" s="2" t="s">
        <v>342</v>
      </c>
      <c r="E1341" s="2">
        <v>156</v>
      </c>
      <c r="F1341" s="2">
        <v>3034.2</v>
      </c>
    </row>
    <row r="1343" spans="3:6" x14ac:dyDescent="0.25">
      <c r="C1343" s="2" t="s">
        <v>16522</v>
      </c>
      <c r="D1343" s="2" t="s">
        <v>342</v>
      </c>
      <c r="E1343" s="2">
        <v>104</v>
      </c>
      <c r="F1343" s="2">
        <v>1921.14</v>
      </c>
    </row>
    <row r="1344" spans="3:6" x14ac:dyDescent="0.25">
      <c r="C1344" s="2" t="s">
        <v>16523</v>
      </c>
      <c r="D1344" s="2" t="s">
        <v>216</v>
      </c>
      <c r="E1344" s="2">
        <v>36</v>
      </c>
      <c r="F1344" s="2">
        <v>734.78</v>
      </c>
    </row>
    <row r="1345" spans="3:6" x14ac:dyDescent="0.25">
      <c r="C1345" s="2" t="s">
        <v>16524</v>
      </c>
      <c r="D1345" s="2" t="s">
        <v>216</v>
      </c>
      <c r="E1345" s="2">
        <v>33</v>
      </c>
      <c r="F1345" s="2">
        <v>569.42</v>
      </c>
    </row>
    <row r="1346" spans="3:6" x14ac:dyDescent="0.25">
      <c r="C1346" s="2" t="s">
        <v>16525</v>
      </c>
      <c r="D1346" s="2" t="s">
        <v>216</v>
      </c>
      <c r="E1346" s="2">
        <v>63</v>
      </c>
      <c r="F1346" s="2">
        <v>1219.65</v>
      </c>
    </row>
    <row r="1347" spans="3:6" x14ac:dyDescent="0.25">
      <c r="C1347" s="2" t="s">
        <v>16526</v>
      </c>
      <c r="D1347" s="2" t="s">
        <v>347</v>
      </c>
      <c r="E1347" s="2">
        <v>9</v>
      </c>
      <c r="F1347" s="2">
        <v>112</v>
      </c>
    </row>
    <row r="1348" spans="3:6" x14ac:dyDescent="0.25">
      <c r="C1348" s="2" t="s">
        <v>16527</v>
      </c>
      <c r="D1348" s="2" t="s">
        <v>347</v>
      </c>
      <c r="E1348" s="2">
        <v>100</v>
      </c>
      <c r="F1348" s="2">
        <v>1943.144</v>
      </c>
    </row>
    <row r="1349" spans="3:6" x14ac:dyDescent="0.25">
      <c r="C1349" s="2" t="s">
        <v>16528</v>
      </c>
      <c r="D1349" s="2" t="s">
        <v>347</v>
      </c>
      <c r="E1349" s="2">
        <v>31</v>
      </c>
      <c r="F1349" s="2">
        <v>624.844</v>
      </c>
    </row>
    <row r="1350" spans="3:6" x14ac:dyDescent="0.25">
      <c r="C1350" s="2" t="s">
        <v>16529</v>
      </c>
      <c r="D1350" s="2" t="s">
        <v>347</v>
      </c>
      <c r="E1350" s="2">
        <v>17</v>
      </c>
      <c r="F1350" s="2">
        <v>302.73</v>
      </c>
    </row>
    <row r="1351" spans="3:6" x14ac:dyDescent="0.25">
      <c r="C1351" s="2" t="s">
        <v>16530</v>
      </c>
      <c r="D1351" s="2" t="s">
        <v>204</v>
      </c>
      <c r="E1351" s="2">
        <v>156</v>
      </c>
      <c r="F1351" s="2">
        <v>3150.51</v>
      </c>
    </row>
    <row r="1352" spans="3:6" x14ac:dyDescent="0.25">
      <c r="C1352" s="2" t="s">
        <v>16531</v>
      </c>
      <c r="D1352" s="2" t="s">
        <v>342</v>
      </c>
      <c r="E1352" s="2">
        <v>52</v>
      </c>
      <c r="F1352" s="2">
        <v>936.57</v>
      </c>
    </row>
    <row r="1353" spans="3:6" x14ac:dyDescent="0.25">
      <c r="C1353" s="2" t="s">
        <v>16532</v>
      </c>
      <c r="D1353" s="2" t="s">
        <v>204</v>
      </c>
      <c r="E1353" s="2">
        <v>163</v>
      </c>
      <c r="F1353" s="2">
        <v>3171.729</v>
      </c>
    </row>
    <row r="1354" spans="3:6" x14ac:dyDescent="0.25">
      <c r="C1354" s="2" t="s">
        <v>16533</v>
      </c>
      <c r="D1354" s="2" t="s">
        <v>236</v>
      </c>
      <c r="E1354" s="2">
        <v>36</v>
      </c>
      <c r="F1354" s="2">
        <v>617.71</v>
      </c>
    </row>
    <row r="1355" spans="3:6" x14ac:dyDescent="0.25">
      <c r="C1355" s="2" t="s">
        <v>16534</v>
      </c>
      <c r="D1355" s="2" t="s">
        <v>236</v>
      </c>
      <c r="E1355" s="2">
        <v>60</v>
      </c>
      <c r="F1355" s="2">
        <v>1096.47</v>
      </c>
    </row>
    <row r="1356" spans="3:6" x14ac:dyDescent="0.25">
      <c r="C1356" s="2" t="s">
        <v>16535</v>
      </c>
      <c r="D1356" s="2" t="s">
        <v>236</v>
      </c>
      <c r="E1356" s="2">
        <v>60</v>
      </c>
      <c r="F1356" s="2">
        <v>1157.42</v>
      </c>
    </row>
    <row r="1357" spans="3:6" x14ac:dyDescent="0.25">
      <c r="C1357" s="2" t="s">
        <v>16536</v>
      </c>
      <c r="D1357" s="2" t="s">
        <v>204</v>
      </c>
      <c r="E1357" s="2">
        <v>163</v>
      </c>
      <c r="F1357" s="2">
        <v>3014.078</v>
      </c>
    </row>
    <row r="1358" spans="3:6" x14ac:dyDescent="0.25">
      <c r="C1358" s="2" t="s">
        <v>16537</v>
      </c>
      <c r="D1358" s="2" t="s">
        <v>216</v>
      </c>
      <c r="E1358" s="2">
        <v>134</v>
      </c>
      <c r="F1358" s="2">
        <v>2665.749</v>
      </c>
    </row>
    <row r="1359" spans="3:6" x14ac:dyDescent="0.25">
      <c r="C1359" s="2" t="s">
        <v>16538</v>
      </c>
      <c r="D1359" s="2" t="s">
        <v>216</v>
      </c>
      <c r="E1359" s="2">
        <v>134</v>
      </c>
      <c r="F1359" s="2">
        <v>2696.44</v>
      </c>
    </row>
    <row r="1360" spans="3:6" x14ac:dyDescent="0.25">
      <c r="C1360" s="2" t="s">
        <v>16539</v>
      </c>
      <c r="D1360" s="2" t="s">
        <v>216</v>
      </c>
      <c r="E1360" s="2">
        <v>134</v>
      </c>
      <c r="F1360" s="2">
        <v>2676.878</v>
      </c>
    </row>
    <row r="1361" spans="3:6" x14ac:dyDescent="0.25">
      <c r="C1361" s="2" t="s">
        <v>16540</v>
      </c>
      <c r="D1361" s="2" t="s">
        <v>216</v>
      </c>
      <c r="E1361" s="2">
        <v>134</v>
      </c>
      <c r="F1361" s="2">
        <v>2725.92</v>
      </c>
    </row>
    <row r="1362" spans="3:6" x14ac:dyDescent="0.25">
      <c r="C1362" s="2" t="s">
        <v>16541</v>
      </c>
      <c r="D1362" s="2" t="s">
        <v>216</v>
      </c>
      <c r="E1362" s="2">
        <v>134</v>
      </c>
      <c r="F1362" s="2">
        <v>2715.6</v>
      </c>
    </row>
    <row r="1363" spans="3:6" x14ac:dyDescent="0.25">
      <c r="C1363" s="2" t="s">
        <v>16542</v>
      </c>
      <c r="D1363" s="2" t="s">
        <v>216</v>
      </c>
      <c r="E1363" s="2">
        <v>134</v>
      </c>
      <c r="F1363" s="2">
        <v>2687.06</v>
      </c>
    </row>
    <row r="1364" spans="3:6" x14ac:dyDescent="0.25">
      <c r="C1364" s="2" t="s">
        <v>16543</v>
      </c>
      <c r="D1364" s="2" t="s">
        <v>236</v>
      </c>
      <c r="E1364" s="2">
        <v>66</v>
      </c>
      <c r="F1364" s="2">
        <v>1258.18</v>
      </c>
    </row>
    <row r="1365" spans="3:6" x14ac:dyDescent="0.25">
      <c r="C1365" s="2" t="s">
        <v>16544</v>
      </c>
      <c r="D1365" s="2" t="s">
        <v>236</v>
      </c>
      <c r="E1365" s="2">
        <v>80</v>
      </c>
      <c r="F1365" s="2">
        <v>1527.61</v>
      </c>
    </row>
    <row r="1366" spans="3:6" x14ac:dyDescent="0.25">
      <c r="C1366" s="2" t="s">
        <v>16545</v>
      </c>
      <c r="D1366" s="2" t="s">
        <v>204</v>
      </c>
      <c r="E1366" s="2">
        <v>116</v>
      </c>
      <c r="F1366" s="2">
        <v>2155.57</v>
      </c>
    </row>
    <row r="1367" spans="3:6" x14ac:dyDescent="0.25">
      <c r="C1367" s="2" t="s">
        <v>16546</v>
      </c>
      <c r="D1367" s="2" t="s">
        <v>204</v>
      </c>
      <c r="E1367" s="2">
        <v>163</v>
      </c>
      <c r="F1367" s="2">
        <v>3048.829</v>
      </c>
    </row>
    <row r="1368" spans="3:6" x14ac:dyDescent="0.25">
      <c r="C1368" s="2" t="s">
        <v>16547</v>
      </c>
      <c r="D1368" s="2" t="s">
        <v>204</v>
      </c>
      <c r="E1368" s="2">
        <v>163</v>
      </c>
      <c r="F1368" s="2">
        <v>3102.98</v>
      </c>
    </row>
    <row r="1369" spans="3:6" x14ac:dyDescent="0.25">
      <c r="C1369" s="2" t="s">
        <v>16548</v>
      </c>
      <c r="D1369" s="2" t="s">
        <v>204</v>
      </c>
      <c r="E1369" s="2">
        <v>47</v>
      </c>
      <c r="F1369" s="2">
        <v>901</v>
      </c>
    </row>
    <row r="1370" spans="3:6" x14ac:dyDescent="0.25">
      <c r="C1370" s="2" t="s">
        <v>16549</v>
      </c>
      <c r="D1370" s="2" t="s">
        <v>204</v>
      </c>
      <c r="E1370" s="2">
        <v>66</v>
      </c>
      <c r="F1370" s="2">
        <v>792</v>
      </c>
    </row>
    <row r="1371" spans="3:6" x14ac:dyDescent="0.25">
      <c r="C1371" s="2" t="s">
        <v>16550</v>
      </c>
      <c r="D1371" s="2" t="s">
        <v>204</v>
      </c>
      <c r="E1371" s="2">
        <v>73</v>
      </c>
      <c r="F1371" s="2">
        <v>884</v>
      </c>
    </row>
    <row r="1372" spans="3:6" x14ac:dyDescent="0.25">
      <c r="C1372" s="2" t="s">
        <v>16551</v>
      </c>
      <c r="D1372" s="2" t="s">
        <v>204</v>
      </c>
      <c r="E1372" s="2">
        <v>74</v>
      </c>
      <c r="F1372" s="2">
        <v>846</v>
      </c>
    </row>
    <row r="1373" spans="3:6" x14ac:dyDescent="0.25">
      <c r="C1373" s="2" t="s">
        <v>16552</v>
      </c>
      <c r="D1373" s="2" t="s">
        <v>204</v>
      </c>
      <c r="E1373" s="2">
        <v>79</v>
      </c>
      <c r="F1373" s="2">
        <v>834</v>
      </c>
    </row>
    <row r="1374" spans="3:6" x14ac:dyDescent="0.25">
      <c r="C1374" s="2" t="s">
        <v>16553</v>
      </c>
      <c r="D1374" s="2" t="s">
        <v>236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18</v>
      </c>
      <c r="C1376" s="2" t="s">
        <v>16554</v>
      </c>
      <c r="D1376" s="2" t="s">
        <v>20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16555</v>
      </c>
      <c r="D1377" s="2" t="s">
        <v>20</v>
      </c>
      <c r="E1377" s="2">
        <v>160</v>
      </c>
      <c r="F1377" s="2">
        <v>2944.431</v>
      </c>
    </row>
    <row r="1378" spans="3:6" x14ac:dyDescent="0.25">
      <c r="C1378" s="2" t="s">
        <v>16556</v>
      </c>
      <c r="D1378" s="2" t="s">
        <v>20</v>
      </c>
      <c r="E1378" s="2">
        <v>320</v>
      </c>
      <c r="F1378" s="2">
        <v>6588.029</v>
      </c>
    </row>
    <row r="1379" spans="3:6" x14ac:dyDescent="0.25">
      <c r="C1379" s="2" t="s">
        <v>16557</v>
      </c>
      <c r="D1379" s="2" t="s">
        <v>20</v>
      </c>
      <c r="E1379" s="2">
        <v>165</v>
      </c>
      <c r="F1379" s="2">
        <v>3026.14</v>
      </c>
    </row>
    <row r="1380" spans="3:6" x14ac:dyDescent="0.25">
      <c r="C1380" s="2" t="s">
        <v>16558</v>
      </c>
      <c r="D1380" s="2" t="s">
        <v>20</v>
      </c>
      <c r="E1380" s="2">
        <v>155</v>
      </c>
      <c r="F1380" s="2">
        <v>2918.529</v>
      </c>
    </row>
    <row r="1381" spans="3:6" x14ac:dyDescent="0.25">
      <c r="C1381" s="2" t="s">
        <v>16559</v>
      </c>
      <c r="D1381" s="2" t="s">
        <v>20</v>
      </c>
      <c r="E1381" s="2">
        <v>240</v>
      </c>
      <c r="F1381" s="2">
        <v>4998.719</v>
      </c>
    </row>
    <row r="1382" spans="3:6" x14ac:dyDescent="0.25">
      <c r="C1382" s="2" t="s">
        <v>16560</v>
      </c>
      <c r="D1382" s="2" t="s">
        <v>20</v>
      </c>
      <c r="E1382" s="2">
        <v>240</v>
      </c>
      <c r="F1382" s="2">
        <v>4455.338</v>
      </c>
    </row>
    <row r="1383" spans="3:6" x14ac:dyDescent="0.25">
      <c r="C1383" s="2" t="s">
        <v>16561</v>
      </c>
      <c r="D1383" s="2" t="s">
        <v>20</v>
      </c>
      <c r="E1383" s="2">
        <v>240</v>
      </c>
      <c r="F1383" s="2">
        <v>4318.779</v>
      </c>
    </row>
    <row r="1384" spans="3:6" x14ac:dyDescent="0.25">
      <c r="C1384" s="2" t="s">
        <v>16562</v>
      </c>
      <c r="D1384" s="2" t="s">
        <v>20</v>
      </c>
      <c r="E1384" s="2">
        <v>260</v>
      </c>
      <c r="F1384" s="2">
        <v>4912.12</v>
      </c>
    </row>
    <row r="1385" spans="3:6" x14ac:dyDescent="0.25">
      <c r="C1385" s="2" t="s">
        <v>16563</v>
      </c>
      <c r="D1385" s="2" t="s">
        <v>20</v>
      </c>
      <c r="E1385" s="2">
        <v>345</v>
      </c>
      <c r="F1385" s="2">
        <v>6719.34</v>
      </c>
    </row>
    <row r="1386" spans="3:6" x14ac:dyDescent="0.25">
      <c r="C1386" s="2" t="s">
        <v>16564</v>
      </c>
      <c r="D1386" s="2" t="s">
        <v>20</v>
      </c>
      <c r="E1386" s="2">
        <v>195</v>
      </c>
      <c r="F1386" s="2">
        <v>3646.13</v>
      </c>
    </row>
    <row r="1387" spans="3:6" x14ac:dyDescent="0.25">
      <c r="C1387" s="2" t="s">
        <v>16565</v>
      </c>
      <c r="D1387" s="2" t="s">
        <v>20</v>
      </c>
      <c r="E1387" s="2">
        <v>195</v>
      </c>
      <c r="F1387" s="2">
        <v>3741.699</v>
      </c>
    </row>
    <row r="1388" spans="3:6" x14ac:dyDescent="0.25">
      <c r="C1388" s="2" t="s">
        <v>16566</v>
      </c>
      <c r="D1388" s="2" t="s">
        <v>20</v>
      </c>
      <c r="E1388" s="2">
        <v>247</v>
      </c>
      <c r="F1388" s="2">
        <v>5815.826</v>
      </c>
    </row>
    <row r="1389" spans="3:6" x14ac:dyDescent="0.25">
      <c r="C1389" s="2" t="s">
        <v>16567</v>
      </c>
      <c r="D1389" s="2" t="s">
        <v>20</v>
      </c>
      <c r="E1389" s="2">
        <v>220</v>
      </c>
      <c r="F1389" s="2">
        <v>3991.238</v>
      </c>
    </row>
    <row r="1390" spans="3:6" x14ac:dyDescent="0.25">
      <c r="C1390" s="2" t="s">
        <v>16568</v>
      </c>
      <c r="D1390" s="2" t="s">
        <v>20</v>
      </c>
      <c r="E1390" s="2">
        <v>220</v>
      </c>
      <c r="F1390" s="2">
        <v>4254.139</v>
      </c>
    </row>
    <row r="1391" spans="3:6" x14ac:dyDescent="0.25">
      <c r="C1391" s="2" t="s">
        <v>16569</v>
      </c>
      <c r="D1391" s="2" t="s">
        <v>20</v>
      </c>
      <c r="E1391" s="2">
        <v>220</v>
      </c>
      <c r="F1391" s="2">
        <v>4048.628</v>
      </c>
    </row>
    <row r="1392" spans="3:6" x14ac:dyDescent="0.25">
      <c r="C1392" s="2" t="s">
        <v>16570</v>
      </c>
      <c r="D1392" s="2" t="s">
        <v>20</v>
      </c>
      <c r="E1392" s="2">
        <v>298</v>
      </c>
      <c r="F1392" s="2">
        <v>5485.049</v>
      </c>
    </row>
    <row r="1393" spans="3:6" x14ac:dyDescent="0.25">
      <c r="C1393" s="2" t="s">
        <v>16571</v>
      </c>
      <c r="D1393" s="2" t="s">
        <v>20</v>
      </c>
      <c r="E1393" s="2">
        <v>298</v>
      </c>
      <c r="F1393" s="2">
        <v>5373.807</v>
      </c>
    </row>
    <row r="1394" spans="3:6" x14ac:dyDescent="0.25">
      <c r="C1394" s="2" t="s">
        <v>16572</v>
      </c>
      <c r="D1394" s="2" t="s">
        <v>20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324</v>
      </c>
      <c r="C1396" s="2" t="s">
        <v>16573</v>
      </c>
      <c r="D1396" s="2" t="s">
        <v>27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16574</v>
      </c>
      <c r="D1397" s="2" t="s">
        <v>27</v>
      </c>
      <c r="E1397" s="2">
        <v>21</v>
      </c>
      <c r="F1397" s="2">
        <v>368.82</v>
      </c>
    </row>
    <row r="1398" spans="3:6" x14ac:dyDescent="0.25">
      <c r="C1398" s="2" t="s">
        <v>16575</v>
      </c>
      <c r="D1398" s="2" t="s">
        <v>27</v>
      </c>
      <c r="E1398" s="2">
        <v>101</v>
      </c>
      <c r="F1398" s="2">
        <v>1997.33</v>
      </c>
    </row>
    <row r="1399" spans="3:6" x14ac:dyDescent="0.25">
      <c r="C1399" s="2" t="s">
        <v>16576</v>
      </c>
      <c r="D1399" s="2" t="s">
        <v>27</v>
      </c>
      <c r="E1399" s="2">
        <v>101</v>
      </c>
      <c r="F1399" s="2">
        <v>2006.61</v>
      </c>
    </row>
    <row r="1400" spans="3:6" x14ac:dyDescent="0.25">
      <c r="C1400" s="2" t="s">
        <v>16577</v>
      </c>
      <c r="D1400" s="2" t="s">
        <v>27</v>
      </c>
      <c r="E1400" s="2">
        <v>92</v>
      </c>
      <c r="F1400" s="2">
        <v>1773.689</v>
      </c>
    </row>
    <row r="1401" spans="3:6" x14ac:dyDescent="0.25">
      <c r="C1401" s="2" t="s">
        <v>16578</v>
      </c>
      <c r="D1401" s="2" t="s">
        <v>27</v>
      </c>
      <c r="E1401" s="2">
        <v>16</v>
      </c>
      <c r="F1401" s="2">
        <v>255.33</v>
      </c>
    </row>
    <row r="1402" spans="3:6" x14ac:dyDescent="0.25">
      <c r="C1402" s="2" t="s">
        <v>16579</v>
      </c>
      <c r="D1402" s="2" t="s">
        <v>27</v>
      </c>
      <c r="E1402" s="2">
        <v>11</v>
      </c>
      <c r="F1402" s="2">
        <v>183.36</v>
      </c>
    </row>
    <row r="1403" spans="3:6" x14ac:dyDescent="0.25">
      <c r="C1403" s="2" t="s">
        <v>16580</v>
      </c>
      <c r="D1403" s="2" t="s">
        <v>27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10</v>
      </c>
      <c r="C1405" s="2" t="s">
        <v>16581</v>
      </c>
      <c r="D1405" s="2" t="s">
        <v>12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16582</v>
      </c>
      <c r="D1406" s="2" t="s">
        <v>12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16583</v>
      </c>
      <c r="C1408" s="2" t="s">
        <v>16584</v>
      </c>
      <c r="D1408" s="2" t="s">
        <v>342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16585</v>
      </c>
      <c r="D1409" s="2" t="s">
        <v>342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2378</v>
      </c>
      <c r="C1411" s="2" t="s">
        <v>16586</v>
      </c>
      <c r="D1411" s="2" t="s">
        <v>2096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15998</v>
      </c>
      <c r="C1413" s="2" t="s">
        <v>16587</v>
      </c>
      <c r="D1413" s="2" t="s">
        <v>1288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16588</v>
      </c>
      <c r="D1414" s="2" t="s">
        <v>1288</v>
      </c>
      <c r="E1414" s="2">
        <v>55</v>
      </c>
      <c r="F1414" s="2">
        <v>1152.16</v>
      </c>
    </row>
    <row r="1415" spans="3:6" x14ac:dyDescent="0.25">
      <c r="C1415" s="2" t="s">
        <v>16589</v>
      </c>
      <c r="D1415" s="2" t="s">
        <v>1288</v>
      </c>
      <c r="E1415" s="2">
        <v>86</v>
      </c>
      <c r="F1415" s="2">
        <v>1826.9</v>
      </c>
    </row>
    <row r="1416" spans="3:6" x14ac:dyDescent="0.25">
      <c r="C1416" s="2" t="s">
        <v>16590</v>
      </c>
      <c r="D1416" s="2" t="s">
        <v>1288</v>
      </c>
      <c r="E1416" s="2">
        <v>141</v>
      </c>
      <c r="F1416" s="2">
        <v>2863.8</v>
      </c>
    </row>
    <row r="1417" spans="3:6" x14ac:dyDescent="0.25">
      <c r="C1417" s="2" t="s">
        <v>16591</v>
      </c>
      <c r="D1417" s="2" t="s">
        <v>1288</v>
      </c>
      <c r="E1417" s="2">
        <v>38</v>
      </c>
      <c r="F1417" s="2">
        <v>838.67</v>
      </c>
    </row>
    <row r="1418" spans="3:6" x14ac:dyDescent="0.25">
      <c r="C1418" s="2" t="s">
        <v>16592</v>
      </c>
      <c r="D1418" s="2" t="s">
        <v>1288</v>
      </c>
      <c r="E1418" s="2">
        <v>48</v>
      </c>
      <c r="F1418" s="2">
        <v>997.47</v>
      </c>
    </row>
    <row r="1419" spans="3:6" x14ac:dyDescent="0.25">
      <c r="C1419" s="2" t="s">
        <v>16593</v>
      </c>
      <c r="D1419" s="2" t="s">
        <v>1288</v>
      </c>
      <c r="E1419" s="2">
        <v>55</v>
      </c>
      <c r="F1419" s="2">
        <v>1145.16</v>
      </c>
    </row>
    <row r="1420" spans="3:6" x14ac:dyDescent="0.25">
      <c r="C1420" s="2" t="s">
        <v>16594</v>
      </c>
      <c r="D1420" s="2" t="s">
        <v>1288</v>
      </c>
      <c r="E1420" s="2">
        <v>41</v>
      </c>
      <c r="F1420" s="2">
        <v>875.62</v>
      </c>
    </row>
    <row r="1421" spans="3:6" x14ac:dyDescent="0.25">
      <c r="C1421" s="2" t="s">
        <v>16595</v>
      </c>
      <c r="D1421" s="2" t="s">
        <v>1288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10</v>
      </c>
      <c r="C1423" s="2" t="s">
        <v>16596</v>
      </c>
      <c r="D1423" s="2" t="s">
        <v>12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16597</v>
      </c>
      <c r="D1424" s="2" t="s">
        <v>12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1289</v>
      </c>
      <c r="C1426" s="2" t="s">
        <v>16598</v>
      </c>
      <c r="D1426" s="2" t="s">
        <v>9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16599</v>
      </c>
      <c r="D1427" s="2" t="s">
        <v>9</v>
      </c>
      <c r="E1427" s="2" t="s">
        <v>8758</v>
      </c>
      <c r="F1427" s="2" t="s">
        <v>8758</v>
      </c>
    </row>
    <row r="1428" spans="3:6" x14ac:dyDescent="0.25">
      <c r="C1428" s="2" t="s">
        <v>16410</v>
      </c>
      <c r="D1428" s="2" t="s">
        <v>9</v>
      </c>
      <c r="E1428" s="2" t="s">
        <v>8758</v>
      </c>
      <c r="F1428" s="2" t="s">
        <v>8758</v>
      </c>
    </row>
    <row r="1429" spans="3:6" x14ac:dyDescent="0.25">
      <c r="C1429" s="2" t="s">
        <v>16411</v>
      </c>
      <c r="D1429" s="2" t="s">
        <v>9</v>
      </c>
      <c r="E1429" s="2" t="s">
        <v>8758</v>
      </c>
      <c r="F1429" s="2" t="s">
        <v>8758</v>
      </c>
    </row>
    <row r="1430" spans="3:6" x14ac:dyDescent="0.25">
      <c r="C1430" s="2" t="s">
        <v>16394</v>
      </c>
      <c r="D1430" s="2" t="s">
        <v>9</v>
      </c>
      <c r="E1430" s="2" t="s">
        <v>8758</v>
      </c>
      <c r="F1430" s="2" t="s">
        <v>8758</v>
      </c>
    </row>
    <row r="1431" spans="3:6" x14ac:dyDescent="0.25">
      <c r="C1431" s="2" t="s">
        <v>16395</v>
      </c>
      <c r="D1431" s="2" t="s">
        <v>9</v>
      </c>
      <c r="E1431" s="2" t="s">
        <v>8758</v>
      </c>
      <c r="F1431" s="2" t="s">
        <v>8758</v>
      </c>
    </row>
    <row r="1432" spans="3:6" x14ac:dyDescent="0.25">
      <c r="C1432" s="2" t="s">
        <v>16600</v>
      </c>
      <c r="D1432" s="2" t="s">
        <v>9</v>
      </c>
      <c r="E1432" s="2">
        <v>306</v>
      </c>
      <c r="F1432" s="2">
        <v>6235.729</v>
      </c>
    </row>
    <row r="1433" spans="3:6" x14ac:dyDescent="0.25">
      <c r="C1433" s="2" t="s">
        <v>16601</v>
      </c>
      <c r="D1433" s="2" t="s">
        <v>9</v>
      </c>
      <c r="E1433" s="2">
        <v>103</v>
      </c>
      <c r="F1433" s="2">
        <v>2028.95</v>
      </c>
    </row>
    <row r="1434" spans="3:6" x14ac:dyDescent="0.25">
      <c r="C1434" s="2" t="s">
        <v>16602</v>
      </c>
      <c r="D1434" s="2" t="s">
        <v>9</v>
      </c>
      <c r="E1434" s="2">
        <v>123</v>
      </c>
      <c r="F1434" s="2">
        <v>2594.29</v>
      </c>
    </row>
    <row r="1435" spans="3:6" x14ac:dyDescent="0.25">
      <c r="C1435" s="2" t="s">
        <v>16603</v>
      </c>
      <c r="D1435" s="2" t="s">
        <v>9</v>
      </c>
      <c r="E1435" s="2">
        <v>204</v>
      </c>
      <c r="F1435" s="2">
        <v>4286.81</v>
      </c>
    </row>
    <row r="1436" spans="3:6" x14ac:dyDescent="0.25">
      <c r="C1436" s="2" t="s">
        <v>16604</v>
      </c>
      <c r="D1436" s="2" t="s">
        <v>9</v>
      </c>
      <c r="E1436" s="2">
        <v>80</v>
      </c>
      <c r="F1436" s="2">
        <v>340.089</v>
      </c>
    </row>
    <row r="1437" spans="3:6" x14ac:dyDescent="0.25">
      <c r="C1437" s="2" t="s">
        <v>16605</v>
      </c>
      <c r="D1437" s="2" t="s">
        <v>9</v>
      </c>
      <c r="E1437" s="2">
        <v>282</v>
      </c>
      <c r="F1437" s="2">
        <v>5953.32</v>
      </c>
    </row>
    <row r="1438" spans="3:6" x14ac:dyDescent="0.25">
      <c r="C1438" s="2" t="s">
        <v>16606</v>
      </c>
      <c r="D1438" s="2" t="s">
        <v>9</v>
      </c>
      <c r="E1438" s="2">
        <v>246</v>
      </c>
      <c r="F1438" s="2">
        <v>5070.75</v>
      </c>
    </row>
    <row r="1439" spans="3:6" x14ac:dyDescent="0.25">
      <c r="C1439" s="2" t="s">
        <v>16607</v>
      </c>
      <c r="D1439" s="2" t="s">
        <v>9</v>
      </c>
      <c r="E1439" s="2">
        <v>36</v>
      </c>
      <c r="F1439" s="2">
        <v>746.75</v>
      </c>
    </row>
    <row r="1440" spans="3:6" x14ac:dyDescent="0.25">
      <c r="C1440" s="2" t="s">
        <v>16608</v>
      </c>
      <c r="D1440" s="2" t="s">
        <v>9</v>
      </c>
      <c r="E1440" s="2">
        <v>87</v>
      </c>
      <c r="F1440" s="2">
        <v>1830.35</v>
      </c>
    </row>
    <row r="1441" spans="3:6" x14ac:dyDescent="0.25">
      <c r="C1441" s="2" t="s">
        <v>16609</v>
      </c>
      <c r="D1441" s="2" t="s">
        <v>9</v>
      </c>
      <c r="E1441" s="2">
        <v>75</v>
      </c>
      <c r="F1441" s="2">
        <v>1336.168</v>
      </c>
    </row>
    <row r="1442" spans="3:6" x14ac:dyDescent="0.25">
      <c r="C1442" s="2" t="s">
        <v>16610</v>
      </c>
      <c r="D1442" s="2" t="s">
        <v>9</v>
      </c>
      <c r="E1442" s="2">
        <v>141</v>
      </c>
      <c r="F1442" s="2">
        <v>2912.597</v>
      </c>
    </row>
    <row r="1443" spans="3:6" x14ac:dyDescent="0.25">
      <c r="C1443" s="2" t="s">
        <v>16611</v>
      </c>
      <c r="D1443" s="2" t="s">
        <v>9</v>
      </c>
      <c r="E1443" s="2">
        <v>71</v>
      </c>
      <c r="F1443" s="2">
        <v>1358.84</v>
      </c>
    </row>
    <row r="1444" spans="3:6" x14ac:dyDescent="0.25">
      <c r="C1444" s="2" t="s">
        <v>16612</v>
      </c>
      <c r="D1444" s="2" t="s">
        <v>9</v>
      </c>
      <c r="E1444" s="2">
        <v>70</v>
      </c>
      <c r="F1444" s="2">
        <v>1308.85</v>
      </c>
    </row>
    <row r="1445" spans="3:6" x14ac:dyDescent="0.25">
      <c r="C1445" s="2" t="s">
        <v>16613</v>
      </c>
      <c r="D1445" s="2" t="s">
        <v>9</v>
      </c>
      <c r="E1445" s="2">
        <v>108</v>
      </c>
      <c r="F1445" s="2">
        <v>2097.999</v>
      </c>
    </row>
    <row r="1446" spans="3:6" x14ac:dyDescent="0.25">
      <c r="C1446" s="2" t="s">
        <v>16614</v>
      </c>
      <c r="D1446" s="2" t="s">
        <v>9</v>
      </c>
      <c r="E1446" s="2">
        <v>26</v>
      </c>
      <c r="F1446" s="2">
        <v>561.48</v>
      </c>
    </row>
    <row r="1447" spans="3:6" x14ac:dyDescent="0.25">
      <c r="C1447" s="2" t="s">
        <v>16615</v>
      </c>
      <c r="D1447" s="2" t="s">
        <v>9</v>
      </c>
      <c r="E1447" s="2">
        <v>141</v>
      </c>
      <c r="F1447" s="2">
        <v>2659.717</v>
      </c>
    </row>
    <row r="1448" spans="3:6" x14ac:dyDescent="0.25">
      <c r="C1448" s="2" t="s">
        <v>16616</v>
      </c>
      <c r="D1448" s="2" t="s">
        <v>9</v>
      </c>
      <c r="E1448" s="2">
        <v>141</v>
      </c>
      <c r="F1448" s="2">
        <v>2654.328</v>
      </c>
    </row>
    <row r="1449" spans="3:6" x14ac:dyDescent="0.25">
      <c r="C1449" s="2" t="s">
        <v>16617</v>
      </c>
      <c r="D1449" s="2" t="s">
        <v>9</v>
      </c>
      <c r="E1449" s="2">
        <v>70</v>
      </c>
      <c r="F1449" s="2">
        <v>1284.059</v>
      </c>
    </row>
    <row r="1450" spans="3:6" x14ac:dyDescent="0.25">
      <c r="C1450" s="2" t="s">
        <v>16618</v>
      </c>
      <c r="D1450" s="2" t="s">
        <v>9</v>
      </c>
      <c r="E1450" s="2">
        <v>71</v>
      </c>
      <c r="F1450" s="2">
        <v>1349.809</v>
      </c>
    </row>
    <row r="1451" spans="3:6" x14ac:dyDescent="0.25">
      <c r="C1451" s="2" t="s">
        <v>16619</v>
      </c>
      <c r="D1451" s="2" t="s">
        <v>9</v>
      </c>
      <c r="E1451" s="2">
        <v>107</v>
      </c>
      <c r="F1451" s="2">
        <v>1862.05</v>
      </c>
    </row>
    <row r="1452" spans="3:6" x14ac:dyDescent="0.25">
      <c r="C1452" s="2" t="s">
        <v>16620</v>
      </c>
      <c r="D1452" s="2" t="s">
        <v>9</v>
      </c>
      <c r="E1452" s="2">
        <v>35</v>
      </c>
      <c r="F1452" s="2">
        <v>624.42</v>
      </c>
    </row>
    <row r="1453" spans="3:6" x14ac:dyDescent="0.25">
      <c r="C1453" s="2" t="s">
        <v>16621</v>
      </c>
      <c r="D1453" s="2" t="s">
        <v>9</v>
      </c>
      <c r="E1453" s="2">
        <v>141</v>
      </c>
      <c r="F1453" s="2">
        <v>2966.53</v>
      </c>
    </row>
    <row r="1454" spans="3:6" x14ac:dyDescent="0.25">
      <c r="C1454" s="2" t="s">
        <v>16622</v>
      </c>
      <c r="D1454" s="2" t="s">
        <v>9</v>
      </c>
      <c r="E1454" s="2">
        <v>141</v>
      </c>
      <c r="F1454" s="2">
        <v>2930.32</v>
      </c>
    </row>
    <row r="1455" spans="3:6" x14ac:dyDescent="0.25">
      <c r="C1455" s="2" t="s">
        <v>16623</v>
      </c>
      <c r="D1455" s="2" t="s">
        <v>9</v>
      </c>
      <c r="E1455" s="2">
        <v>141</v>
      </c>
      <c r="F1455" s="2">
        <v>2949.969</v>
      </c>
    </row>
    <row r="1456" spans="3:6" x14ac:dyDescent="0.25">
      <c r="C1456" s="2" t="s">
        <v>16624</v>
      </c>
      <c r="D1456" s="2" t="s">
        <v>9</v>
      </c>
      <c r="E1456" s="2">
        <v>141</v>
      </c>
      <c r="F1456" s="2">
        <v>3038.75</v>
      </c>
    </row>
    <row r="1457" spans="3:6" x14ac:dyDescent="0.25">
      <c r="C1457" s="2" t="s">
        <v>16625</v>
      </c>
      <c r="D1457" s="2" t="s">
        <v>9</v>
      </c>
      <c r="E1457" s="2">
        <v>141</v>
      </c>
      <c r="F1457" s="2">
        <v>2928.19</v>
      </c>
    </row>
    <row r="1458" spans="3:6" x14ac:dyDescent="0.25">
      <c r="C1458" s="2" t="s">
        <v>16626</v>
      </c>
      <c r="D1458" s="2" t="s">
        <v>9</v>
      </c>
      <c r="E1458" s="2">
        <v>47</v>
      </c>
      <c r="F1458" s="2">
        <v>954.19</v>
      </c>
    </row>
    <row r="1459" spans="3:6" x14ac:dyDescent="0.25">
      <c r="C1459" s="2" t="s">
        <v>16627</v>
      </c>
      <c r="D1459" s="2" t="s">
        <v>9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120</v>
      </c>
      <c r="C1461" s="2" t="s">
        <v>16628</v>
      </c>
      <c r="D1461" s="2" t="s">
        <v>42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16629</v>
      </c>
      <c r="D1462" s="2" t="s">
        <v>42</v>
      </c>
      <c r="E1462" s="2">
        <v>57</v>
      </c>
      <c r="F1462" s="2">
        <v>1184.98</v>
      </c>
    </row>
    <row r="1463" spans="3:6" x14ac:dyDescent="0.25">
      <c r="C1463" s="2" t="s">
        <v>16630</v>
      </c>
      <c r="D1463" s="2" t="s">
        <v>42</v>
      </c>
      <c r="E1463" s="2">
        <v>65</v>
      </c>
      <c r="F1463" s="2">
        <v>1274.09</v>
      </c>
    </row>
    <row r="1464" spans="3:6" x14ac:dyDescent="0.25">
      <c r="C1464" s="2" t="s">
        <v>16631</v>
      </c>
      <c r="D1464" s="2" t="s">
        <v>42</v>
      </c>
      <c r="E1464" s="2">
        <v>10</v>
      </c>
      <c r="F1464" s="2">
        <v>196.65</v>
      </c>
    </row>
    <row r="1465" spans="3:6" x14ac:dyDescent="0.25">
      <c r="C1465" s="2" t="s">
        <v>16632</v>
      </c>
      <c r="D1465" s="2" t="s">
        <v>42</v>
      </c>
      <c r="E1465" s="2">
        <v>123</v>
      </c>
      <c r="F1465" s="2">
        <v>2478.29</v>
      </c>
    </row>
    <row r="1466" spans="3:6" x14ac:dyDescent="0.25">
      <c r="C1466" s="2" t="s">
        <v>16633</v>
      </c>
      <c r="D1466" s="2" t="s">
        <v>42</v>
      </c>
      <c r="E1466" s="2">
        <v>100</v>
      </c>
      <c r="F1466" s="2">
        <v>2016.39</v>
      </c>
    </row>
    <row r="1467" spans="3:6" x14ac:dyDescent="0.25">
      <c r="C1467" s="2" t="s">
        <v>16634</v>
      </c>
      <c r="D1467" s="2" t="s">
        <v>42</v>
      </c>
      <c r="E1467" s="2">
        <v>124</v>
      </c>
      <c r="F1467" s="2">
        <v>2027.542</v>
      </c>
    </row>
    <row r="1468" spans="3:6" x14ac:dyDescent="0.25">
      <c r="C1468" s="2" t="s">
        <v>16635</v>
      </c>
      <c r="D1468" s="2" t="s">
        <v>42</v>
      </c>
      <c r="E1468" s="2">
        <v>141</v>
      </c>
      <c r="F1468" s="2">
        <v>2921.659</v>
      </c>
    </row>
    <row r="1469" spans="3:6" x14ac:dyDescent="0.25">
      <c r="C1469" s="2" t="s">
        <v>16636</v>
      </c>
      <c r="D1469" s="2" t="s">
        <v>42</v>
      </c>
      <c r="E1469" s="2">
        <v>141</v>
      </c>
      <c r="F1469" s="2">
        <v>2864.379</v>
      </c>
    </row>
    <row r="1470" spans="3:6" x14ac:dyDescent="0.25">
      <c r="C1470" s="2" t="s">
        <v>16637</v>
      </c>
      <c r="D1470" s="2" t="s">
        <v>42</v>
      </c>
      <c r="E1470" s="2">
        <v>143</v>
      </c>
      <c r="F1470" s="2">
        <v>2893.96</v>
      </c>
    </row>
    <row r="1471" spans="3:6" x14ac:dyDescent="0.25">
      <c r="C1471" s="2" t="s">
        <v>16638</v>
      </c>
      <c r="D1471" s="2" t="s">
        <v>42</v>
      </c>
      <c r="E1471" s="2">
        <v>143</v>
      </c>
      <c r="F1471" s="2">
        <v>3053.5</v>
      </c>
    </row>
    <row r="1472" spans="3:6" x14ac:dyDescent="0.25">
      <c r="C1472" s="2" t="s">
        <v>16639</v>
      </c>
      <c r="D1472" s="2" t="s">
        <v>42</v>
      </c>
      <c r="E1472" s="2">
        <v>143</v>
      </c>
      <c r="F1472" s="2">
        <v>3021.27</v>
      </c>
    </row>
    <row r="1473" spans="3:6" x14ac:dyDescent="0.25">
      <c r="C1473" s="2" t="s">
        <v>16640</v>
      </c>
      <c r="D1473" s="2" t="s">
        <v>42</v>
      </c>
      <c r="E1473" s="2">
        <v>75</v>
      </c>
      <c r="F1473" s="2">
        <v>1631.43</v>
      </c>
    </row>
    <row r="1474" spans="3:6" x14ac:dyDescent="0.25">
      <c r="C1474" s="2" t="s">
        <v>16641</v>
      </c>
      <c r="D1474" s="2" t="s">
        <v>42</v>
      </c>
      <c r="E1474" s="2">
        <v>66</v>
      </c>
      <c r="F1474" s="2">
        <v>1334.712</v>
      </c>
    </row>
    <row r="1475" spans="3:6" x14ac:dyDescent="0.25">
      <c r="C1475" s="2" t="s">
        <v>16642</v>
      </c>
      <c r="D1475" s="2" t="s">
        <v>42</v>
      </c>
      <c r="E1475" s="2">
        <v>73</v>
      </c>
      <c r="F1475" s="2">
        <v>1436.63</v>
      </c>
    </row>
    <row r="1476" spans="3:6" x14ac:dyDescent="0.25">
      <c r="C1476" s="2" t="s">
        <v>16643</v>
      </c>
      <c r="D1476" s="2" t="s">
        <v>42</v>
      </c>
      <c r="E1476" s="2">
        <v>100</v>
      </c>
      <c r="F1476" s="2">
        <v>2055.84</v>
      </c>
    </row>
    <row r="1477" spans="3:6" x14ac:dyDescent="0.25">
      <c r="C1477" s="2" t="s">
        <v>16644</v>
      </c>
      <c r="D1477" s="2" t="s">
        <v>42</v>
      </c>
      <c r="E1477" s="2">
        <v>68</v>
      </c>
      <c r="F1477" s="2">
        <v>1374.42</v>
      </c>
    </row>
    <row r="1478" spans="3:6" x14ac:dyDescent="0.25">
      <c r="C1478" s="2" t="s">
        <v>16645</v>
      </c>
      <c r="D1478" s="2" t="s">
        <v>42</v>
      </c>
      <c r="E1478" s="2">
        <v>20</v>
      </c>
      <c r="F1478" s="2">
        <v>103.04</v>
      </c>
    </row>
    <row r="1479" spans="3:6" x14ac:dyDescent="0.25">
      <c r="C1479" s="2" t="s">
        <v>16646</v>
      </c>
      <c r="D1479" s="2" t="s">
        <v>42</v>
      </c>
      <c r="E1479" s="2">
        <v>76</v>
      </c>
      <c r="F1479" s="2">
        <v>1056.684</v>
      </c>
    </row>
    <row r="1480" spans="3:6" x14ac:dyDescent="0.25">
      <c r="C1480" s="2" t="s">
        <v>16647</v>
      </c>
      <c r="D1480" s="2" t="s">
        <v>42</v>
      </c>
      <c r="E1480" s="2">
        <v>31</v>
      </c>
      <c r="F1480" s="2">
        <v>635.2</v>
      </c>
    </row>
    <row r="1481" spans="3:6" x14ac:dyDescent="0.25">
      <c r="C1481" s="2" t="s">
        <v>16648</v>
      </c>
      <c r="D1481" s="2" t="s">
        <v>42</v>
      </c>
      <c r="E1481" s="2">
        <v>8</v>
      </c>
      <c r="F1481" s="2">
        <v>147.15</v>
      </c>
    </row>
    <row r="1482" spans="3:6" x14ac:dyDescent="0.25">
      <c r="C1482" s="2" t="s">
        <v>16649</v>
      </c>
      <c r="D1482" s="2" t="s">
        <v>42</v>
      </c>
      <c r="E1482" s="2">
        <v>102</v>
      </c>
      <c r="F1482" s="2">
        <v>2197.03</v>
      </c>
    </row>
    <row r="1483" spans="3:6" x14ac:dyDescent="0.25">
      <c r="C1483" s="2" t="s">
        <v>16650</v>
      </c>
      <c r="D1483" s="2" t="s">
        <v>42</v>
      </c>
      <c r="E1483" s="2">
        <v>14</v>
      </c>
      <c r="F1483" s="2">
        <v>307.05</v>
      </c>
    </row>
    <row r="1484" spans="3:6" x14ac:dyDescent="0.25">
      <c r="C1484" s="2" t="s">
        <v>16651</v>
      </c>
      <c r="D1484" s="2" t="s">
        <v>42</v>
      </c>
      <c r="E1484" s="2">
        <v>10</v>
      </c>
      <c r="F1484" s="2">
        <v>172.9</v>
      </c>
    </row>
    <row r="1485" spans="3:6" x14ac:dyDescent="0.25">
      <c r="C1485" s="2" t="s">
        <v>16652</v>
      </c>
      <c r="D1485" s="2" t="s">
        <v>42</v>
      </c>
      <c r="E1485" s="2">
        <v>117</v>
      </c>
      <c r="F1485" s="2">
        <v>2481.48</v>
      </c>
    </row>
    <row r="1486" spans="3:6" x14ac:dyDescent="0.25">
      <c r="C1486" s="2" t="s">
        <v>16653</v>
      </c>
      <c r="D1486" s="2" t="s">
        <v>42</v>
      </c>
      <c r="E1486" s="2">
        <v>75</v>
      </c>
      <c r="F1486" s="2">
        <v>392.93</v>
      </c>
    </row>
    <row r="1487" spans="3:6" x14ac:dyDescent="0.25">
      <c r="C1487" s="2" t="s">
        <v>16654</v>
      </c>
      <c r="D1487" s="2" t="s">
        <v>42</v>
      </c>
      <c r="E1487" s="2">
        <v>141</v>
      </c>
      <c r="F1487" s="2">
        <v>2187.829</v>
      </c>
    </row>
    <row r="1488" spans="3:6" x14ac:dyDescent="0.25">
      <c r="C1488" s="2" t="s">
        <v>16655</v>
      </c>
      <c r="D1488" s="2" t="s">
        <v>42</v>
      </c>
      <c r="E1488" s="2">
        <v>26</v>
      </c>
      <c r="F1488" s="2">
        <v>544.04</v>
      </c>
    </row>
    <row r="1489" spans="3:6" x14ac:dyDescent="0.25">
      <c r="C1489" s="2" t="s">
        <v>16656</v>
      </c>
      <c r="D1489" s="2" t="s">
        <v>42</v>
      </c>
      <c r="E1489" s="2">
        <v>62</v>
      </c>
      <c r="F1489" s="2">
        <v>1283.37</v>
      </c>
    </row>
    <row r="1490" spans="3:6" x14ac:dyDescent="0.25">
      <c r="C1490" s="2" t="s">
        <v>16657</v>
      </c>
      <c r="D1490" s="2" t="s">
        <v>42</v>
      </c>
      <c r="E1490" s="2">
        <v>35</v>
      </c>
      <c r="F1490" s="2">
        <v>696.57</v>
      </c>
    </row>
    <row r="1491" spans="3:6" x14ac:dyDescent="0.25">
      <c r="C1491" s="2" t="s">
        <v>16658</v>
      </c>
      <c r="D1491" s="2" t="s">
        <v>42</v>
      </c>
      <c r="E1491" s="2">
        <v>24</v>
      </c>
      <c r="F1491" s="2">
        <v>494.7</v>
      </c>
    </row>
    <row r="1492" spans="3:6" x14ac:dyDescent="0.25">
      <c r="C1492" s="2" t="s">
        <v>16659</v>
      </c>
      <c r="D1492" s="2" t="s">
        <v>42</v>
      </c>
      <c r="E1492" s="2">
        <v>96</v>
      </c>
      <c r="F1492" s="2">
        <v>2121.53</v>
      </c>
    </row>
    <row r="1493" spans="3:6" x14ac:dyDescent="0.25">
      <c r="C1493" s="2" t="s">
        <v>16660</v>
      </c>
      <c r="D1493" s="2" t="s">
        <v>42</v>
      </c>
      <c r="E1493" s="2">
        <v>45</v>
      </c>
      <c r="F1493" s="2">
        <v>229.72</v>
      </c>
    </row>
    <row r="1494" spans="3:6" x14ac:dyDescent="0.25">
      <c r="C1494" s="2" t="s">
        <v>16661</v>
      </c>
      <c r="D1494" s="2" t="s">
        <v>42</v>
      </c>
      <c r="E1494" s="2">
        <v>30</v>
      </c>
      <c r="F1494" s="2">
        <v>660.92</v>
      </c>
    </row>
    <row r="1495" spans="3:6" x14ac:dyDescent="0.25">
      <c r="C1495" s="2" t="s">
        <v>16662</v>
      </c>
      <c r="D1495" s="2" t="s">
        <v>42</v>
      </c>
      <c r="E1495" s="2">
        <v>111</v>
      </c>
      <c r="F1495" s="2">
        <v>2337.63</v>
      </c>
    </row>
    <row r="1496" spans="3:6" x14ac:dyDescent="0.25">
      <c r="C1496" s="2" t="s">
        <v>16663</v>
      </c>
      <c r="D1496" s="2" t="s">
        <v>42</v>
      </c>
      <c r="E1496" s="2">
        <v>141</v>
      </c>
      <c r="F1496" s="2">
        <v>2920.18</v>
      </c>
    </row>
    <row r="1497" spans="3:6" x14ac:dyDescent="0.25">
      <c r="C1497" s="2" t="s">
        <v>16664</v>
      </c>
      <c r="D1497" s="2" t="s">
        <v>42</v>
      </c>
      <c r="E1497" s="2">
        <v>102</v>
      </c>
      <c r="F1497" s="2">
        <v>2120.78</v>
      </c>
    </row>
    <row r="1498" spans="3:6" x14ac:dyDescent="0.25">
      <c r="C1498" s="2" t="s">
        <v>16665</v>
      </c>
      <c r="D1498" s="2" t="s">
        <v>42</v>
      </c>
      <c r="E1498" s="2">
        <v>102</v>
      </c>
      <c r="F1498" s="2">
        <v>2145.36</v>
      </c>
    </row>
    <row r="1499" spans="3:6" x14ac:dyDescent="0.25">
      <c r="C1499" s="2" t="s">
        <v>16666</v>
      </c>
      <c r="D1499" s="2" t="s">
        <v>42</v>
      </c>
      <c r="E1499" s="2">
        <v>143</v>
      </c>
      <c r="F1499" s="2">
        <v>2954.42</v>
      </c>
    </row>
    <row r="1500" spans="3:6" x14ac:dyDescent="0.25">
      <c r="C1500" s="2" t="s">
        <v>16667</v>
      </c>
      <c r="D1500" s="2" t="s">
        <v>42</v>
      </c>
      <c r="E1500" s="2">
        <v>123</v>
      </c>
      <c r="F1500" s="2">
        <v>2557.21</v>
      </c>
    </row>
    <row r="1501" spans="3:6" x14ac:dyDescent="0.25">
      <c r="C1501" s="2" t="s">
        <v>16668</v>
      </c>
      <c r="D1501" s="2" t="s">
        <v>42</v>
      </c>
      <c r="E1501" s="2">
        <v>29</v>
      </c>
      <c r="F1501" s="2">
        <v>588.12</v>
      </c>
    </row>
    <row r="1502" spans="3:6" x14ac:dyDescent="0.25">
      <c r="C1502" s="2" t="s">
        <v>16669</v>
      </c>
      <c r="D1502" s="2" t="s">
        <v>42</v>
      </c>
      <c r="E1502" s="2">
        <v>51</v>
      </c>
      <c r="F1502" s="2">
        <v>1004.49</v>
      </c>
    </row>
    <row r="1503" spans="3:6" x14ac:dyDescent="0.25">
      <c r="C1503" s="2" t="s">
        <v>16670</v>
      </c>
      <c r="D1503" s="2" t="s">
        <v>42</v>
      </c>
      <c r="E1503" s="2">
        <v>8</v>
      </c>
      <c r="F1503" s="2">
        <v>139.52</v>
      </c>
    </row>
    <row r="1504" spans="3:6" x14ac:dyDescent="0.25">
      <c r="C1504" s="2" t="s">
        <v>16671</v>
      </c>
      <c r="D1504" s="2" t="s">
        <v>42</v>
      </c>
      <c r="E1504" s="2">
        <v>57</v>
      </c>
      <c r="F1504" s="2">
        <v>1194.32</v>
      </c>
    </row>
    <row r="1505" spans="3:6" x14ac:dyDescent="0.25">
      <c r="C1505" s="2" t="s">
        <v>16672</v>
      </c>
      <c r="D1505" s="2" t="s">
        <v>42</v>
      </c>
      <c r="E1505" s="2">
        <v>43</v>
      </c>
      <c r="F1505" s="2">
        <v>974.49</v>
      </c>
    </row>
    <row r="1506" spans="3:6" x14ac:dyDescent="0.25">
      <c r="C1506" s="2" t="s">
        <v>16673</v>
      </c>
      <c r="D1506" s="2" t="s">
        <v>42</v>
      </c>
      <c r="E1506" s="2">
        <v>12</v>
      </c>
      <c r="F1506" s="2">
        <v>235.53</v>
      </c>
    </row>
    <row r="1507" spans="3:6" x14ac:dyDescent="0.25">
      <c r="C1507" s="2" t="s">
        <v>16674</v>
      </c>
      <c r="D1507" s="2" t="s">
        <v>42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16675</v>
      </c>
      <c r="C1509" s="2" t="s">
        <v>16676</v>
      </c>
      <c r="D1509" s="2" t="s">
        <v>297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16677</v>
      </c>
      <c r="D1510" s="2" t="s">
        <v>297</v>
      </c>
      <c r="E1510" s="2">
        <v>156</v>
      </c>
      <c r="F1510" s="2">
        <v>3089</v>
      </c>
    </row>
    <row r="1511" spans="3:6" x14ac:dyDescent="0.25">
      <c r="C1511" s="2" t="s">
        <v>16678</v>
      </c>
      <c r="D1511" s="2" t="s">
        <v>216</v>
      </c>
      <c r="E1511" s="2">
        <v>105</v>
      </c>
      <c r="F1511" s="2">
        <v>1789</v>
      </c>
    </row>
    <row r="1512" spans="3:6" x14ac:dyDescent="0.25">
      <c r="C1512" s="2" t="s">
        <v>16679</v>
      </c>
      <c r="D1512" s="2" t="s">
        <v>214</v>
      </c>
      <c r="E1512" s="2">
        <v>156</v>
      </c>
      <c r="F1512" s="2">
        <v>2745</v>
      </c>
    </row>
    <row r="1513" spans="3:6" x14ac:dyDescent="0.25">
      <c r="C1513" s="2" t="s">
        <v>16680</v>
      </c>
      <c r="D1513" s="2" t="s">
        <v>214</v>
      </c>
      <c r="E1513" s="2">
        <v>157</v>
      </c>
      <c r="F1513" s="2">
        <v>2755</v>
      </c>
    </row>
    <row r="1514" spans="3:6" x14ac:dyDescent="0.25">
      <c r="C1514" s="2" t="s">
        <v>16681</v>
      </c>
      <c r="D1514" s="2" t="s">
        <v>216</v>
      </c>
      <c r="E1514" s="2">
        <v>105</v>
      </c>
      <c r="F1514" s="2">
        <v>1967</v>
      </c>
    </row>
    <row r="1515" spans="3:6" x14ac:dyDescent="0.25">
      <c r="C1515" s="2" t="s">
        <v>16682</v>
      </c>
      <c r="D1515" s="2" t="s">
        <v>204</v>
      </c>
      <c r="E1515" s="2">
        <v>105</v>
      </c>
      <c r="F1515" s="2">
        <v>1844</v>
      </c>
    </row>
    <row r="1517" spans="2:7" x14ac:dyDescent="0.25">
      <c r="B1517" s="2" t="s">
        <v>212</v>
      </c>
      <c r="C1517" s="2" t="s">
        <v>16683</v>
      </c>
      <c r="D1517" s="2" t="s">
        <v>204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16684</v>
      </c>
      <c r="D1518" s="2" t="s">
        <v>204</v>
      </c>
      <c r="E1518" s="2">
        <v>163</v>
      </c>
      <c r="F1518" s="2">
        <v>2866.422</v>
      </c>
    </row>
    <row r="1519" spans="3:6" x14ac:dyDescent="0.25">
      <c r="C1519" s="2" t="s">
        <v>16685</v>
      </c>
      <c r="D1519" s="2" t="s">
        <v>204</v>
      </c>
      <c r="E1519" s="2">
        <v>163</v>
      </c>
      <c r="F1519" s="2">
        <v>3100.309</v>
      </c>
    </row>
    <row r="1520" spans="3:6" x14ac:dyDescent="0.25">
      <c r="C1520" s="2" t="s">
        <v>16686</v>
      </c>
      <c r="D1520" s="2" t="s">
        <v>204</v>
      </c>
      <c r="E1520" s="2">
        <v>163</v>
      </c>
      <c r="F1520" s="2">
        <v>3156.92</v>
      </c>
    </row>
    <row r="1521" spans="3:6" x14ac:dyDescent="0.25">
      <c r="C1521" s="2" t="s">
        <v>16687</v>
      </c>
      <c r="D1521" s="2" t="s">
        <v>204</v>
      </c>
      <c r="E1521" s="2">
        <v>163</v>
      </c>
      <c r="F1521" s="2">
        <v>3094.981</v>
      </c>
    </row>
    <row r="1522" spans="3:6" x14ac:dyDescent="0.25">
      <c r="C1522" s="2" t="s">
        <v>16688</v>
      </c>
      <c r="D1522" s="2" t="s">
        <v>204</v>
      </c>
      <c r="E1522" s="2">
        <v>163</v>
      </c>
      <c r="F1522" s="2">
        <v>3129.087</v>
      </c>
    </row>
    <row r="1523" spans="3:6" x14ac:dyDescent="0.25">
      <c r="C1523" s="2" t="s">
        <v>16689</v>
      </c>
      <c r="D1523" s="2" t="s">
        <v>204</v>
      </c>
      <c r="E1523" s="2">
        <v>163</v>
      </c>
      <c r="F1523" s="2">
        <v>3094.119</v>
      </c>
    </row>
    <row r="1524" spans="3:6" x14ac:dyDescent="0.25">
      <c r="C1524" s="2" t="s">
        <v>16690</v>
      </c>
      <c r="D1524" s="2" t="s">
        <v>204</v>
      </c>
      <c r="E1524" s="2">
        <v>163</v>
      </c>
      <c r="F1524" s="2">
        <v>3078.344</v>
      </c>
    </row>
    <row r="1525" spans="3:6" x14ac:dyDescent="0.25">
      <c r="C1525" s="2" t="s">
        <v>16691</v>
      </c>
      <c r="D1525" s="2" t="s">
        <v>204</v>
      </c>
      <c r="E1525" s="2">
        <v>35</v>
      </c>
      <c r="F1525" s="2">
        <v>673</v>
      </c>
    </row>
    <row r="1526" spans="3:6" x14ac:dyDescent="0.25">
      <c r="C1526" s="2" t="s">
        <v>16692</v>
      </c>
      <c r="D1526" s="2" t="s">
        <v>204</v>
      </c>
      <c r="E1526" s="2">
        <v>128</v>
      </c>
      <c r="F1526" s="2">
        <v>2489.316</v>
      </c>
    </row>
    <row r="1527" spans="3:6" x14ac:dyDescent="0.25">
      <c r="C1527" s="2" t="s">
        <v>16693</v>
      </c>
      <c r="D1527" s="2" t="s">
        <v>204</v>
      </c>
      <c r="E1527" s="2">
        <v>105</v>
      </c>
      <c r="F1527" s="2">
        <v>800</v>
      </c>
    </row>
    <row r="1528" spans="3:6" x14ac:dyDescent="0.25">
      <c r="C1528" s="2" t="s">
        <v>16694</v>
      </c>
      <c r="D1528" s="2" t="s">
        <v>204</v>
      </c>
      <c r="E1528" s="2">
        <v>163</v>
      </c>
      <c r="F1528" s="2">
        <v>3049.41</v>
      </c>
    </row>
    <row r="1529" spans="3:6" x14ac:dyDescent="0.25">
      <c r="C1529" s="2" t="s">
        <v>16695</v>
      </c>
      <c r="D1529" s="2" t="s">
        <v>204</v>
      </c>
      <c r="E1529" s="2">
        <v>105</v>
      </c>
      <c r="F1529" s="2">
        <v>2115.579</v>
      </c>
    </row>
    <row r="1530" spans="3:6" x14ac:dyDescent="0.25">
      <c r="C1530" s="2" t="s">
        <v>16696</v>
      </c>
      <c r="D1530" s="2" t="s">
        <v>204</v>
      </c>
      <c r="E1530" s="2">
        <v>105</v>
      </c>
      <c r="F1530" s="2">
        <v>2159.702</v>
      </c>
    </row>
    <row r="1531" spans="3:6" x14ac:dyDescent="0.25">
      <c r="C1531" s="2" t="s">
        <v>16697</v>
      </c>
      <c r="D1531" s="2" t="s">
        <v>214</v>
      </c>
      <c r="E1531" s="2">
        <v>156</v>
      </c>
      <c r="F1531" s="2">
        <v>3178.391</v>
      </c>
    </row>
    <row r="1532" spans="3:6" x14ac:dyDescent="0.25">
      <c r="C1532" s="2" t="s">
        <v>16698</v>
      </c>
      <c r="D1532" s="2" t="s">
        <v>216</v>
      </c>
      <c r="E1532" s="2">
        <v>134</v>
      </c>
      <c r="F1532" s="2">
        <v>2685.78</v>
      </c>
    </row>
    <row r="1533" spans="3:6" x14ac:dyDescent="0.25">
      <c r="C1533" s="2" t="s">
        <v>16699</v>
      </c>
      <c r="D1533" s="2" t="s">
        <v>216</v>
      </c>
      <c r="E1533" s="2">
        <v>134</v>
      </c>
      <c r="F1533" s="2">
        <v>2723.89</v>
      </c>
    </row>
    <row r="1534" spans="3:6" x14ac:dyDescent="0.25">
      <c r="C1534" s="2" t="s">
        <v>16700</v>
      </c>
      <c r="D1534" s="2" t="s">
        <v>216</v>
      </c>
      <c r="E1534" s="2">
        <v>134</v>
      </c>
      <c r="F1534" s="2">
        <v>2693.8</v>
      </c>
    </row>
    <row r="1535" spans="3:6" x14ac:dyDescent="0.25">
      <c r="C1535" s="2" t="s">
        <v>16701</v>
      </c>
      <c r="D1535" s="2" t="s">
        <v>216</v>
      </c>
      <c r="E1535" s="2">
        <v>134</v>
      </c>
      <c r="F1535" s="2">
        <v>2710.17</v>
      </c>
    </row>
    <row r="1536" spans="3:6" x14ac:dyDescent="0.25">
      <c r="C1536" s="2" t="s">
        <v>16702</v>
      </c>
      <c r="D1536" s="2" t="s">
        <v>216</v>
      </c>
      <c r="E1536" s="2">
        <v>134</v>
      </c>
      <c r="F1536" s="2">
        <v>2717.78</v>
      </c>
    </row>
    <row r="1537" spans="3:6" x14ac:dyDescent="0.25">
      <c r="C1537" s="2" t="s">
        <v>16703</v>
      </c>
      <c r="D1537" s="2" t="s">
        <v>216</v>
      </c>
      <c r="E1537" s="2">
        <v>134</v>
      </c>
      <c r="F1537" s="2">
        <v>2709.26</v>
      </c>
    </row>
    <row r="1538" spans="3:6" x14ac:dyDescent="0.25">
      <c r="C1538" s="2" t="s">
        <v>16704</v>
      </c>
      <c r="D1538" s="2" t="s">
        <v>216</v>
      </c>
      <c r="E1538" s="2">
        <v>105</v>
      </c>
      <c r="F1538" s="2">
        <v>2141.18</v>
      </c>
    </row>
    <row r="1539" spans="3:6" x14ac:dyDescent="0.25">
      <c r="C1539" s="2" t="s">
        <v>16705</v>
      </c>
      <c r="D1539" s="2" t="s">
        <v>216</v>
      </c>
      <c r="E1539" s="2">
        <v>20</v>
      </c>
      <c r="F1539" s="2">
        <v>333.35</v>
      </c>
    </row>
    <row r="1540" spans="3:6" x14ac:dyDescent="0.25">
      <c r="C1540" s="2" t="s">
        <v>16706</v>
      </c>
      <c r="D1540" s="2" t="s">
        <v>216</v>
      </c>
      <c r="E1540" s="2">
        <v>16</v>
      </c>
      <c r="F1540" s="2">
        <v>321.6</v>
      </c>
    </row>
    <row r="1541" spans="3:6" x14ac:dyDescent="0.25">
      <c r="C1541" s="2" t="s">
        <v>16707</v>
      </c>
      <c r="D1541" s="2" t="s">
        <v>236</v>
      </c>
      <c r="E1541" s="2">
        <v>5</v>
      </c>
      <c r="F1541" s="2">
        <v>103</v>
      </c>
    </row>
    <row r="1542" spans="3:6" x14ac:dyDescent="0.25">
      <c r="C1542" s="2" t="s">
        <v>16708</v>
      </c>
      <c r="D1542" s="2" t="s">
        <v>236</v>
      </c>
      <c r="E1542" s="2">
        <v>60</v>
      </c>
      <c r="F1542" s="2">
        <v>1099.86</v>
      </c>
    </row>
    <row r="1543" spans="3:6" x14ac:dyDescent="0.25">
      <c r="C1543" s="2" t="s">
        <v>16709</v>
      </c>
      <c r="D1543" s="2" t="s">
        <v>236</v>
      </c>
      <c r="E1543" s="2">
        <v>13</v>
      </c>
      <c r="F1543" s="2">
        <v>242.15</v>
      </c>
    </row>
    <row r="1544" spans="3:6" x14ac:dyDescent="0.25">
      <c r="C1544" s="2" t="s">
        <v>16710</v>
      </c>
      <c r="D1544" s="2" t="s">
        <v>236</v>
      </c>
      <c r="E1544" s="2">
        <v>78</v>
      </c>
      <c r="F1544" s="2">
        <v>1500.09</v>
      </c>
    </row>
    <row r="1545" spans="3:6" x14ac:dyDescent="0.25">
      <c r="C1545" s="2" t="s">
        <v>16711</v>
      </c>
      <c r="D1545" s="2" t="s">
        <v>236</v>
      </c>
      <c r="E1545" s="2">
        <v>80</v>
      </c>
      <c r="F1545" s="2">
        <v>1549.93</v>
      </c>
    </row>
    <row r="1546" spans="3:6" x14ac:dyDescent="0.25">
      <c r="C1546" s="2" t="s">
        <v>16712</v>
      </c>
      <c r="D1546" s="2" t="s">
        <v>236</v>
      </c>
      <c r="E1546" s="2">
        <v>42</v>
      </c>
      <c r="F1546" s="2">
        <v>783.44</v>
      </c>
    </row>
    <row r="1547" spans="3:6" x14ac:dyDescent="0.25">
      <c r="C1547" s="2" t="s">
        <v>16713</v>
      </c>
      <c r="D1547" s="2" t="s">
        <v>236</v>
      </c>
      <c r="E1547" s="2">
        <v>34</v>
      </c>
      <c r="F1547" s="2">
        <v>616.02</v>
      </c>
    </row>
    <row r="1548" spans="3:6" x14ac:dyDescent="0.25">
      <c r="C1548" s="2" t="s">
        <v>16714</v>
      </c>
      <c r="D1548" s="2" t="s">
        <v>236</v>
      </c>
      <c r="E1548" s="2">
        <v>60</v>
      </c>
      <c r="F1548" s="2">
        <v>1132.97</v>
      </c>
    </row>
    <row r="1549" spans="3:6" x14ac:dyDescent="0.25">
      <c r="C1549" s="2" t="s">
        <v>16715</v>
      </c>
      <c r="D1549" s="2" t="s">
        <v>236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12462</v>
      </c>
      <c r="C1551" s="2" t="s">
        <v>16716</v>
      </c>
      <c r="D1551" s="2" t="s">
        <v>20</v>
      </c>
      <c r="E1551" s="2">
        <v>134</v>
      </c>
      <c r="F1551" s="2" t="s">
        <v>16717</v>
      </c>
      <c r="G1551" s="1">
        <v>46125</v>
      </c>
    </row>
    <row r="1552" spans="3:6" x14ac:dyDescent="0.25">
      <c r="C1552" s="2" t="s">
        <v>16718</v>
      </c>
      <c r="D1552" s="2" t="s">
        <v>20</v>
      </c>
      <c r="E1552" s="2">
        <v>148</v>
      </c>
      <c r="F1552" s="2">
        <v>3016.361</v>
      </c>
    </row>
    <row r="1553" spans="3:6" x14ac:dyDescent="0.25">
      <c r="C1553" s="2" t="s">
        <v>16719</v>
      </c>
      <c r="D1553" s="2" t="s">
        <v>20</v>
      </c>
      <c r="E1553" s="2">
        <v>145</v>
      </c>
      <c r="F1553" s="2">
        <v>2485.759</v>
      </c>
    </row>
    <row r="1554" spans="3:6" x14ac:dyDescent="0.25">
      <c r="C1554" s="2" t="s">
        <v>16720</v>
      </c>
      <c r="D1554" s="2" t="s">
        <v>20</v>
      </c>
      <c r="E1554" s="2">
        <v>94</v>
      </c>
      <c r="F1554" s="2">
        <v>1526.886</v>
      </c>
    </row>
    <row r="1555" spans="3:6" x14ac:dyDescent="0.25">
      <c r="C1555" s="2" t="s">
        <v>16721</v>
      </c>
      <c r="D1555" s="2" t="s">
        <v>20</v>
      </c>
      <c r="E1555" s="2">
        <v>81</v>
      </c>
      <c r="F1555" s="2">
        <v>1539.247</v>
      </c>
    </row>
    <row r="1556" spans="3:6" x14ac:dyDescent="0.25">
      <c r="C1556" s="2" t="s">
        <v>16722</v>
      </c>
      <c r="D1556" s="2" t="s">
        <v>20</v>
      </c>
      <c r="E1556" s="2">
        <v>15</v>
      </c>
      <c r="F1556" s="2">
        <v>328.23</v>
      </c>
    </row>
    <row r="1557" spans="3:6" x14ac:dyDescent="0.25">
      <c r="C1557" s="2" t="s">
        <v>16723</v>
      </c>
      <c r="D1557" s="2" t="s">
        <v>20</v>
      </c>
      <c r="E1557" s="2">
        <v>95</v>
      </c>
      <c r="F1557" s="2">
        <v>1834.78</v>
      </c>
    </row>
    <row r="1558" spans="3:6" x14ac:dyDescent="0.25">
      <c r="C1558" s="2" t="s">
        <v>16724</v>
      </c>
      <c r="D1558" s="2" t="s">
        <v>20</v>
      </c>
      <c r="E1558" s="2">
        <v>102</v>
      </c>
      <c r="F1558" s="2">
        <v>1984.52</v>
      </c>
    </row>
    <row r="1559" spans="3:6" x14ac:dyDescent="0.25">
      <c r="C1559" s="2" t="s">
        <v>16725</v>
      </c>
      <c r="D1559" s="2" t="s">
        <v>20</v>
      </c>
      <c r="E1559" s="2">
        <v>149</v>
      </c>
      <c r="F1559" s="2">
        <v>2650.269</v>
      </c>
    </row>
    <row r="1560" spans="3:6" x14ac:dyDescent="0.25">
      <c r="C1560" s="2" t="s">
        <v>16726</v>
      </c>
      <c r="D1560" s="2" t="s">
        <v>20</v>
      </c>
      <c r="E1560" s="2">
        <v>149</v>
      </c>
      <c r="F1560" s="2">
        <v>2655.53</v>
      </c>
    </row>
    <row r="1561" spans="3:6" x14ac:dyDescent="0.25">
      <c r="C1561" s="2" t="s">
        <v>16727</v>
      </c>
      <c r="D1561" s="2" t="s">
        <v>20</v>
      </c>
      <c r="E1561" s="2">
        <v>149</v>
      </c>
      <c r="F1561" s="2">
        <v>2669.96</v>
      </c>
    </row>
    <row r="1562" spans="3:6" x14ac:dyDescent="0.25">
      <c r="C1562" s="2" t="s">
        <v>16728</v>
      </c>
      <c r="D1562" s="2" t="s">
        <v>20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335</v>
      </c>
      <c r="C1564" s="2" t="s">
        <v>16729</v>
      </c>
      <c r="D1564" s="2" t="s">
        <v>20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16730</v>
      </c>
      <c r="D1565" s="2" t="s">
        <v>20</v>
      </c>
      <c r="E1565" s="2">
        <v>149</v>
      </c>
      <c r="F1565" s="2">
        <v>2743.088</v>
      </c>
    </row>
    <row r="1566" spans="3:6" x14ac:dyDescent="0.25">
      <c r="C1566" s="2" t="s">
        <v>16731</v>
      </c>
      <c r="D1566" s="2" t="s">
        <v>20</v>
      </c>
      <c r="E1566" s="2">
        <v>149</v>
      </c>
      <c r="F1566" s="2">
        <v>2636.18</v>
      </c>
    </row>
    <row r="1567" spans="3:6" x14ac:dyDescent="0.25">
      <c r="C1567" s="2" t="s">
        <v>16732</v>
      </c>
      <c r="D1567" s="2" t="s">
        <v>20</v>
      </c>
      <c r="E1567" s="2">
        <v>105</v>
      </c>
      <c r="F1567" s="2">
        <v>1985.89</v>
      </c>
    </row>
    <row r="1568" spans="3:6" x14ac:dyDescent="0.25">
      <c r="C1568" s="2" t="s">
        <v>16733</v>
      </c>
      <c r="D1568" s="2" t="s">
        <v>20</v>
      </c>
      <c r="E1568" s="2">
        <v>105</v>
      </c>
      <c r="F1568" s="2">
        <v>2024.34</v>
      </c>
    </row>
    <row r="1569" spans="3:6" x14ac:dyDescent="0.25">
      <c r="C1569" s="2" t="s">
        <v>16734</v>
      </c>
      <c r="D1569" s="2" t="s">
        <v>20</v>
      </c>
      <c r="E1569" s="2">
        <v>149</v>
      </c>
      <c r="F1569" s="2">
        <v>2528.629</v>
      </c>
    </row>
    <row r="1570" spans="3:6" x14ac:dyDescent="0.25">
      <c r="C1570" s="2" t="s">
        <v>16735</v>
      </c>
      <c r="D1570" s="2" t="s">
        <v>20</v>
      </c>
      <c r="E1570" s="2">
        <v>149</v>
      </c>
      <c r="F1570" s="2">
        <v>2809.579</v>
      </c>
    </row>
    <row r="1571" spans="3:6" x14ac:dyDescent="0.25">
      <c r="C1571" s="2" t="s">
        <v>16736</v>
      </c>
      <c r="D1571" s="2" t="s">
        <v>20</v>
      </c>
      <c r="E1571" s="2">
        <v>149</v>
      </c>
      <c r="F1571" s="2">
        <v>2723.12</v>
      </c>
    </row>
    <row r="1572" spans="3:6" x14ac:dyDescent="0.25">
      <c r="C1572" s="2" t="s">
        <v>16737</v>
      </c>
      <c r="D1572" s="2" t="s">
        <v>20</v>
      </c>
      <c r="E1572" s="2">
        <v>149</v>
      </c>
      <c r="F1572" s="2">
        <v>2801.44</v>
      </c>
    </row>
    <row r="1573" spans="3:6" x14ac:dyDescent="0.25">
      <c r="C1573" s="2" t="s">
        <v>16738</v>
      </c>
      <c r="D1573" s="2" t="s">
        <v>20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206</v>
      </c>
      <c r="C1575" s="2" t="s">
        <v>16739</v>
      </c>
      <c r="D1575" s="2" t="s">
        <v>27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16740</v>
      </c>
      <c r="D1576" s="2" t="s">
        <v>27</v>
      </c>
      <c r="E1576" s="2">
        <v>85</v>
      </c>
      <c r="F1576" s="2">
        <v>1710.299</v>
      </c>
    </row>
    <row r="1577" spans="3:6" x14ac:dyDescent="0.25">
      <c r="C1577" s="2" t="s">
        <v>16741</v>
      </c>
      <c r="D1577" s="2" t="s">
        <v>27</v>
      </c>
      <c r="E1577" s="2">
        <v>87</v>
      </c>
      <c r="F1577" s="2">
        <v>1740.077</v>
      </c>
    </row>
    <row r="1578" spans="3:6" x14ac:dyDescent="0.25">
      <c r="C1578" s="2" t="s">
        <v>16742</v>
      </c>
      <c r="D1578" s="2" t="s">
        <v>27</v>
      </c>
      <c r="E1578" s="2">
        <v>99</v>
      </c>
      <c r="F1578" s="2">
        <v>1700.26</v>
      </c>
    </row>
    <row r="1579" spans="3:6" x14ac:dyDescent="0.25">
      <c r="C1579" s="2" t="s">
        <v>16743</v>
      </c>
      <c r="D1579" s="2" t="s">
        <v>27</v>
      </c>
      <c r="E1579" s="2">
        <v>16</v>
      </c>
      <c r="F1579" s="2">
        <v>292.29</v>
      </c>
    </row>
    <row r="1580" spans="3:6" x14ac:dyDescent="0.25">
      <c r="C1580" s="2" t="s">
        <v>16744</v>
      </c>
      <c r="D1580" s="2" t="s">
        <v>27</v>
      </c>
      <c r="E1580" s="2">
        <v>118</v>
      </c>
      <c r="F1580" s="2">
        <v>2310.87</v>
      </c>
    </row>
    <row r="1581" spans="3:6" x14ac:dyDescent="0.25">
      <c r="C1581" s="2" t="s">
        <v>16745</v>
      </c>
      <c r="D1581" s="2" t="s">
        <v>27</v>
      </c>
      <c r="E1581" s="2">
        <v>8</v>
      </c>
      <c r="F1581" s="2">
        <v>165.16</v>
      </c>
    </row>
    <row r="1582" spans="3:6" x14ac:dyDescent="0.25">
      <c r="C1582" s="2" t="s">
        <v>16746</v>
      </c>
      <c r="D1582" s="2" t="s">
        <v>27</v>
      </c>
      <c r="E1582" s="2">
        <v>107</v>
      </c>
      <c r="F1582" s="2">
        <v>2248.729</v>
      </c>
    </row>
    <row r="1583" spans="3:6" x14ac:dyDescent="0.25">
      <c r="C1583" s="2" t="s">
        <v>16747</v>
      </c>
      <c r="D1583" s="2" t="s">
        <v>27</v>
      </c>
      <c r="E1583" s="2">
        <v>27</v>
      </c>
      <c r="F1583" s="2">
        <v>586.6</v>
      </c>
    </row>
    <row r="1584" spans="3:6" x14ac:dyDescent="0.25">
      <c r="C1584" s="2" t="s">
        <v>16748</v>
      </c>
      <c r="D1584" s="2" t="s">
        <v>27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10</v>
      </c>
      <c r="C1586" s="2" t="s">
        <v>16749</v>
      </c>
      <c r="D1586" s="2" t="s">
        <v>12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16750</v>
      </c>
      <c r="D1587" s="2" t="s">
        <v>12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13396</v>
      </c>
      <c r="C1589" s="2" t="s">
        <v>16751</v>
      </c>
      <c r="D1589" s="2" t="s">
        <v>8441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16752</v>
      </c>
      <c r="D1590" s="2" t="s">
        <v>8441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12462</v>
      </c>
      <c r="C1592" s="2" t="s">
        <v>16753</v>
      </c>
      <c r="D1592" s="2" t="s">
        <v>20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16754</v>
      </c>
      <c r="D1593" s="2" t="s">
        <v>20</v>
      </c>
      <c r="E1593" s="2">
        <v>170</v>
      </c>
      <c r="F1593" s="2">
        <v>3199.489</v>
      </c>
    </row>
    <row r="1594" spans="3:6" x14ac:dyDescent="0.25">
      <c r="C1594" s="2" t="s">
        <v>16755</v>
      </c>
      <c r="D1594" s="2" t="s">
        <v>20</v>
      </c>
      <c r="E1594" s="2">
        <v>234</v>
      </c>
      <c r="F1594" s="2">
        <v>4253.7</v>
      </c>
    </row>
    <row r="1595" spans="3:6" x14ac:dyDescent="0.25">
      <c r="C1595" s="2" t="s">
        <v>16756</v>
      </c>
      <c r="D1595" s="2" t="s">
        <v>20</v>
      </c>
      <c r="E1595" s="2">
        <v>174</v>
      </c>
      <c r="F1595" s="2">
        <v>3166.449</v>
      </c>
    </row>
    <row r="1596" spans="3:6" x14ac:dyDescent="0.25">
      <c r="C1596" s="2" t="s">
        <v>16757</v>
      </c>
      <c r="D1596" s="2" t="s">
        <v>20</v>
      </c>
      <c r="E1596" s="2">
        <v>174</v>
      </c>
      <c r="F1596" s="2">
        <v>2979.769</v>
      </c>
    </row>
    <row r="1597" spans="3:6" x14ac:dyDescent="0.25">
      <c r="C1597" s="2" t="s">
        <v>16758</v>
      </c>
      <c r="D1597" s="2" t="s">
        <v>20</v>
      </c>
      <c r="E1597" s="2">
        <v>147</v>
      </c>
      <c r="F1597" s="2">
        <v>2621.494</v>
      </c>
    </row>
    <row r="1598" spans="3:6" x14ac:dyDescent="0.25">
      <c r="C1598" s="2" t="s">
        <v>16759</v>
      </c>
      <c r="D1598" s="2" t="s">
        <v>20</v>
      </c>
      <c r="E1598" s="2">
        <v>184</v>
      </c>
      <c r="F1598" s="2">
        <v>3153.13</v>
      </c>
    </row>
    <row r="1599" spans="3:6" x14ac:dyDescent="0.25">
      <c r="C1599" s="2" t="s">
        <v>16760</v>
      </c>
      <c r="D1599" s="2" t="s">
        <v>20</v>
      </c>
      <c r="E1599" s="2">
        <v>298</v>
      </c>
      <c r="F1599" s="2">
        <v>5187.147</v>
      </c>
    </row>
    <row r="1600" spans="3:6" x14ac:dyDescent="0.25">
      <c r="C1600" s="2" t="s">
        <v>16761</v>
      </c>
      <c r="D1600" s="2" t="s">
        <v>20</v>
      </c>
      <c r="E1600" s="2">
        <v>298</v>
      </c>
      <c r="F1600" s="2">
        <v>5227.778</v>
      </c>
    </row>
    <row r="1601" spans="3:6" x14ac:dyDescent="0.25">
      <c r="C1601" s="2" t="s">
        <v>16762</v>
      </c>
      <c r="D1601" s="2" t="s">
        <v>20</v>
      </c>
      <c r="E1601" s="2">
        <v>298</v>
      </c>
      <c r="F1601" s="2">
        <v>5548.129</v>
      </c>
    </row>
    <row r="1602" spans="3:6" x14ac:dyDescent="0.25">
      <c r="C1602" s="2" t="s">
        <v>16763</v>
      </c>
      <c r="D1602" s="2" t="s">
        <v>20</v>
      </c>
      <c r="E1602" s="2">
        <v>90</v>
      </c>
      <c r="F1602" s="2">
        <v>1683.948</v>
      </c>
    </row>
    <row r="1603" spans="3:6" x14ac:dyDescent="0.25">
      <c r="C1603" s="2" t="s">
        <v>16722</v>
      </c>
      <c r="D1603" s="2" t="s">
        <v>20</v>
      </c>
      <c r="E1603" s="2">
        <v>15</v>
      </c>
      <c r="F1603" s="2">
        <v>328.23</v>
      </c>
    </row>
    <row r="1604" spans="3:6" x14ac:dyDescent="0.25">
      <c r="C1604" s="2" t="s">
        <v>16723</v>
      </c>
      <c r="D1604" s="2" t="s">
        <v>20</v>
      </c>
      <c r="E1604" s="2">
        <v>95</v>
      </c>
      <c r="F1604" s="2">
        <v>1834.78</v>
      </c>
    </row>
    <row r="1605" spans="3:6" x14ac:dyDescent="0.25">
      <c r="C1605" s="2" t="s">
        <v>16728</v>
      </c>
      <c r="D1605" s="2" t="s">
        <v>20</v>
      </c>
      <c r="E1605" s="2">
        <v>102</v>
      </c>
      <c r="F1605" s="2">
        <v>1834.099</v>
      </c>
    </row>
    <row r="1606" spans="3:6" x14ac:dyDescent="0.25">
      <c r="C1606" s="2" t="s">
        <v>16727</v>
      </c>
      <c r="D1606" s="2" t="s">
        <v>20</v>
      </c>
      <c r="E1606" s="2">
        <v>149</v>
      </c>
      <c r="F1606" s="2">
        <v>2669.96</v>
      </c>
    </row>
    <row r="1607" spans="3:6" x14ac:dyDescent="0.25">
      <c r="C1607" s="2" t="s">
        <v>16726</v>
      </c>
      <c r="D1607" s="2" t="s">
        <v>20</v>
      </c>
      <c r="E1607" s="2">
        <v>149</v>
      </c>
      <c r="F1607" s="2">
        <v>2655.53</v>
      </c>
    </row>
    <row r="1608" spans="3:6" x14ac:dyDescent="0.25">
      <c r="C1608" s="2" t="s">
        <v>16725</v>
      </c>
      <c r="D1608" s="2" t="s">
        <v>20</v>
      </c>
      <c r="E1608" s="2">
        <v>149</v>
      </c>
      <c r="F1608" s="2">
        <v>2650.269</v>
      </c>
    </row>
    <row r="1609" spans="3:6" x14ac:dyDescent="0.25">
      <c r="C1609" s="2" t="s">
        <v>16720</v>
      </c>
      <c r="D1609" s="2" t="s">
        <v>20</v>
      </c>
      <c r="E1609" s="2">
        <v>94</v>
      </c>
      <c r="F1609" s="2">
        <v>1526.886</v>
      </c>
    </row>
    <row r="1610" spans="3:6" x14ac:dyDescent="0.25">
      <c r="C1610" s="2" t="s">
        <v>16721</v>
      </c>
      <c r="D1610" s="2" t="s">
        <v>20</v>
      </c>
      <c r="E1610" s="2">
        <v>81</v>
      </c>
      <c r="F1610" s="2">
        <v>1539.247</v>
      </c>
    </row>
    <row r="1611" spans="3:6" x14ac:dyDescent="0.25">
      <c r="C1611" s="2" t="s">
        <v>16724</v>
      </c>
      <c r="D1611" s="2" t="s">
        <v>20</v>
      </c>
      <c r="E1611" s="2">
        <v>102</v>
      </c>
      <c r="F1611" s="2">
        <v>1984.52</v>
      </c>
    </row>
    <row r="1612" spans="3:6" x14ac:dyDescent="0.25">
      <c r="C1612" s="2" t="s">
        <v>16716</v>
      </c>
      <c r="D1612" s="2" t="s">
        <v>20</v>
      </c>
      <c r="E1612" s="2">
        <v>134</v>
      </c>
      <c r="F1612" s="2">
        <v>2973.81</v>
      </c>
    </row>
    <row r="1613" spans="3:6" x14ac:dyDescent="0.25">
      <c r="C1613" s="2" t="s">
        <v>16718</v>
      </c>
      <c r="D1613" s="2" t="s">
        <v>20</v>
      </c>
      <c r="E1613" s="2">
        <v>148</v>
      </c>
      <c r="F1613" s="2">
        <v>3016.361</v>
      </c>
    </row>
    <row r="1614" spans="3:6" x14ac:dyDescent="0.25">
      <c r="C1614" s="2" t="s">
        <v>16719</v>
      </c>
      <c r="D1614" s="2" t="s">
        <v>20</v>
      </c>
      <c r="E1614" s="2">
        <v>145</v>
      </c>
      <c r="F1614" s="2">
        <v>2485.759</v>
      </c>
    </row>
    <row r="1615" spans="3:6" x14ac:dyDescent="0.25">
      <c r="C1615" s="2" t="s">
        <v>16764</v>
      </c>
      <c r="D1615" s="2" t="s">
        <v>20</v>
      </c>
      <c r="E1615" s="2">
        <v>234</v>
      </c>
      <c r="F1615" s="2">
        <v>4081.308</v>
      </c>
    </row>
    <row r="1616" spans="3:6" x14ac:dyDescent="0.25">
      <c r="C1616" s="2" t="s">
        <v>16765</v>
      </c>
      <c r="D1616" s="2" t="s">
        <v>20</v>
      </c>
      <c r="E1616" s="2">
        <v>234</v>
      </c>
      <c r="F1616" s="2">
        <v>4151.149</v>
      </c>
    </row>
    <row r="1617" spans="3:6" x14ac:dyDescent="0.25">
      <c r="C1617" s="2" t="s">
        <v>16766</v>
      </c>
      <c r="D1617" s="2" t="s">
        <v>20</v>
      </c>
      <c r="E1617" s="2">
        <v>117</v>
      </c>
      <c r="F1617" s="2">
        <v>2149.61</v>
      </c>
    </row>
    <row r="1618" spans="3:6" x14ac:dyDescent="0.25">
      <c r="C1618" s="2" t="s">
        <v>16767</v>
      </c>
      <c r="D1618" s="2" t="s">
        <v>20</v>
      </c>
      <c r="E1618" s="2">
        <v>110</v>
      </c>
      <c r="F1618" s="2">
        <v>2196.029</v>
      </c>
    </row>
    <row r="1619" spans="3:6" x14ac:dyDescent="0.25">
      <c r="C1619" s="2" t="s">
        <v>16768</v>
      </c>
      <c r="D1619" s="2" t="s">
        <v>20</v>
      </c>
      <c r="E1619" s="2">
        <v>170</v>
      </c>
      <c r="F1619" s="2">
        <v>3187.74</v>
      </c>
    </row>
    <row r="1620" spans="3:6" x14ac:dyDescent="0.25">
      <c r="C1620" s="2" t="s">
        <v>16769</v>
      </c>
      <c r="D1620" s="2" t="s">
        <v>20</v>
      </c>
      <c r="E1620" s="2">
        <v>170</v>
      </c>
      <c r="F1620" s="2">
        <v>3186.84</v>
      </c>
    </row>
    <row r="1621" spans="3:6" x14ac:dyDescent="0.25">
      <c r="C1621" s="2" t="s">
        <v>16770</v>
      </c>
      <c r="D1621" s="2" t="s">
        <v>20</v>
      </c>
      <c r="E1621" s="2">
        <v>270</v>
      </c>
      <c r="F1621" s="2">
        <v>5163.699</v>
      </c>
    </row>
    <row r="1622" spans="3:6" x14ac:dyDescent="0.25">
      <c r="C1622" s="2" t="s">
        <v>16771</v>
      </c>
      <c r="D1622" s="2" t="s">
        <v>20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18</v>
      </c>
      <c r="C1624" s="2" t="s">
        <v>16772</v>
      </c>
      <c r="D1624" s="2" t="s">
        <v>20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16773</v>
      </c>
      <c r="D1625" s="2" t="s">
        <v>20</v>
      </c>
      <c r="E1625" s="2">
        <v>102</v>
      </c>
      <c r="F1625" s="2">
        <v>2031.829</v>
      </c>
    </row>
    <row r="1626" spans="3:6" x14ac:dyDescent="0.25">
      <c r="C1626" s="2" t="s">
        <v>16774</v>
      </c>
      <c r="D1626" s="2" t="s">
        <v>20</v>
      </c>
      <c r="E1626" s="2">
        <v>241</v>
      </c>
      <c r="F1626" s="2">
        <v>4891.726</v>
      </c>
    </row>
    <row r="1627" spans="3:6" x14ac:dyDescent="0.25">
      <c r="C1627" s="2" t="s">
        <v>16775</v>
      </c>
      <c r="D1627" s="2" t="s">
        <v>20</v>
      </c>
      <c r="E1627" s="2">
        <v>298</v>
      </c>
      <c r="F1627" s="2">
        <v>5454.768</v>
      </c>
    </row>
    <row r="1628" spans="3:6" x14ac:dyDescent="0.25">
      <c r="C1628" s="2" t="s">
        <v>16776</v>
      </c>
      <c r="D1628" s="2" t="s">
        <v>20</v>
      </c>
      <c r="E1628" s="2">
        <v>251</v>
      </c>
      <c r="F1628" s="2">
        <v>4679.509</v>
      </c>
    </row>
    <row r="1629" spans="3:6" x14ac:dyDescent="0.25">
      <c r="C1629" s="2" t="s">
        <v>16777</v>
      </c>
      <c r="D1629" s="2" t="s">
        <v>20</v>
      </c>
      <c r="E1629" s="2">
        <v>251</v>
      </c>
      <c r="F1629" s="2">
        <v>4573.408</v>
      </c>
    </row>
    <row r="1630" spans="3:6" x14ac:dyDescent="0.25">
      <c r="C1630" s="2" t="s">
        <v>16778</v>
      </c>
      <c r="D1630" s="2" t="s">
        <v>20</v>
      </c>
      <c r="E1630" s="2">
        <v>149</v>
      </c>
      <c r="F1630" s="2">
        <v>2671.13</v>
      </c>
    </row>
    <row r="1631" spans="3:6" x14ac:dyDescent="0.25">
      <c r="C1631" s="2" t="s">
        <v>16779</v>
      </c>
      <c r="D1631" s="2" t="s">
        <v>20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2097</v>
      </c>
      <c r="C1633" s="2" t="s">
        <v>16780</v>
      </c>
      <c r="D1633" s="2" t="s">
        <v>27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16781</v>
      </c>
      <c r="D1634" s="2" t="s">
        <v>27</v>
      </c>
      <c r="E1634" s="2">
        <v>46</v>
      </c>
      <c r="F1634" s="2">
        <v>783.999</v>
      </c>
    </row>
    <row r="1635" spans="3:6" x14ac:dyDescent="0.25">
      <c r="C1635" s="2" t="s">
        <v>16782</v>
      </c>
      <c r="D1635" s="2" t="s">
        <v>27</v>
      </c>
      <c r="E1635" s="2">
        <v>55</v>
      </c>
      <c r="F1635" s="2">
        <v>1004.75</v>
      </c>
    </row>
    <row r="1636" spans="3:6" x14ac:dyDescent="0.25">
      <c r="C1636" s="2" t="s">
        <v>16783</v>
      </c>
      <c r="D1636" s="2" t="s">
        <v>27</v>
      </c>
      <c r="E1636" s="2">
        <v>88</v>
      </c>
      <c r="F1636" s="2">
        <v>1730.45</v>
      </c>
    </row>
    <row r="1637" spans="3:6" x14ac:dyDescent="0.25">
      <c r="C1637" s="2" t="s">
        <v>16784</v>
      </c>
      <c r="D1637" s="2" t="s">
        <v>27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9724</v>
      </c>
      <c r="C1639" s="2" t="s">
        <v>16785</v>
      </c>
      <c r="D1639" s="2" t="s">
        <v>9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16617</v>
      </c>
      <c r="D1640" s="2" t="s">
        <v>9</v>
      </c>
      <c r="E1640" s="2">
        <v>70</v>
      </c>
      <c r="F1640" s="2">
        <v>1284.059</v>
      </c>
    </row>
    <row r="1641" spans="3:6" x14ac:dyDescent="0.25">
      <c r="C1641" s="2" t="s">
        <v>16618</v>
      </c>
      <c r="D1641" s="2" t="s">
        <v>9</v>
      </c>
      <c r="E1641" s="2">
        <v>71</v>
      </c>
      <c r="F1641" s="2">
        <v>1349.809</v>
      </c>
    </row>
    <row r="1642" spans="3:6" x14ac:dyDescent="0.25">
      <c r="C1642" s="2" t="s">
        <v>16620</v>
      </c>
      <c r="D1642" s="2" t="s">
        <v>9</v>
      </c>
      <c r="E1642" s="2">
        <v>35</v>
      </c>
      <c r="F1642" s="2">
        <v>624.42</v>
      </c>
    </row>
    <row r="1643" spans="3:6" x14ac:dyDescent="0.25">
      <c r="C1643" s="2" t="s">
        <v>16619</v>
      </c>
      <c r="D1643" s="2" t="s">
        <v>9</v>
      </c>
      <c r="E1643" s="2">
        <v>107</v>
      </c>
      <c r="F1643" s="2">
        <v>1862.05</v>
      </c>
    </row>
    <row r="1644" spans="3:6" x14ac:dyDescent="0.25">
      <c r="C1644" s="2" t="s">
        <v>16786</v>
      </c>
      <c r="D1644" s="2" t="s">
        <v>9</v>
      </c>
      <c r="E1644" s="2">
        <v>307</v>
      </c>
      <c r="F1644" s="2">
        <v>6303.2</v>
      </c>
    </row>
    <row r="1645" spans="3:6" x14ac:dyDescent="0.25">
      <c r="C1645" s="2" t="s">
        <v>16787</v>
      </c>
      <c r="D1645" s="2" t="s">
        <v>9</v>
      </c>
      <c r="E1645" s="2">
        <v>102</v>
      </c>
      <c r="F1645" s="2">
        <v>2087.67</v>
      </c>
    </row>
    <row r="1646" spans="3:6" x14ac:dyDescent="0.25">
      <c r="C1646" s="2" t="s">
        <v>16788</v>
      </c>
      <c r="D1646" s="2" t="s">
        <v>9</v>
      </c>
      <c r="E1646" s="2">
        <v>123</v>
      </c>
      <c r="F1646" s="2">
        <v>2593.68</v>
      </c>
    </row>
    <row r="1647" spans="3:6" x14ac:dyDescent="0.25">
      <c r="C1647" s="2" t="s">
        <v>16789</v>
      </c>
      <c r="D1647" s="2" t="s">
        <v>9</v>
      </c>
      <c r="E1647" s="2">
        <v>141</v>
      </c>
      <c r="F1647" s="2">
        <v>2882.69</v>
      </c>
    </row>
    <row r="1648" spans="3:6" x14ac:dyDescent="0.25">
      <c r="C1648" s="2" t="s">
        <v>16790</v>
      </c>
      <c r="D1648" s="2" t="s">
        <v>9</v>
      </c>
      <c r="E1648" s="2">
        <v>282</v>
      </c>
      <c r="F1648" s="2">
        <v>5827.75</v>
      </c>
    </row>
    <row r="1649" spans="3:6" x14ac:dyDescent="0.25">
      <c r="C1649" s="2" t="s">
        <v>16791</v>
      </c>
      <c r="D1649" s="2" t="s">
        <v>9</v>
      </c>
      <c r="E1649" s="2">
        <v>102</v>
      </c>
      <c r="F1649" s="2">
        <v>2156.368</v>
      </c>
    </row>
    <row r="1650" spans="3:6" x14ac:dyDescent="0.25">
      <c r="C1650" s="2" t="s">
        <v>16792</v>
      </c>
      <c r="D1650" s="2" t="s">
        <v>9</v>
      </c>
      <c r="E1650" s="2">
        <v>282</v>
      </c>
      <c r="F1650" s="2">
        <v>5906.3</v>
      </c>
    </row>
    <row r="1651" spans="3:6" x14ac:dyDescent="0.25">
      <c r="C1651" s="2" t="s">
        <v>16793</v>
      </c>
      <c r="D1651" s="2" t="s">
        <v>9</v>
      </c>
      <c r="E1651" s="2">
        <v>30</v>
      </c>
      <c r="F1651" s="2">
        <v>125.779</v>
      </c>
    </row>
    <row r="1652" spans="3:6" x14ac:dyDescent="0.25">
      <c r="C1652" s="2" t="s">
        <v>16794</v>
      </c>
      <c r="D1652" s="2" t="s">
        <v>9</v>
      </c>
      <c r="E1652" s="2">
        <v>52</v>
      </c>
      <c r="F1652" s="2">
        <v>219.36</v>
      </c>
    </row>
    <row r="1653" spans="3:6" x14ac:dyDescent="0.25">
      <c r="C1653" s="2" t="s">
        <v>16795</v>
      </c>
      <c r="D1653" s="2" t="s">
        <v>9</v>
      </c>
      <c r="E1653" s="2">
        <v>123</v>
      </c>
      <c r="F1653" s="2">
        <v>2528.58</v>
      </c>
    </row>
    <row r="1654" spans="3:6" x14ac:dyDescent="0.25">
      <c r="C1654" s="2" t="s">
        <v>16796</v>
      </c>
      <c r="D1654" s="2" t="s">
        <v>9</v>
      </c>
      <c r="E1654" s="2">
        <v>65</v>
      </c>
      <c r="F1654" s="2">
        <v>1096.501</v>
      </c>
    </row>
    <row r="1655" spans="3:6" x14ac:dyDescent="0.25">
      <c r="C1655" s="2" t="s">
        <v>16797</v>
      </c>
      <c r="D1655" s="2" t="s">
        <v>9</v>
      </c>
      <c r="E1655" s="2">
        <v>10</v>
      </c>
      <c r="F1655" s="2">
        <v>187.23</v>
      </c>
    </row>
    <row r="1656" spans="3:6" x14ac:dyDescent="0.25">
      <c r="C1656" s="2" t="s">
        <v>16798</v>
      </c>
      <c r="D1656" s="2" t="s">
        <v>9</v>
      </c>
      <c r="E1656" s="2">
        <v>282</v>
      </c>
      <c r="F1656" s="2">
        <v>5901.4</v>
      </c>
    </row>
    <row r="1657" spans="3:6" x14ac:dyDescent="0.25">
      <c r="C1657" s="2" t="s">
        <v>16799</v>
      </c>
      <c r="D1657" s="2" t="s">
        <v>9</v>
      </c>
      <c r="E1657" s="2">
        <v>220</v>
      </c>
      <c r="F1657" s="2">
        <v>4558.09</v>
      </c>
    </row>
    <row r="1658" spans="3:6" x14ac:dyDescent="0.25">
      <c r="C1658" s="2" t="s">
        <v>16800</v>
      </c>
      <c r="D1658" s="2" t="s">
        <v>9</v>
      </c>
      <c r="E1658" s="2">
        <v>55</v>
      </c>
      <c r="F1658" s="2">
        <v>976.34</v>
      </c>
    </row>
    <row r="1659" spans="3:6" x14ac:dyDescent="0.25">
      <c r="C1659" s="2" t="s">
        <v>16801</v>
      </c>
      <c r="D1659" s="2" t="s">
        <v>9</v>
      </c>
      <c r="E1659" s="2">
        <v>282</v>
      </c>
      <c r="F1659" s="2">
        <v>5837.56</v>
      </c>
    </row>
    <row r="1660" spans="3:6" x14ac:dyDescent="0.25">
      <c r="C1660" s="2" t="s">
        <v>16802</v>
      </c>
      <c r="D1660" s="2" t="s">
        <v>9</v>
      </c>
      <c r="E1660" s="2">
        <v>144</v>
      </c>
      <c r="F1660" s="2">
        <v>2917.739</v>
      </c>
    </row>
    <row r="1661" spans="3:6" x14ac:dyDescent="0.25">
      <c r="C1661" s="2" t="s">
        <v>16803</v>
      </c>
      <c r="D1661" s="2" t="s">
        <v>9</v>
      </c>
      <c r="E1661" s="2">
        <v>102</v>
      </c>
      <c r="F1661" s="2">
        <v>2108.53</v>
      </c>
    </row>
    <row r="1662" spans="3:6" x14ac:dyDescent="0.25">
      <c r="C1662" s="2" t="s">
        <v>16804</v>
      </c>
      <c r="D1662" s="2" t="s">
        <v>9</v>
      </c>
      <c r="E1662" s="2">
        <v>141</v>
      </c>
      <c r="F1662" s="2">
        <v>2698.49</v>
      </c>
    </row>
    <row r="1663" spans="3:6" x14ac:dyDescent="0.25">
      <c r="C1663" s="2" t="s">
        <v>16805</v>
      </c>
      <c r="D1663" s="2" t="s">
        <v>9</v>
      </c>
      <c r="E1663" s="2">
        <v>28</v>
      </c>
      <c r="F1663" s="2">
        <v>584.33</v>
      </c>
    </row>
    <row r="1664" spans="3:6" x14ac:dyDescent="0.25">
      <c r="C1664" s="2" t="s">
        <v>16806</v>
      </c>
      <c r="D1664" s="2" t="s">
        <v>9</v>
      </c>
      <c r="E1664" s="2">
        <v>113</v>
      </c>
      <c r="F1664" s="2">
        <v>2399.22</v>
      </c>
    </row>
    <row r="1665" spans="3:6" x14ac:dyDescent="0.25">
      <c r="C1665" s="2" t="s">
        <v>16807</v>
      </c>
      <c r="D1665" s="2" t="s">
        <v>9</v>
      </c>
      <c r="E1665" s="2">
        <v>122</v>
      </c>
      <c r="F1665" s="2">
        <v>2599.32</v>
      </c>
    </row>
    <row r="1666" spans="3:6" x14ac:dyDescent="0.25">
      <c r="C1666" s="2" t="s">
        <v>16808</v>
      </c>
      <c r="D1666" s="2" t="s">
        <v>9</v>
      </c>
      <c r="E1666" s="2">
        <v>19</v>
      </c>
      <c r="F1666" s="2">
        <v>402.13</v>
      </c>
    </row>
    <row r="1667" spans="3:6" x14ac:dyDescent="0.25">
      <c r="C1667" s="2" t="s">
        <v>16809</v>
      </c>
      <c r="D1667" s="2" t="s">
        <v>9</v>
      </c>
      <c r="E1667" s="2">
        <v>51</v>
      </c>
      <c r="F1667" s="2">
        <v>956.569</v>
      </c>
    </row>
    <row r="1668" spans="3:6" x14ac:dyDescent="0.25">
      <c r="C1668" s="2" t="s">
        <v>16810</v>
      </c>
      <c r="D1668" s="2" t="s">
        <v>9</v>
      </c>
      <c r="E1668" s="2">
        <v>35</v>
      </c>
      <c r="F1668" s="2">
        <v>659.49</v>
      </c>
    </row>
    <row r="1669" spans="3:6" x14ac:dyDescent="0.25">
      <c r="C1669" s="2" t="s">
        <v>16811</v>
      </c>
      <c r="D1669" s="2" t="s">
        <v>9</v>
      </c>
      <c r="E1669" s="2">
        <v>56</v>
      </c>
      <c r="F1669" s="2">
        <v>1060.659</v>
      </c>
    </row>
    <row r="1670" spans="3:6" x14ac:dyDescent="0.25">
      <c r="C1670" s="2" t="s">
        <v>16812</v>
      </c>
      <c r="D1670" s="2" t="s">
        <v>9</v>
      </c>
      <c r="E1670" s="2">
        <v>67</v>
      </c>
      <c r="F1670" s="2">
        <v>1465.81</v>
      </c>
    </row>
    <row r="1671" spans="3:6" x14ac:dyDescent="0.25">
      <c r="C1671" s="2" t="s">
        <v>16813</v>
      </c>
      <c r="D1671" s="2" t="s">
        <v>9</v>
      </c>
      <c r="E1671" s="2">
        <v>74</v>
      </c>
      <c r="F1671" s="2">
        <v>1545.42</v>
      </c>
    </row>
    <row r="1672" spans="3:6" x14ac:dyDescent="0.25">
      <c r="C1672" s="2" t="s">
        <v>16814</v>
      </c>
      <c r="D1672" s="2" t="s">
        <v>9</v>
      </c>
      <c r="E1672" s="2">
        <v>50</v>
      </c>
      <c r="F1672" s="2">
        <v>925.89</v>
      </c>
    </row>
    <row r="1673" spans="3:6" x14ac:dyDescent="0.25">
      <c r="C1673" s="2" t="s">
        <v>16815</v>
      </c>
      <c r="D1673" s="2" t="s">
        <v>9</v>
      </c>
      <c r="E1673" s="2">
        <v>91</v>
      </c>
      <c r="F1673" s="2">
        <v>1860.3</v>
      </c>
    </row>
    <row r="1674" spans="3:6" x14ac:dyDescent="0.25">
      <c r="C1674" s="2" t="s">
        <v>16816</v>
      </c>
      <c r="D1674" s="2" t="s">
        <v>9</v>
      </c>
      <c r="E1674" s="2">
        <v>141</v>
      </c>
      <c r="F1674" s="2">
        <v>2805.33</v>
      </c>
    </row>
    <row r="1675" spans="3:6" x14ac:dyDescent="0.25">
      <c r="C1675" s="2" t="s">
        <v>16817</v>
      </c>
      <c r="D1675" s="2" t="s">
        <v>9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16818</v>
      </c>
      <c r="C1677" s="2" t="s">
        <v>16819</v>
      </c>
      <c r="D1677" s="2" t="s">
        <v>42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16820</v>
      </c>
      <c r="D1678" s="2" t="s">
        <v>42</v>
      </c>
      <c r="E1678" s="2">
        <v>31</v>
      </c>
      <c r="F1678" s="2">
        <v>664.31</v>
      </c>
    </row>
    <row r="1679" spans="3:6" x14ac:dyDescent="0.25">
      <c r="C1679" s="2" t="s">
        <v>16821</v>
      </c>
      <c r="D1679" s="2" t="s">
        <v>42</v>
      </c>
      <c r="E1679" s="2">
        <v>24</v>
      </c>
      <c r="F1679" s="2">
        <v>443.21</v>
      </c>
    </row>
    <row r="1680" spans="3:6" x14ac:dyDescent="0.25">
      <c r="C1680" s="2" t="s">
        <v>16822</v>
      </c>
      <c r="D1680" s="2" t="s">
        <v>42</v>
      </c>
      <c r="E1680" s="2">
        <v>123</v>
      </c>
      <c r="F1680" s="2">
        <v>2422.119</v>
      </c>
    </row>
    <row r="1681" spans="3:6" x14ac:dyDescent="0.25">
      <c r="C1681" s="2" t="s">
        <v>16823</v>
      </c>
      <c r="D1681" s="2" t="s">
        <v>42</v>
      </c>
      <c r="E1681" s="2">
        <v>20</v>
      </c>
      <c r="F1681" s="2">
        <v>109.34</v>
      </c>
    </row>
    <row r="1682" spans="3:6" x14ac:dyDescent="0.25">
      <c r="C1682" s="2" t="s">
        <v>16824</v>
      </c>
      <c r="D1682" s="2" t="s">
        <v>42</v>
      </c>
      <c r="E1682" s="2">
        <v>117</v>
      </c>
      <c r="F1682" s="2">
        <v>2208.985</v>
      </c>
    </row>
    <row r="1683" spans="3:6" x14ac:dyDescent="0.25">
      <c r="C1683" s="2" t="s">
        <v>16825</v>
      </c>
      <c r="D1683" s="2" t="s">
        <v>42</v>
      </c>
      <c r="E1683" s="2">
        <v>73</v>
      </c>
      <c r="F1683" s="2">
        <v>1491.57</v>
      </c>
    </row>
    <row r="1684" spans="3:6" x14ac:dyDescent="0.25">
      <c r="C1684" s="2" t="s">
        <v>16826</v>
      </c>
      <c r="D1684" s="2" t="s">
        <v>42</v>
      </c>
      <c r="E1684" s="2">
        <v>48</v>
      </c>
      <c r="F1684" s="2">
        <v>794.229</v>
      </c>
    </row>
    <row r="1685" spans="3:6" x14ac:dyDescent="0.25">
      <c r="C1685" s="2" t="s">
        <v>16827</v>
      </c>
      <c r="D1685" s="2" t="s">
        <v>42</v>
      </c>
      <c r="E1685" s="2">
        <v>107</v>
      </c>
      <c r="F1685" s="2">
        <v>2008.92</v>
      </c>
    </row>
    <row r="1686" spans="3:6" x14ac:dyDescent="0.25">
      <c r="C1686" s="2" t="s">
        <v>16828</v>
      </c>
      <c r="D1686" s="2" t="s">
        <v>42</v>
      </c>
      <c r="E1686" s="2">
        <v>34</v>
      </c>
      <c r="F1686" s="2">
        <v>727.1</v>
      </c>
    </row>
    <row r="1687" spans="3:6" x14ac:dyDescent="0.25">
      <c r="C1687" s="2" t="s">
        <v>16829</v>
      </c>
      <c r="D1687" s="2" t="s">
        <v>42</v>
      </c>
      <c r="E1687" s="2">
        <v>58</v>
      </c>
      <c r="F1687" s="2">
        <v>1215.01</v>
      </c>
    </row>
    <row r="1688" spans="3:6" x14ac:dyDescent="0.25">
      <c r="C1688" s="2" t="s">
        <v>16830</v>
      </c>
      <c r="D1688" s="2" t="s">
        <v>42</v>
      </c>
      <c r="E1688" s="2">
        <v>43</v>
      </c>
      <c r="F1688" s="2">
        <v>888.3</v>
      </c>
    </row>
    <row r="1689" spans="3:6" x14ac:dyDescent="0.25">
      <c r="C1689" s="2" t="s">
        <v>16831</v>
      </c>
      <c r="D1689" s="2" t="s">
        <v>42</v>
      </c>
      <c r="E1689" s="2">
        <v>30</v>
      </c>
      <c r="F1689" s="2">
        <v>635.85</v>
      </c>
    </row>
    <row r="1690" spans="3:6" x14ac:dyDescent="0.25">
      <c r="C1690" s="2" t="s">
        <v>16832</v>
      </c>
      <c r="D1690" s="2" t="s">
        <v>42</v>
      </c>
      <c r="E1690" s="2">
        <v>45</v>
      </c>
      <c r="F1690" s="2">
        <v>242.91</v>
      </c>
    </row>
    <row r="1691" spans="3:6" x14ac:dyDescent="0.25">
      <c r="C1691" s="2" t="s">
        <v>16833</v>
      </c>
      <c r="D1691" s="2" t="s">
        <v>42</v>
      </c>
      <c r="E1691" s="2">
        <v>141</v>
      </c>
      <c r="F1691" s="2">
        <v>2958.17</v>
      </c>
    </row>
    <row r="1692" spans="3:6" x14ac:dyDescent="0.25">
      <c r="C1692" s="2" t="s">
        <v>16834</v>
      </c>
      <c r="D1692" s="2" t="s">
        <v>42</v>
      </c>
      <c r="E1692" s="2">
        <v>66</v>
      </c>
      <c r="F1692" s="2">
        <v>1278.359</v>
      </c>
    </row>
    <row r="1693" spans="3:6" x14ac:dyDescent="0.25">
      <c r="C1693" s="2" t="s">
        <v>16835</v>
      </c>
      <c r="D1693" s="2" t="s">
        <v>42</v>
      </c>
      <c r="E1693" s="2">
        <v>95</v>
      </c>
      <c r="F1693" s="2">
        <v>959.317</v>
      </c>
    </row>
    <row r="1694" spans="3:6" x14ac:dyDescent="0.25">
      <c r="C1694" s="2" t="s">
        <v>16836</v>
      </c>
      <c r="D1694" s="2" t="s">
        <v>42</v>
      </c>
      <c r="E1694" s="2">
        <v>141</v>
      </c>
      <c r="F1694" s="2">
        <v>2881.18</v>
      </c>
    </row>
    <row r="1695" spans="3:6" x14ac:dyDescent="0.25">
      <c r="C1695" s="2" t="s">
        <v>16837</v>
      </c>
      <c r="D1695" s="2" t="s">
        <v>42</v>
      </c>
      <c r="E1695" s="2">
        <v>14</v>
      </c>
      <c r="F1695" s="2">
        <v>303.38</v>
      </c>
    </row>
    <row r="1696" spans="3:6" x14ac:dyDescent="0.25">
      <c r="C1696" s="2" t="s">
        <v>16838</v>
      </c>
      <c r="D1696" s="2" t="s">
        <v>42</v>
      </c>
      <c r="E1696" s="2">
        <v>127</v>
      </c>
      <c r="F1696" s="2">
        <v>2562.918</v>
      </c>
    </row>
    <row r="1697" spans="3:6" x14ac:dyDescent="0.25">
      <c r="C1697" s="2" t="s">
        <v>16839</v>
      </c>
      <c r="D1697" s="2" t="s">
        <v>42</v>
      </c>
      <c r="E1697" s="2">
        <v>141</v>
      </c>
      <c r="F1697" s="2">
        <v>2954.88</v>
      </c>
    </row>
    <row r="1698" spans="3:6" x14ac:dyDescent="0.25">
      <c r="C1698" s="2" t="s">
        <v>16840</v>
      </c>
      <c r="D1698" s="2" t="s">
        <v>42</v>
      </c>
      <c r="E1698" s="2">
        <v>131</v>
      </c>
      <c r="F1698" s="2">
        <v>1746.721</v>
      </c>
    </row>
    <row r="1699" spans="3:6" x14ac:dyDescent="0.25">
      <c r="C1699" s="2" t="s">
        <v>16841</v>
      </c>
      <c r="D1699" s="2" t="s">
        <v>42</v>
      </c>
      <c r="E1699" s="2">
        <v>75</v>
      </c>
      <c r="F1699" s="2">
        <v>376.78</v>
      </c>
    </row>
    <row r="1700" spans="3:6" x14ac:dyDescent="0.25">
      <c r="C1700" s="2" t="s">
        <v>16842</v>
      </c>
      <c r="D1700" s="2" t="s">
        <v>42</v>
      </c>
      <c r="E1700" s="2">
        <v>126</v>
      </c>
      <c r="F1700" s="2">
        <v>2811.27</v>
      </c>
    </row>
    <row r="1701" spans="3:6" x14ac:dyDescent="0.25">
      <c r="C1701" s="2" t="s">
        <v>16843</v>
      </c>
      <c r="D1701" s="2" t="s">
        <v>42</v>
      </c>
      <c r="E1701" s="2">
        <v>8</v>
      </c>
      <c r="F1701" s="2">
        <v>137.7</v>
      </c>
    </row>
    <row r="1702" spans="3:6" x14ac:dyDescent="0.25">
      <c r="C1702" s="2" t="s">
        <v>16844</v>
      </c>
      <c r="D1702" s="2" t="s">
        <v>42</v>
      </c>
      <c r="E1702" s="2">
        <v>48</v>
      </c>
      <c r="F1702" s="2">
        <v>996.288</v>
      </c>
    </row>
    <row r="1703" spans="3:6" x14ac:dyDescent="0.25">
      <c r="C1703" s="2" t="s">
        <v>16845</v>
      </c>
      <c r="D1703" s="2" t="s">
        <v>42</v>
      </c>
      <c r="E1703" s="2">
        <v>52</v>
      </c>
      <c r="F1703" s="2">
        <v>967.32</v>
      </c>
    </row>
    <row r="1704" spans="3:6" x14ac:dyDescent="0.25">
      <c r="C1704" s="2" t="s">
        <v>16846</v>
      </c>
      <c r="D1704" s="2" t="s">
        <v>42</v>
      </c>
      <c r="E1704" s="2">
        <v>9</v>
      </c>
      <c r="F1704" s="2">
        <v>128.38</v>
      </c>
    </row>
    <row r="1705" spans="3:6" x14ac:dyDescent="0.25">
      <c r="C1705" s="2" t="s">
        <v>16847</v>
      </c>
      <c r="D1705" s="2" t="s">
        <v>42</v>
      </c>
      <c r="E1705" s="2">
        <v>92</v>
      </c>
      <c r="F1705" s="2">
        <v>1903.54</v>
      </c>
    </row>
    <row r="1706" spans="3:6" x14ac:dyDescent="0.25">
      <c r="C1706" s="2" t="s">
        <v>16848</v>
      </c>
      <c r="D1706" s="2" t="s">
        <v>42</v>
      </c>
      <c r="E1706" s="2">
        <v>37</v>
      </c>
      <c r="F1706" s="2">
        <v>760</v>
      </c>
    </row>
    <row r="1707" spans="3:6" x14ac:dyDescent="0.25">
      <c r="C1707" s="2" t="s">
        <v>16849</v>
      </c>
      <c r="D1707" s="2" t="s">
        <v>42</v>
      </c>
      <c r="E1707" s="2">
        <v>63</v>
      </c>
      <c r="F1707" s="2">
        <v>1282.03</v>
      </c>
    </row>
    <row r="1708" spans="3:6" x14ac:dyDescent="0.25">
      <c r="C1708" s="2" t="s">
        <v>16850</v>
      </c>
      <c r="D1708" s="2" t="s">
        <v>42</v>
      </c>
      <c r="E1708" s="2">
        <v>90</v>
      </c>
      <c r="F1708" s="2">
        <v>2015.54</v>
      </c>
    </row>
    <row r="1709" spans="3:6" x14ac:dyDescent="0.25">
      <c r="C1709" s="2" t="s">
        <v>16851</v>
      </c>
      <c r="D1709" s="2" t="s">
        <v>42</v>
      </c>
      <c r="E1709" s="2">
        <v>14</v>
      </c>
      <c r="F1709" s="2">
        <v>265.82</v>
      </c>
    </row>
    <row r="1710" spans="3:6" x14ac:dyDescent="0.25">
      <c r="C1710" s="2" t="s">
        <v>16852</v>
      </c>
      <c r="D1710" s="2" t="s">
        <v>42</v>
      </c>
      <c r="E1710" s="2">
        <v>42</v>
      </c>
      <c r="F1710" s="2">
        <v>490.83</v>
      </c>
    </row>
    <row r="1711" spans="3:6" x14ac:dyDescent="0.25">
      <c r="C1711" s="2" t="s">
        <v>16853</v>
      </c>
      <c r="D1711" s="2" t="s">
        <v>42</v>
      </c>
      <c r="E1711" s="2">
        <v>44</v>
      </c>
      <c r="F1711" s="2">
        <v>898.86</v>
      </c>
    </row>
    <row r="1712" spans="3:6" x14ac:dyDescent="0.25">
      <c r="C1712" s="2" t="s">
        <v>16630</v>
      </c>
      <c r="D1712" s="2" t="s">
        <v>42</v>
      </c>
      <c r="E1712" s="2">
        <v>65</v>
      </c>
      <c r="F1712" s="2">
        <v>1274.09</v>
      </c>
    </row>
    <row r="1713" spans="3:6" x14ac:dyDescent="0.25">
      <c r="C1713" s="2" t="s">
        <v>16854</v>
      </c>
      <c r="D1713" s="2" t="s">
        <v>42</v>
      </c>
      <c r="E1713" s="2">
        <v>10</v>
      </c>
      <c r="F1713" s="2">
        <v>212.27</v>
      </c>
    </row>
    <row r="1714" spans="3:6" x14ac:dyDescent="0.25">
      <c r="C1714" s="2" t="s">
        <v>16855</v>
      </c>
      <c r="D1714" s="2" t="s">
        <v>42</v>
      </c>
      <c r="E1714" s="2">
        <v>141</v>
      </c>
      <c r="F1714" s="2">
        <v>2922.789</v>
      </c>
    </row>
    <row r="1715" spans="3:6" x14ac:dyDescent="0.25">
      <c r="C1715" s="2" t="s">
        <v>16856</v>
      </c>
      <c r="D1715" s="2" t="s">
        <v>42</v>
      </c>
      <c r="E1715" s="2">
        <v>123</v>
      </c>
      <c r="F1715" s="2">
        <v>2590.15</v>
      </c>
    </row>
    <row r="1716" spans="3:6" x14ac:dyDescent="0.25">
      <c r="C1716" s="2" t="s">
        <v>16857</v>
      </c>
      <c r="D1716" s="2" t="s">
        <v>42</v>
      </c>
      <c r="E1716" s="2">
        <v>143</v>
      </c>
      <c r="F1716" s="2">
        <v>2950.95</v>
      </c>
    </row>
    <row r="1717" spans="3:6" x14ac:dyDescent="0.25">
      <c r="C1717" s="2" t="s">
        <v>16858</v>
      </c>
      <c r="D1717" s="2" t="s">
        <v>42</v>
      </c>
      <c r="E1717" s="2">
        <v>143</v>
      </c>
      <c r="F1717" s="2">
        <v>2950.7</v>
      </c>
    </row>
    <row r="1718" spans="3:6" x14ac:dyDescent="0.25">
      <c r="C1718" s="2" t="s">
        <v>16859</v>
      </c>
      <c r="D1718" s="2" t="s">
        <v>42</v>
      </c>
      <c r="E1718" s="2">
        <v>143</v>
      </c>
      <c r="F1718" s="2">
        <v>3050.15</v>
      </c>
    </row>
    <row r="1719" spans="3:6" x14ac:dyDescent="0.25">
      <c r="C1719" s="2" t="s">
        <v>16860</v>
      </c>
      <c r="D1719" s="2" t="s">
        <v>42</v>
      </c>
      <c r="E1719" s="2">
        <v>143</v>
      </c>
      <c r="F1719" s="2">
        <v>3063.85</v>
      </c>
    </row>
    <row r="1720" spans="3:6" x14ac:dyDescent="0.25">
      <c r="C1720" s="2" t="s">
        <v>16861</v>
      </c>
      <c r="D1720" s="2" t="s">
        <v>42</v>
      </c>
      <c r="E1720" s="2">
        <v>102</v>
      </c>
      <c r="F1720" s="2">
        <v>2179.23</v>
      </c>
    </row>
    <row r="1721" spans="3:6" x14ac:dyDescent="0.25">
      <c r="C1721" s="2" t="s">
        <v>16862</v>
      </c>
      <c r="D1721" s="2" t="s">
        <v>42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120</v>
      </c>
      <c r="C1723" s="2" t="s">
        <v>16863</v>
      </c>
      <c r="D1723" s="2" t="s">
        <v>122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16864</v>
      </c>
      <c r="D1724" s="2" t="s">
        <v>122</v>
      </c>
      <c r="E1724" s="2">
        <v>142</v>
      </c>
      <c r="F1724" s="2">
        <v>2884.37</v>
      </c>
    </row>
    <row r="1725" spans="3:6" x14ac:dyDescent="0.25">
      <c r="C1725" s="2" t="s">
        <v>16865</v>
      </c>
      <c r="D1725" s="2" t="s">
        <v>122</v>
      </c>
      <c r="E1725" s="2">
        <v>141</v>
      </c>
      <c r="F1725" s="2">
        <v>2935.539</v>
      </c>
    </row>
    <row r="1726" spans="3:6" x14ac:dyDescent="0.25">
      <c r="C1726" s="2" t="s">
        <v>16866</v>
      </c>
      <c r="D1726" s="2" t="s">
        <v>122</v>
      </c>
      <c r="E1726" s="2">
        <v>30</v>
      </c>
      <c r="F1726" s="2">
        <v>614.87</v>
      </c>
    </row>
    <row r="1727" spans="3:6" x14ac:dyDescent="0.25">
      <c r="C1727" s="2" t="s">
        <v>16867</v>
      </c>
      <c r="D1727" s="2" t="s">
        <v>122</v>
      </c>
      <c r="E1727" s="2">
        <v>72</v>
      </c>
      <c r="F1727" s="2">
        <v>1503.65</v>
      </c>
    </row>
    <row r="1728" spans="3:6" x14ac:dyDescent="0.25">
      <c r="C1728" s="2" t="s">
        <v>16868</v>
      </c>
      <c r="D1728" s="2" t="s">
        <v>122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16869</v>
      </c>
      <c r="D1729" s="2" t="s">
        <v>122</v>
      </c>
      <c r="E1729" s="2">
        <v>132</v>
      </c>
      <c r="F1729" s="2">
        <v>1556.328</v>
      </c>
    </row>
    <row r="1730" spans="3:6" x14ac:dyDescent="0.25">
      <c r="C1730" s="2" t="s">
        <v>16870</v>
      </c>
      <c r="D1730" s="2" t="s">
        <v>122</v>
      </c>
      <c r="E1730" s="2">
        <v>144</v>
      </c>
      <c r="F1730" s="2">
        <v>1904.186</v>
      </c>
    </row>
    <row r="1731" spans="3:6" x14ac:dyDescent="0.25">
      <c r="C1731" s="2" t="s">
        <v>16871</v>
      </c>
      <c r="D1731" s="2" t="s">
        <v>122</v>
      </c>
      <c r="E1731" s="2">
        <v>73</v>
      </c>
      <c r="F1731" s="2">
        <v>1506.02</v>
      </c>
    </row>
    <row r="1732" spans="3:6" x14ac:dyDescent="0.25">
      <c r="C1732" s="2" t="s">
        <v>16872</v>
      </c>
      <c r="D1732" s="2" t="s">
        <v>122</v>
      </c>
      <c r="E1732" s="2">
        <v>50</v>
      </c>
      <c r="F1732" s="2">
        <v>1014</v>
      </c>
    </row>
    <row r="1733" spans="3:6" x14ac:dyDescent="0.25">
      <c r="C1733" s="2" t="s">
        <v>16873</v>
      </c>
      <c r="D1733" s="2" t="s">
        <v>122</v>
      </c>
      <c r="E1733" s="2">
        <v>141</v>
      </c>
      <c r="F1733" s="2">
        <v>2981</v>
      </c>
    </row>
    <row r="1734" spans="3:6" x14ac:dyDescent="0.25">
      <c r="C1734" s="2" t="s">
        <v>16874</v>
      </c>
      <c r="D1734" s="2" t="s">
        <v>122</v>
      </c>
      <c r="E1734" s="2">
        <v>141</v>
      </c>
      <c r="F1734" s="2">
        <v>3008.69</v>
      </c>
    </row>
    <row r="1735" spans="3:6" x14ac:dyDescent="0.25">
      <c r="C1735" s="2" t="s">
        <v>16875</v>
      </c>
      <c r="D1735" s="2" t="s">
        <v>122</v>
      </c>
      <c r="E1735" s="2">
        <v>141</v>
      </c>
      <c r="F1735" s="2">
        <v>2906.85</v>
      </c>
    </row>
    <row r="1736" spans="3:6" x14ac:dyDescent="0.25">
      <c r="C1736" s="2" t="s">
        <v>16876</v>
      </c>
      <c r="D1736" s="2" t="s">
        <v>122</v>
      </c>
      <c r="E1736" s="2">
        <v>141</v>
      </c>
      <c r="F1736" s="2">
        <v>2753.059</v>
      </c>
    </row>
    <row r="1737" spans="3:6" x14ac:dyDescent="0.25">
      <c r="C1737" s="2" t="s">
        <v>16877</v>
      </c>
      <c r="D1737" s="2" t="s">
        <v>122</v>
      </c>
      <c r="E1737" s="2">
        <v>142</v>
      </c>
      <c r="F1737" s="2">
        <v>907.407</v>
      </c>
    </row>
    <row r="1738" spans="3:6" x14ac:dyDescent="0.25">
      <c r="C1738" s="2" t="s">
        <v>16878</v>
      </c>
      <c r="D1738" s="2" t="s">
        <v>122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16879</v>
      </c>
      <c r="D1739" s="2" t="s">
        <v>122</v>
      </c>
      <c r="E1739" s="2">
        <v>102</v>
      </c>
      <c r="F1739" s="2">
        <v>2110.2</v>
      </c>
    </row>
    <row r="1740" spans="3:6" x14ac:dyDescent="0.25">
      <c r="C1740" s="2" t="s">
        <v>16880</v>
      </c>
      <c r="D1740" s="2" t="s">
        <v>122</v>
      </c>
      <c r="E1740" s="2">
        <v>102</v>
      </c>
      <c r="F1740" s="2">
        <v>2220.26</v>
      </c>
    </row>
    <row r="1741" spans="3:6" x14ac:dyDescent="0.25">
      <c r="C1741" s="2" t="s">
        <v>16881</v>
      </c>
      <c r="D1741" s="2" t="s">
        <v>122</v>
      </c>
      <c r="E1741" s="2">
        <v>83</v>
      </c>
      <c r="F1741" s="2">
        <v>1768.6</v>
      </c>
    </row>
    <row r="1742" spans="3:6" x14ac:dyDescent="0.25">
      <c r="C1742" s="2" t="s">
        <v>16882</v>
      </c>
      <c r="D1742" s="2" t="s">
        <v>122</v>
      </c>
      <c r="E1742" s="2">
        <v>122</v>
      </c>
      <c r="F1742" s="2">
        <v>2510.6</v>
      </c>
    </row>
    <row r="1743" spans="3:6" x14ac:dyDescent="0.25">
      <c r="C1743" s="2" t="s">
        <v>16883</v>
      </c>
      <c r="D1743" s="2" t="s">
        <v>122</v>
      </c>
      <c r="E1743" s="2">
        <v>75</v>
      </c>
      <c r="F1743" s="2">
        <v>1500.65</v>
      </c>
    </row>
    <row r="1744" spans="3:6" x14ac:dyDescent="0.25">
      <c r="C1744" s="2" t="s">
        <v>16884</v>
      </c>
      <c r="D1744" s="2" t="s">
        <v>122</v>
      </c>
      <c r="E1744" s="2">
        <v>40</v>
      </c>
      <c r="F1744" s="2">
        <v>800.55</v>
      </c>
    </row>
    <row r="1745" spans="3:6" x14ac:dyDescent="0.25">
      <c r="C1745" s="2" t="s">
        <v>16885</v>
      </c>
      <c r="D1745" s="2" t="s">
        <v>122</v>
      </c>
      <c r="E1745" s="2">
        <v>101</v>
      </c>
      <c r="F1745" s="2">
        <v>2146.81</v>
      </c>
    </row>
    <row r="1746" spans="3:6" x14ac:dyDescent="0.25">
      <c r="C1746" s="2" t="s">
        <v>16886</v>
      </c>
      <c r="D1746" s="2" t="s">
        <v>122</v>
      </c>
      <c r="E1746" s="2">
        <v>85</v>
      </c>
      <c r="F1746" s="2">
        <v>1773.21</v>
      </c>
    </row>
    <row r="1747" spans="3:6" x14ac:dyDescent="0.25">
      <c r="C1747" s="2" t="s">
        <v>16887</v>
      </c>
      <c r="D1747" s="2" t="s">
        <v>122</v>
      </c>
      <c r="E1747" s="2">
        <v>34</v>
      </c>
      <c r="F1747" s="2">
        <v>739.93</v>
      </c>
    </row>
    <row r="1748" spans="3:6" x14ac:dyDescent="0.25">
      <c r="C1748" s="2" t="s">
        <v>16888</v>
      </c>
      <c r="D1748" s="2" t="s">
        <v>122</v>
      </c>
      <c r="E1748" s="2">
        <v>7</v>
      </c>
      <c r="F1748" s="2">
        <v>165.42</v>
      </c>
    </row>
    <row r="1749" spans="3:6" x14ac:dyDescent="0.25">
      <c r="C1749" s="2" t="s">
        <v>16889</v>
      </c>
      <c r="D1749" s="2" t="s">
        <v>122</v>
      </c>
      <c r="E1749" s="2">
        <v>15</v>
      </c>
      <c r="F1749" s="2">
        <v>294.63</v>
      </c>
    </row>
    <row r="1750" spans="3:6" x14ac:dyDescent="0.25">
      <c r="C1750" s="2" t="s">
        <v>16890</v>
      </c>
      <c r="D1750" s="2" t="s">
        <v>122</v>
      </c>
      <c r="E1750" s="2">
        <v>121</v>
      </c>
      <c r="F1750" s="2">
        <v>2411.779</v>
      </c>
    </row>
    <row r="1751" spans="3:6" x14ac:dyDescent="0.25">
      <c r="C1751" s="2" t="s">
        <v>16891</v>
      </c>
      <c r="D1751" s="2" t="s">
        <v>122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16892</v>
      </c>
      <c r="D1752" s="2" t="s">
        <v>122</v>
      </c>
      <c r="E1752" s="2">
        <v>123</v>
      </c>
      <c r="F1752" s="2">
        <v>2398.37</v>
      </c>
    </row>
    <row r="1753" spans="3:6" x14ac:dyDescent="0.25">
      <c r="C1753" s="2" t="s">
        <v>16893</v>
      </c>
      <c r="D1753" s="2" t="s">
        <v>122</v>
      </c>
      <c r="E1753" s="2">
        <v>134</v>
      </c>
      <c r="F1753" s="2">
        <v>2888</v>
      </c>
    </row>
    <row r="1754" spans="3:6" x14ac:dyDescent="0.25">
      <c r="C1754" s="2" t="s">
        <v>16894</v>
      </c>
      <c r="D1754" s="2" t="s">
        <v>122</v>
      </c>
      <c r="E1754" s="2">
        <v>125</v>
      </c>
      <c r="F1754" s="2">
        <v>2564.49</v>
      </c>
    </row>
    <row r="1755" spans="3:6" x14ac:dyDescent="0.25">
      <c r="C1755" s="2" t="s">
        <v>16895</v>
      </c>
      <c r="D1755" s="2" t="s">
        <v>122</v>
      </c>
      <c r="E1755" s="2">
        <v>16</v>
      </c>
      <c r="F1755" s="2">
        <v>280.81</v>
      </c>
    </row>
    <row r="1756" spans="3:6" x14ac:dyDescent="0.25">
      <c r="C1756" s="2" t="s">
        <v>16896</v>
      </c>
      <c r="D1756" s="2" t="s">
        <v>122</v>
      </c>
      <c r="E1756" s="2">
        <v>52</v>
      </c>
      <c r="F1756" s="2">
        <v>1036.31</v>
      </c>
    </row>
    <row r="1757" spans="3:6" x14ac:dyDescent="0.25">
      <c r="C1757" s="2" t="s">
        <v>16897</v>
      </c>
      <c r="D1757" s="2" t="s">
        <v>122</v>
      </c>
      <c r="E1757" s="2">
        <v>72</v>
      </c>
      <c r="F1757" s="2">
        <v>1487.26</v>
      </c>
    </row>
    <row r="1758" spans="3:6" x14ac:dyDescent="0.25">
      <c r="C1758" s="2" t="s">
        <v>16898</v>
      </c>
      <c r="D1758" s="2" t="s">
        <v>122</v>
      </c>
      <c r="E1758" s="2">
        <v>17</v>
      </c>
      <c r="F1758" s="2">
        <v>367.08</v>
      </c>
    </row>
    <row r="1759" spans="3:6" x14ac:dyDescent="0.25">
      <c r="C1759" s="2" t="s">
        <v>16899</v>
      </c>
      <c r="D1759" s="2" t="s">
        <v>122</v>
      </c>
      <c r="E1759" s="2">
        <v>13</v>
      </c>
      <c r="F1759" s="2">
        <v>296.53</v>
      </c>
    </row>
    <row r="1760" spans="3:6" x14ac:dyDescent="0.25">
      <c r="C1760" s="2" t="s">
        <v>16900</v>
      </c>
      <c r="D1760" s="2" t="s">
        <v>122</v>
      </c>
      <c r="E1760" s="2">
        <v>128</v>
      </c>
      <c r="F1760" s="2">
        <v>2663.04</v>
      </c>
    </row>
    <row r="1761" spans="3:6" x14ac:dyDescent="0.25">
      <c r="C1761" s="2" t="s">
        <v>16901</v>
      </c>
      <c r="D1761" s="2" t="s">
        <v>122</v>
      </c>
      <c r="E1761" s="2">
        <v>141</v>
      </c>
      <c r="F1761" s="2">
        <v>2884.259</v>
      </c>
    </row>
    <row r="1762" spans="3:6" x14ac:dyDescent="0.25">
      <c r="C1762" s="2" t="s">
        <v>16902</v>
      </c>
      <c r="D1762" s="2" t="s">
        <v>122</v>
      </c>
      <c r="E1762" s="2">
        <v>102</v>
      </c>
      <c r="F1762" s="2">
        <v>2095.3</v>
      </c>
    </row>
    <row r="1763" spans="3:6" x14ac:dyDescent="0.25">
      <c r="C1763" s="2" t="s">
        <v>16903</v>
      </c>
      <c r="D1763" s="2" t="s">
        <v>122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8925</v>
      </c>
      <c r="C1765" s="2" t="s">
        <v>16904</v>
      </c>
      <c r="D1765" s="2" t="s">
        <v>122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16905</v>
      </c>
      <c r="D1766" s="2" t="s">
        <v>122</v>
      </c>
      <c r="E1766" s="2">
        <v>162</v>
      </c>
      <c r="F1766" s="2">
        <v>1001.526</v>
      </c>
    </row>
    <row r="1767" spans="3:6" x14ac:dyDescent="0.25">
      <c r="C1767" s="2" t="s">
        <v>16906</v>
      </c>
      <c r="D1767" s="2" t="s">
        <v>122</v>
      </c>
      <c r="E1767" s="2">
        <v>162</v>
      </c>
      <c r="F1767" s="2">
        <v>1379.394</v>
      </c>
    </row>
    <row r="1768" spans="3:6" x14ac:dyDescent="0.25">
      <c r="C1768" s="2" t="s">
        <v>16907</v>
      </c>
      <c r="D1768" s="2" t="s">
        <v>122</v>
      </c>
      <c r="E1768" s="2">
        <v>141</v>
      </c>
      <c r="F1768" s="2">
        <v>2951.24</v>
      </c>
    </row>
    <row r="1769" spans="3:6" x14ac:dyDescent="0.25">
      <c r="C1769" s="2" t="s">
        <v>16908</v>
      </c>
      <c r="D1769" s="2" t="s">
        <v>122</v>
      </c>
      <c r="E1769" s="2">
        <v>141</v>
      </c>
      <c r="F1769" s="2">
        <v>3041.26</v>
      </c>
    </row>
    <row r="1770" spans="3:6" x14ac:dyDescent="0.25">
      <c r="C1770" s="2" t="s">
        <v>16909</v>
      </c>
      <c r="D1770" s="2" t="s">
        <v>122</v>
      </c>
      <c r="E1770" s="2">
        <v>60</v>
      </c>
      <c r="F1770" s="2">
        <v>1362.57</v>
      </c>
    </row>
    <row r="1771" spans="3:6" x14ac:dyDescent="0.25">
      <c r="C1771" s="2" t="s">
        <v>16910</v>
      </c>
      <c r="D1771" s="2" t="s">
        <v>122</v>
      </c>
      <c r="E1771" s="2">
        <v>81</v>
      </c>
      <c r="F1771" s="2">
        <v>1684.86</v>
      </c>
    </row>
    <row r="1772" spans="3:6" x14ac:dyDescent="0.25">
      <c r="C1772" s="2" t="s">
        <v>16911</v>
      </c>
      <c r="D1772" s="2" t="s">
        <v>122</v>
      </c>
      <c r="E1772" s="2">
        <v>52</v>
      </c>
      <c r="F1772" s="2">
        <v>1059.82</v>
      </c>
    </row>
    <row r="1773" spans="3:6" x14ac:dyDescent="0.25">
      <c r="C1773" s="2" t="s">
        <v>16912</v>
      </c>
      <c r="D1773" s="2" t="s">
        <v>122</v>
      </c>
      <c r="E1773" s="2">
        <v>50</v>
      </c>
      <c r="F1773" s="2">
        <v>1045.02</v>
      </c>
    </row>
    <row r="1774" spans="3:6" x14ac:dyDescent="0.25">
      <c r="C1774" s="2" t="s">
        <v>16913</v>
      </c>
      <c r="D1774" s="2" t="s">
        <v>122</v>
      </c>
      <c r="E1774" s="2">
        <v>100</v>
      </c>
      <c r="F1774" s="2">
        <v>2098.19</v>
      </c>
    </row>
    <row r="1775" spans="3:6" x14ac:dyDescent="0.25">
      <c r="C1775" s="2" t="s">
        <v>16914</v>
      </c>
      <c r="D1775" s="2" t="s">
        <v>122</v>
      </c>
      <c r="E1775" s="2">
        <v>41</v>
      </c>
      <c r="F1775" s="2">
        <v>843.29</v>
      </c>
    </row>
    <row r="1776" spans="3:6" x14ac:dyDescent="0.25">
      <c r="C1776" s="2" t="s">
        <v>16915</v>
      </c>
      <c r="D1776" s="2" t="s">
        <v>122</v>
      </c>
      <c r="E1776" s="2">
        <v>141</v>
      </c>
      <c r="F1776" s="2">
        <v>2912</v>
      </c>
    </row>
    <row r="1777" spans="3:6" x14ac:dyDescent="0.25">
      <c r="C1777" s="2" t="s">
        <v>16916</v>
      </c>
      <c r="D1777" s="2" t="s">
        <v>122</v>
      </c>
      <c r="E1777" s="2">
        <v>141</v>
      </c>
      <c r="F1777" s="2">
        <v>2825.11</v>
      </c>
    </row>
    <row r="1778" spans="3:6" x14ac:dyDescent="0.25">
      <c r="C1778" s="2" t="s">
        <v>16917</v>
      </c>
      <c r="D1778" s="2" t="s">
        <v>122</v>
      </c>
      <c r="E1778" s="2">
        <v>141</v>
      </c>
      <c r="F1778" s="2">
        <v>2925.7</v>
      </c>
    </row>
    <row r="1779" spans="3:6" x14ac:dyDescent="0.25">
      <c r="C1779" s="2" t="s">
        <v>16918</v>
      </c>
      <c r="D1779" s="2" t="s">
        <v>122</v>
      </c>
      <c r="E1779" s="2">
        <v>98</v>
      </c>
      <c r="F1779" s="2">
        <v>1976.41</v>
      </c>
    </row>
    <row r="1780" spans="3:6" x14ac:dyDescent="0.25">
      <c r="C1780" s="2" t="s">
        <v>16919</v>
      </c>
      <c r="D1780" s="2" t="s">
        <v>122</v>
      </c>
      <c r="E1780" s="2">
        <v>43</v>
      </c>
      <c r="F1780" s="2">
        <v>901.1</v>
      </c>
    </row>
    <row r="1781" spans="3:6" x14ac:dyDescent="0.25">
      <c r="C1781" s="2" t="s">
        <v>16920</v>
      </c>
      <c r="D1781" s="2" t="s">
        <v>122</v>
      </c>
      <c r="E1781" s="2">
        <v>75</v>
      </c>
      <c r="F1781" s="2">
        <v>1498.25</v>
      </c>
    </row>
    <row r="1782" spans="3:6" x14ac:dyDescent="0.25">
      <c r="C1782" s="2" t="s">
        <v>16921</v>
      </c>
      <c r="D1782" s="2" t="s">
        <v>122</v>
      </c>
      <c r="E1782" s="2">
        <v>131</v>
      </c>
      <c r="F1782" s="2">
        <v>2717.12</v>
      </c>
    </row>
    <row r="1783" spans="3:6" x14ac:dyDescent="0.25">
      <c r="C1783" s="2" t="s">
        <v>16922</v>
      </c>
      <c r="D1783" s="2" t="s">
        <v>122</v>
      </c>
      <c r="E1783" s="2">
        <v>93</v>
      </c>
      <c r="F1783" s="2">
        <v>1965.27</v>
      </c>
    </row>
    <row r="1784" spans="3:6" x14ac:dyDescent="0.25">
      <c r="C1784" s="2" t="s">
        <v>16923</v>
      </c>
      <c r="D1784" s="2" t="s">
        <v>122</v>
      </c>
      <c r="E1784" s="2">
        <v>100</v>
      </c>
      <c r="F1784" s="2">
        <v>2063.34</v>
      </c>
    </row>
    <row r="1785" spans="3:6" x14ac:dyDescent="0.25">
      <c r="C1785" s="2" t="s">
        <v>16924</v>
      </c>
      <c r="D1785" s="2" t="s">
        <v>122</v>
      </c>
      <c r="E1785" s="2">
        <v>85</v>
      </c>
      <c r="F1785" s="2">
        <v>1841.13</v>
      </c>
    </row>
    <row r="1786" spans="3:6" x14ac:dyDescent="0.25">
      <c r="C1786" s="2" t="s">
        <v>16925</v>
      </c>
      <c r="D1786" s="2" t="s">
        <v>122</v>
      </c>
      <c r="E1786" s="2">
        <v>20</v>
      </c>
      <c r="F1786" s="2">
        <v>423.82</v>
      </c>
    </row>
    <row r="1787" spans="3:6" x14ac:dyDescent="0.25">
      <c r="C1787" s="2" t="s">
        <v>16926</v>
      </c>
      <c r="D1787" s="2" t="s">
        <v>122</v>
      </c>
      <c r="E1787" s="2">
        <v>58</v>
      </c>
      <c r="F1787" s="2">
        <v>1242.3</v>
      </c>
    </row>
    <row r="1788" spans="3:6" x14ac:dyDescent="0.25">
      <c r="C1788" s="2" t="s">
        <v>16927</v>
      </c>
      <c r="D1788" s="2" t="s">
        <v>122</v>
      </c>
      <c r="E1788" s="2">
        <v>83</v>
      </c>
      <c r="F1788" s="2">
        <v>1769.21</v>
      </c>
    </row>
    <row r="1789" spans="3:6" x14ac:dyDescent="0.25">
      <c r="C1789" s="2" t="s">
        <v>16928</v>
      </c>
      <c r="D1789" s="2" t="s">
        <v>122</v>
      </c>
      <c r="E1789" s="2">
        <v>89</v>
      </c>
      <c r="F1789" s="2">
        <v>1915.85</v>
      </c>
    </row>
    <row r="1790" spans="3:6" x14ac:dyDescent="0.25">
      <c r="C1790" s="2" t="s">
        <v>16929</v>
      </c>
      <c r="D1790" s="2" t="s">
        <v>122</v>
      </c>
      <c r="E1790" s="2">
        <v>3</v>
      </c>
      <c r="F1790" s="2">
        <v>40.401</v>
      </c>
    </row>
    <row r="1791" spans="3:6" x14ac:dyDescent="0.25">
      <c r="C1791" s="2" t="s">
        <v>16930</v>
      </c>
      <c r="D1791" s="2" t="s">
        <v>122</v>
      </c>
      <c r="E1791" s="2">
        <v>49</v>
      </c>
      <c r="F1791" s="2">
        <v>1027.76</v>
      </c>
    </row>
    <row r="1792" spans="3:6" x14ac:dyDescent="0.25">
      <c r="C1792" s="2" t="s">
        <v>16931</v>
      </c>
      <c r="D1792" s="2" t="s">
        <v>122</v>
      </c>
      <c r="E1792" s="2">
        <v>105</v>
      </c>
      <c r="F1792" s="2">
        <v>449.4</v>
      </c>
    </row>
    <row r="1793" spans="3:6" x14ac:dyDescent="0.25">
      <c r="C1793" s="2" t="s">
        <v>16932</v>
      </c>
      <c r="D1793" s="2" t="s">
        <v>122</v>
      </c>
      <c r="E1793" s="2">
        <v>84</v>
      </c>
      <c r="F1793" s="2">
        <v>1713.41</v>
      </c>
    </row>
    <row r="1794" spans="3:6" x14ac:dyDescent="0.25">
      <c r="C1794" s="2" t="s">
        <v>16933</v>
      </c>
      <c r="D1794" s="2" t="s">
        <v>122</v>
      </c>
      <c r="E1794" s="2">
        <v>39</v>
      </c>
      <c r="F1794" s="2">
        <v>849.86</v>
      </c>
    </row>
    <row r="1795" spans="3:6" x14ac:dyDescent="0.25">
      <c r="C1795" s="2" t="s">
        <v>16934</v>
      </c>
      <c r="D1795" s="2" t="s">
        <v>122</v>
      </c>
      <c r="E1795" s="2">
        <v>83</v>
      </c>
      <c r="F1795" s="2">
        <v>1682.82</v>
      </c>
    </row>
    <row r="1796" spans="3:6" x14ac:dyDescent="0.25">
      <c r="C1796" s="2" t="s">
        <v>16935</v>
      </c>
      <c r="D1796" s="2" t="s">
        <v>122</v>
      </c>
      <c r="E1796" s="2">
        <v>40</v>
      </c>
      <c r="F1796" s="2">
        <v>798.72</v>
      </c>
    </row>
    <row r="1797" spans="3:6" x14ac:dyDescent="0.25">
      <c r="C1797" s="2" t="s">
        <v>16936</v>
      </c>
      <c r="D1797" s="2" t="s">
        <v>122</v>
      </c>
      <c r="E1797" s="2">
        <v>123</v>
      </c>
      <c r="F1797" s="2" t="s">
        <v>16937</v>
      </c>
    </row>
    <row r="1798" spans="3:6" x14ac:dyDescent="0.25">
      <c r="C1798" s="2" t="s">
        <v>16938</v>
      </c>
      <c r="D1798" s="2" t="s">
        <v>122</v>
      </c>
      <c r="E1798" s="2">
        <v>123</v>
      </c>
      <c r="F1798" s="2">
        <v>2469.9</v>
      </c>
    </row>
    <row r="1799" spans="3:6" x14ac:dyDescent="0.25">
      <c r="C1799" s="2" t="s">
        <v>16939</v>
      </c>
      <c r="D1799" s="2" t="s">
        <v>122</v>
      </c>
      <c r="E1799" s="2">
        <v>134</v>
      </c>
      <c r="F1799" s="2">
        <v>2775.7</v>
      </c>
    </row>
    <row r="1800" spans="3:6" x14ac:dyDescent="0.25">
      <c r="C1800" s="2" t="s">
        <v>16940</v>
      </c>
      <c r="D1800" s="2" t="s">
        <v>122</v>
      </c>
      <c r="E1800" s="2">
        <v>76</v>
      </c>
      <c r="F1800" s="2">
        <v>1649.31</v>
      </c>
    </row>
    <row r="1801" spans="3:6" x14ac:dyDescent="0.25">
      <c r="C1801" s="2" t="s">
        <v>16941</v>
      </c>
      <c r="D1801" s="2" t="s">
        <v>122</v>
      </c>
      <c r="E1801" s="2">
        <v>26</v>
      </c>
      <c r="F1801" s="2">
        <v>530.94</v>
      </c>
    </row>
    <row r="1802" spans="3:6" x14ac:dyDescent="0.25">
      <c r="C1802" s="2" t="s">
        <v>16942</v>
      </c>
      <c r="D1802" s="2" t="s">
        <v>122</v>
      </c>
      <c r="E1802" s="2">
        <v>46</v>
      </c>
      <c r="F1802" s="2">
        <v>897.25</v>
      </c>
    </row>
    <row r="1803" spans="3:6" x14ac:dyDescent="0.25">
      <c r="C1803" s="2" t="s">
        <v>16943</v>
      </c>
      <c r="D1803" s="2" t="s">
        <v>122</v>
      </c>
      <c r="E1803" s="2">
        <v>26</v>
      </c>
      <c r="F1803" s="2">
        <v>570.22</v>
      </c>
    </row>
    <row r="1804" spans="3:6" x14ac:dyDescent="0.25">
      <c r="C1804" s="2" t="s">
        <v>16944</v>
      </c>
      <c r="D1804" s="2" t="s">
        <v>122</v>
      </c>
      <c r="E1804" s="2">
        <v>30</v>
      </c>
      <c r="F1804" s="2">
        <v>603.18</v>
      </c>
    </row>
    <row r="1805" spans="3:6" x14ac:dyDescent="0.25">
      <c r="C1805" s="2" t="s">
        <v>16945</v>
      </c>
      <c r="D1805" s="2" t="s">
        <v>122</v>
      </c>
      <c r="E1805" s="2">
        <v>102</v>
      </c>
      <c r="F1805" s="2">
        <v>2167.5</v>
      </c>
    </row>
    <row r="1806" spans="3:6" x14ac:dyDescent="0.25">
      <c r="C1806" s="2" t="s">
        <v>16946</v>
      </c>
      <c r="D1806" s="2" t="s">
        <v>122</v>
      </c>
      <c r="E1806" s="2">
        <v>102</v>
      </c>
      <c r="F1806" s="2">
        <v>2144.24</v>
      </c>
    </row>
    <row r="1807" spans="3:6" x14ac:dyDescent="0.25">
      <c r="C1807" s="2" t="s">
        <v>16947</v>
      </c>
      <c r="D1807" s="2" t="s">
        <v>122</v>
      </c>
      <c r="E1807" s="2">
        <v>38</v>
      </c>
      <c r="F1807" s="2">
        <v>691.073</v>
      </c>
    </row>
    <row r="1808" spans="3:6" x14ac:dyDescent="0.25">
      <c r="C1808" s="2" t="s">
        <v>16948</v>
      </c>
      <c r="D1808" s="2" t="s">
        <v>122</v>
      </c>
      <c r="E1808" s="2">
        <v>25</v>
      </c>
      <c r="F1808" s="2">
        <v>472.049</v>
      </c>
    </row>
    <row r="1809" spans="3:6" x14ac:dyDescent="0.25">
      <c r="C1809" s="2" t="s">
        <v>16949</v>
      </c>
      <c r="D1809" s="2" t="s">
        <v>122</v>
      </c>
      <c r="E1809" s="2">
        <v>14</v>
      </c>
      <c r="F1809" s="2">
        <v>239.58</v>
      </c>
    </row>
    <row r="1810" spans="3:6" x14ac:dyDescent="0.25">
      <c r="C1810" s="2" t="s">
        <v>16950</v>
      </c>
      <c r="D1810" s="2" t="s">
        <v>122</v>
      </c>
      <c r="E1810" s="2">
        <v>25</v>
      </c>
      <c r="F1810" s="2">
        <v>514.14</v>
      </c>
    </row>
    <row r="1811" spans="3:6" x14ac:dyDescent="0.25">
      <c r="C1811" s="2" t="s">
        <v>16951</v>
      </c>
      <c r="D1811" s="2" t="s">
        <v>122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10</v>
      </c>
      <c r="C1813" s="2" t="s">
        <v>16952</v>
      </c>
      <c r="D1813" s="2" t="s">
        <v>12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16953</v>
      </c>
      <c r="D1814" s="2" t="s">
        <v>12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12270</v>
      </c>
      <c r="C1816" s="2" t="s">
        <v>16954</v>
      </c>
      <c r="D1816" s="2" t="s">
        <v>12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16955</v>
      </c>
      <c r="D1817" s="2" t="s">
        <v>12</v>
      </c>
      <c r="E1817" s="2">
        <v>153</v>
      </c>
      <c r="F1817" s="2">
        <v>3048.613</v>
      </c>
    </row>
    <row r="1818" spans="3:6" x14ac:dyDescent="0.25">
      <c r="C1818" s="2" t="s">
        <v>16956</v>
      </c>
      <c r="D1818" s="2" t="s">
        <v>12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16957</v>
      </c>
      <c r="C1820" s="2" t="s">
        <v>16958</v>
      </c>
      <c r="D1820" s="2" t="s">
        <v>8441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32</v>
      </c>
      <c r="C1822" s="2" t="s">
        <v>16959</v>
      </c>
      <c r="D1822" s="2" t="s">
        <v>20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16960</v>
      </c>
      <c r="D1823" s="2" t="s">
        <v>20</v>
      </c>
      <c r="E1823" s="2">
        <v>268</v>
      </c>
      <c r="F1823" s="2">
        <v>5025.269</v>
      </c>
    </row>
    <row r="1824" spans="3:6" x14ac:dyDescent="0.25">
      <c r="C1824" s="2" t="s">
        <v>16961</v>
      </c>
      <c r="D1824" s="2" t="s">
        <v>20</v>
      </c>
      <c r="E1824" s="2">
        <v>285</v>
      </c>
      <c r="F1824" s="2">
        <v>6292.95</v>
      </c>
    </row>
    <row r="1825" spans="3:6" x14ac:dyDescent="0.25">
      <c r="C1825" s="2" t="s">
        <v>16962</v>
      </c>
      <c r="D1825" s="2" t="s">
        <v>20</v>
      </c>
      <c r="E1825" s="2">
        <v>218</v>
      </c>
      <c r="F1825" s="2">
        <v>4358.518</v>
      </c>
    </row>
    <row r="1826" spans="3:6" x14ac:dyDescent="0.25">
      <c r="C1826" s="2" t="s">
        <v>16963</v>
      </c>
      <c r="D1826" s="2" t="s">
        <v>20</v>
      </c>
      <c r="E1826" s="2">
        <v>296</v>
      </c>
      <c r="F1826" s="2">
        <v>5699.544</v>
      </c>
    </row>
    <row r="1827" spans="3:6" x14ac:dyDescent="0.25">
      <c r="C1827" s="2" t="s">
        <v>16964</v>
      </c>
      <c r="D1827" s="2" t="s">
        <v>20</v>
      </c>
      <c r="E1827" s="2">
        <v>326</v>
      </c>
      <c r="F1827" s="2">
        <v>6070.058</v>
      </c>
    </row>
    <row r="1828" spans="3:6" x14ac:dyDescent="0.25">
      <c r="C1828" s="2" t="s">
        <v>16965</v>
      </c>
      <c r="D1828" s="2" t="s">
        <v>20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16966</v>
      </c>
      <c r="C1830" s="2" t="s">
        <v>16967</v>
      </c>
      <c r="D1830" s="2" t="s">
        <v>20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16968</v>
      </c>
      <c r="D1831" s="2" t="s">
        <v>20</v>
      </c>
      <c r="E1831" s="2">
        <v>217</v>
      </c>
      <c r="F1831" s="2">
        <v>4645.039</v>
      </c>
    </row>
    <row r="1832" spans="3:6" x14ac:dyDescent="0.25">
      <c r="C1832" s="2" t="s">
        <v>16969</v>
      </c>
      <c r="D1832" s="2" t="s">
        <v>20</v>
      </c>
      <c r="E1832" s="2">
        <v>163</v>
      </c>
      <c r="F1832" s="2">
        <v>3017.5</v>
      </c>
    </row>
    <row r="1833" spans="3:6" x14ac:dyDescent="0.25">
      <c r="C1833" s="2" t="s">
        <v>16970</v>
      </c>
      <c r="D1833" s="2" t="s">
        <v>20</v>
      </c>
      <c r="E1833" s="2">
        <v>268</v>
      </c>
      <c r="F1833" s="2">
        <v>4582.43</v>
      </c>
    </row>
    <row r="1834" spans="3:6" x14ac:dyDescent="0.25">
      <c r="C1834" s="2" t="s">
        <v>16971</v>
      </c>
      <c r="D1834" s="2" t="s">
        <v>20</v>
      </c>
      <c r="E1834" s="2">
        <v>163</v>
      </c>
      <c r="F1834" s="2">
        <v>2920.338</v>
      </c>
    </row>
    <row r="1835" spans="3:6" x14ac:dyDescent="0.25">
      <c r="C1835" s="2" t="s">
        <v>16972</v>
      </c>
      <c r="D1835" s="2" t="s">
        <v>20</v>
      </c>
      <c r="E1835" s="2">
        <v>268</v>
      </c>
      <c r="F1835" s="2">
        <v>5188.48</v>
      </c>
    </row>
    <row r="1836" spans="3:6" x14ac:dyDescent="0.25">
      <c r="C1836" s="2" t="s">
        <v>16973</v>
      </c>
      <c r="D1836" s="2" t="s">
        <v>20</v>
      </c>
      <c r="E1836" s="2">
        <v>210</v>
      </c>
      <c r="F1836" s="2">
        <v>3950.897</v>
      </c>
    </row>
    <row r="1837" spans="3:6" x14ac:dyDescent="0.25">
      <c r="C1837" s="2" t="s">
        <v>16974</v>
      </c>
      <c r="D1837" s="2" t="s">
        <v>20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380</v>
      </c>
      <c r="C1839" s="2" t="s">
        <v>16975</v>
      </c>
      <c r="D1839" s="2" t="s">
        <v>20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16976</v>
      </c>
      <c r="D1840" s="2" t="s">
        <v>20</v>
      </c>
      <c r="E1840" s="2">
        <v>149</v>
      </c>
      <c r="F1840" s="2">
        <v>2783.93</v>
      </c>
    </row>
    <row r="1841" spans="3:6" x14ac:dyDescent="0.25">
      <c r="C1841" s="2" t="s">
        <v>16977</v>
      </c>
      <c r="D1841" s="2" t="s">
        <v>20</v>
      </c>
      <c r="E1841" s="2">
        <v>251</v>
      </c>
      <c r="F1841" s="2">
        <v>4700.607</v>
      </c>
    </row>
    <row r="1842" spans="3:6" x14ac:dyDescent="0.25">
      <c r="C1842" s="2" t="s">
        <v>16978</v>
      </c>
      <c r="D1842" s="2" t="s">
        <v>20</v>
      </c>
      <c r="E1842" s="2">
        <v>102</v>
      </c>
      <c r="F1842" s="2">
        <v>1955.296</v>
      </c>
    </row>
    <row r="1843" spans="3:6" x14ac:dyDescent="0.25">
      <c r="C1843" s="2" t="s">
        <v>16979</v>
      </c>
      <c r="D1843" s="2" t="s">
        <v>20</v>
      </c>
      <c r="E1843" s="2">
        <v>204</v>
      </c>
      <c r="F1843" s="2">
        <v>3943.558</v>
      </c>
    </row>
    <row r="1844" spans="3:6" x14ac:dyDescent="0.25">
      <c r="C1844" s="2" t="s">
        <v>16980</v>
      </c>
      <c r="D1844" s="2" t="s">
        <v>20</v>
      </c>
      <c r="E1844" s="2">
        <v>251</v>
      </c>
      <c r="F1844" s="2">
        <v>4925.34</v>
      </c>
    </row>
    <row r="1845" spans="3:6" x14ac:dyDescent="0.25">
      <c r="C1845" s="2" t="s">
        <v>16981</v>
      </c>
      <c r="D1845" s="2" t="s">
        <v>20</v>
      </c>
      <c r="E1845" s="2">
        <v>149</v>
      </c>
      <c r="F1845" s="2">
        <v>2878.769</v>
      </c>
    </row>
    <row r="1846" spans="3:6" x14ac:dyDescent="0.25">
      <c r="C1846" s="2" t="s">
        <v>16982</v>
      </c>
      <c r="D1846" s="2" t="s">
        <v>20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2736</v>
      </c>
      <c r="C1848" s="2" t="s">
        <v>16983</v>
      </c>
      <c r="D1848" s="2" t="s">
        <v>342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16984</v>
      </c>
      <c r="D1849" s="2" t="s">
        <v>342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324</v>
      </c>
      <c r="C1851" s="2" t="s">
        <v>16985</v>
      </c>
      <c r="D1851" s="2" t="s">
        <v>27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16986</v>
      </c>
      <c r="D1852" s="2" t="s">
        <v>27</v>
      </c>
      <c r="E1852" s="2">
        <v>23</v>
      </c>
      <c r="F1852" s="2">
        <v>404.93</v>
      </c>
    </row>
    <row r="1853" spans="3:6" x14ac:dyDescent="0.25">
      <c r="C1853" s="2" t="s">
        <v>16987</v>
      </c>
      <c r="D1853" s="2" t="s">
        <v>27</v>
      </c>
      <c r="E1853" s="2">
        <v>47</v>
      </c>
      <c r="F1853" s="2">
        <v>1013.74</v>
      </c>
    </row>
    <row r="1854" spans="3:6" x14ac:dyDescent="0.25">
      <c r="C1854" s="2" t="s">
        <v>16988</v>
      </c>
      <c r="D1854" s="2" t="s">
        <v>27</v>
      </c>
      <c r="E1854" s="2">
        <v>44</v>
      </c>
      <c r="F1854" s="2">
        <v>791.059</v>
      </c>
    </row>
    <row r="1855" spans="3:6" x14ac:dyDescent="0.25">
      <c r="C1855" s="2" t="s">
        <v>16989</v>
      </c>
      <c r="D1855" s="2" t="s">
        <v>27</v>
      </c>
      <c r="E1855" s="2">
        <v>84</v>
      </c>
      <c r="F1855" s="2">
        <v>1695.419</v>
      </c>
    </row>
    <row r="1856" spans="3:6" x14ac:dyDescent="0.25">
      <c r="C1856" s="2" t="s">
        <v>16990</v>
      </c>
      <c r="D1856" s="2" t="s">
        <v>27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10</v>
      </c>
      <c r="C1858" s="2" t="s">
        <v>16991</v>
      </c>
      <c r="D1858" s="2" t="s">
        <v>12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16992</v>
      </c>
      <c r="D1859" s="2" t="s">
        <v>12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1286</v>
      </c>
      <c r="C1861" s="2" t="s">
        <v>16993</v>
      </c>
      <c r="D1861" s="2" t="s">
        <v>8924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32</v>
      </c>
      <c r="C1863" s="2" t="s">
        <v>16994</v>
      </c>
      <c r="D1863" s="2" t="s">
        <v>20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16995</v>
      </c>
      <c r="D1864" s="2" t="s">
        <v>20</v>
      </c>
      <c r="E1864" s="2">
        <v>326</v>
      </c>
      <c r="F1864" s="2">
        <v>6048.728</v>
      </c>
    </row>
    <row r="1865" spans="3:6" x14ac:dyDescent="0.25">
      <c r="C1865" s="2" t="s">
        <v>16996</v>
      </c>
      <c r="D1865" s="2" t="s">
        <v>20</v>
      </c>
      <c r="E1865" s="2">
        <v>230</v>
      </c>
      <c r="F1865" s="2">
        <v>4324.973</v>
      </c>
    </row>
    <row r="1866" spans="3:6" x14ac:dyDescent="0.25">
      <c r="C1866" s="2" t="s">
        <v>16997</v>
      </c>
      <c r="D1866" s="2" t="s">
        <v>20</v>
      </c>
      <c r="E1866" s="2">
        <v>326</v>
      </c>
      <c r="F1866" s="2">
        <v>5924.707</v>
      </c>
    </row>
    <row r="1867" spans="3:6" x14ac:dyDescent="0.25">
      <c r="C1867" s="2" t="s">
        <v>16998</v>
      </c>
      <c r="D1867" s="2" t="s">
        <v>20</v>
      </c>
      <c r="E1867" s="2">
        <v>268</v>
      </c>
      <c r="F1867" s="2">
        <v>4861.137</v>
      </c>
    </row>
    <row r="1868" spans="3:6" x14ac:dyDescent="0.25">
      <c r="C1868" s="2" t="s">
        <v>16999</v>
      </c>
      <c r="D1868" s="2" t="s">
        <v>20</v>
      </c>
      <c r="E1868" s="2">
        <v>105</v>
      </c>
      <c r="F1868" s="2">
        <v>2079.46</v>
      </c>
    </row>
    <row r="1869" spans="3:6" x14ac:dyDescent="0.25">
      <c r="C1869" s="2" t="s">
        <v>17000</v>
      </c>
      <c r="D1869" s="2" t="s">
        <v>20</v>
      </c>
      <c r="E1869" s="2">
        <v>210</v>
      </c>
      <c r="F1869" s="2">
        <v>4212.23</v>
      </c>
    </row>
    <row r="1870" spans="3:6" x14ac:dyDescent="0.25">
      <c r="C1870" s="2" t="s">
        <v>17001</v>
      </c>
      <c r="D1870" s="2" t="s">
        <v>20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13576</v>
      </c>
      <c r="C1872" s="2" t="s">
        <v>17002</v>
      </c>
      <c r="D1872" s="2" t="s">
        <v>1288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17003</v>
      </c>
      <c r="D1873" s="2" t="s">
        <v>1288</v>
      </c>
      <c r="E1873" s="2">
        <v>25</v>
      </c>
      <c r="F1873" s="2">
        <v>480.35</v>
      </c>
    </row>
    <row r="1874" spans="3:6" x14ac:dyDescent="0.25">
      <c r="C1874" s="2" t="s">
        <v>17004</v>
      </c>
      <c r="D1874" s="2" t="s">
        <v>1288</v>
      </c>
      <c r="E1874" s="2">
        <v>28</v>
      </c>
      <c r="F1874" s="2">
        <v>566.5</v>
      </c>
    </row>
    <row r="1875" spans="3:6" x14ac:dyDescent="0.25">
      <c r="C1875" s="2" t="s">
        <v>17005</v>
      </c>
      <c r="D1875" s="2" t="s">
        <v>1288</v>
      </c>
      <c r="E1875" s="2">
        <v>113</v>
      </c>
      <c r="F1875" s="2">
        <v>2095.8</v>
      </c>
    </row>
    <row r="1876" spans="3:6" x14ac:dyDescent="0.25">
      <c r="C1876" s="2" t="s">
        <v>17006</v>
      </c>
      <c r="D1876" s="2" t="s">
        <v>1288</v>
      </c>
      <c r="E1876" s="2">
        <v>71</v>
      </c>
      <c r="F1876" s="2">
        <v>2439.772</v>
      </c>
    </row>
    <row r="1877" spans="3:6" x14ac:dyDescent="0.25">
      <c r="C1877" s="2" t="s">
        <v>17007</v>
      </c>
      <c r="D1877" s="2" t="s">
        <v>1288</v>
      </c>
      <c r="E1877" s="2">
        <v>71</v>
      </c>
      <c r="F1877" s="2">
        <v>2464.861</v>
      </c>
    </row>
    <row r="1878" spans="3:6" x14ac:dyDescent="0.25">
      <c r="C1878" s="2" t="s">
        <v>17008</v>
      </c>
      <c r="D1878" s="2" t="s">
        <v>1288</v>
      </c>
      <c r="E1878" s="2">
        <v>37</v>
      </c>
      <c r="F1878" s="2">
        <v>755.8</v>
      </c>
    </row>
    <row r="1879" spans="3:6" x14ac:dyDescent="0.25">
      <c r="C1879" s="2" t="s">
        <v>17009</v>
      </c>
      <c r="D1879" s="2" t="s">
        <v>1288</v>
      </c>
      <c r="E1879" s="2">
        <v>88</v>
      </c>
      <c r="F1879" s="2">
        <v>1776.559</v>
      </c>
    </row>
    <row r="1880" spans="3:6" x14ac:dyDescent="0.25">
      <c r="C1880" s="2" t="s">
        <v>17010</v>
      </c>
      <c r="D1880" s="2" t="s">
        <v>1288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2097</v>
      </c>
      <c r="C1882" s="2" t="s">
        <v>17011</v>
      </c>
      <c r="D1882" s="2" t="s">
        <v>27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17012</v>
      </c>
      <c r="D1883" s="2" t="s">
        <v>27</v>
      </c>
      <c r="E1883" s="2">
        <v>39</v>
      </c>
      <c r="F1883" s="2">
        <v>694.098</v>
      </c>
    </row>
    <row r="1884" spans="3:6" x14ac:dyDescent="0.25">
      <c r="C1884" s="2" t="s">
        <v>17013</v>
      </c>
      <c r="D1884" s="2" t="s">
        <v>27</v>
      </c>
      <c r="E1884" s="2">
        <v>82</v>
      </c>
      <c r="F1884" s="2">
        <v>1570.25</v>
      </c>
    </row>
    <row r="1885" spans="3:6" x14ac:dyDescent="0.25">
      <c r="C1885" s="2" t="s">
        <v>17014</v>
      </c>
      <c r="D1885" s="2" t="s">
        <v>27</v>
      </c>
      <c r="E1885" s="2">
        <v>19</v>
      </c>
      <c r="F1885" s="2">
        <v>339.93</v>
      </c>
    </row>
    <row r="1886" spans="3:6" x14ac:dyDescent="0.25">
      <c r="C1886" s="2" t="s">
        <v>17015</v>
      </c>
      <c r="D1886" s="2" t="s">
        <v>27</v>
      </c>
      <c r="E1886" s="2">
        <v>20</v>
      </c>
      <c r="F1886" s="2">
        <v>364.659</v>
      </c>
    </row>
    <row r="1887" spans="3:6" x14ac:dyDescent="0.25">
      <c r="C1887" s="2" t="s">
        <v>17016</v>
      </c>
      <c r="D1887" s="2" t="s">
        <v>27</v>
      </c>
      <c r="E1887" s="2">
        <v>68</v>
      </c>
      <c r="F1887" s="2">
        <v>1381.41</v>
      </c>
    </row>
    <row r="1888" spans="3:6" x14ac:dyDescent="0.25">
      <c r="C1888" s="2" t="s">
        <v>17017</v>
      </c>
      <c r="D1888" s="2" t="s">
        <v>27</v>
      </c>
      <c r="E1888" s="2">
        <v>20</v>
      </c>
      <c r="F1888" s="2">
        <v>358.66</v>
      </c>
    </row>
    <row r="1889" spans="3:6" x14ac:dyDescent="0.25">
      <c r="C1889" s="2" t="s">
        <v>17018</v>
      </c>
      <c r="D1889" s="2" t="s">
        <v>27</v>
      </c>
      <c r="E1889" s="2">
        <v>38</v>
      </c>
      <c r="F1889" s="2">
        <v>666.999</v>
      </c>
    </row>
    <row r="1890" spans="3:6" x14ac:dyDescent="0.25">
      <c r="C1890" s="2" t="s">
        <v>17019</v>
      </c>
      <c r="D1890" s="2" t="s">
        <v>27</v>
      </c>
      <c r="E1890" s="2">
        <v>77</v>
      </c>
      <c r="F1890" s="2">
        <v>1521.71</v>
      </c>
    </row>
    <row r="1891" spans="3:6" x14ac:dyDescent="0.25">
      <c r="C1891" s="2" t="s">
        <v>17020</v>
      </c>
      <c r="D1891" s="2" t="s">
        <v>27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172</v>
      </c>
      <c r="C1893" s="2" t="s">
        <v>16816</v>
      </c>
      <c r="D1893" s="2" t="s">
        <v>9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16817</v>
      </c>
      <c r="D1894" s="2" t="s">
        <v>9</v>
      </c>
      <c r="E1894" s="2">
        <v>141</v>
      </c>
      <c r="F1894" s="2">
        <v>2683.119</v>
      </c>
    </row>
    <row r="1895" spans="3:6" x14ac:dyDescent="0.25">
      <c r="C1895" s="2" t="s">
        <v>16796</v>
      </c>
      <c r="D1895" s="2" t="s">
        <v>9</v>
      </c>
      <c r="E1895" s="2">
        <v>65</v>
      </c>
      <c r="F1895" s="2">
        <v>1096.501</v>
      </c>
    </row>
    <row r="1896" spans="3:6" x14ac:dyDescent="0.25">
      <c r="C1896" s="2" t="s">
        <v>16797</v>
      </c>
      <c r="D1896" s="2" t="s">
        <v>9</v>
      </c>
      <c r="E1896" s="2">
        <v>10</v>
      </c>
      <c r="F1896" s="2">
        <v>187.23</v>
      </c>
    </row>
    <row r="1897" spans="3:6" x14ac:dyDescent="0.25">
      <c r="C1897" s="2" t="s">
        <v>17021</v>
      </c>
      <c r="D1897" s="2" t="s">
        <v>9</v>
      </c>
      <c r="E1897" s="2">
        <v>27</v>
      </c>
      <c r="F1897" s="2">
        <v>530.77</v>
      </c>
    </row>
    <row r="1898" spans="3:6" x14ac:dyDescent="0.25">
      <c r="C1898" s="2" t="s">
        <v>17022</v>
      </c>
      <c r="D1898" s="2" t="s">
        <v>9</v>
      </c>
      <c r="E1898" s="2" t="s">
        <v>8758</v>
      </c>
      <c r="F1898" s="2" t="s">
        <v>8758</v>
      </c>
    </row>
    <row r="1899" spans="3:6" x14ac:dyDescent="0.25">
      <c r="C1899" s="2" t="s">
        <v>17023</v>
      </c>
      <c r="D1899" s="2" t="s">
        <v>9</v>
      </c>
      <c r="E1899" s="2" t="s">
        <v>8758</v>
      </c>
      <c r="F1899" s="2" t="s">
        <v>8758</v>
      </c>
    </row>
    <row r="1900" spans="3:6" x14ac:dyDescent="0.25">
      <c r="C1900" s="2" t="s">
        <v>17024</v>
      </c>
      <c r="D1900" s="2" t="s">
        <v>9</v>
      </c>
      <c r="E1900" s="2">
        <v>3</v>
      </c>
      <c r="F1900" s="2">
        <v>20.35</v>
      </c>
    </row>
    <row r="1901" spans="3:6" x14ac:dyDescent="0.25">
      <c r="C1901" s="2" t="s">
        <v>17025</v>
      </c>
      <c r="D1901" s="2" t="s">
        <v>9</v>
      </c>
      <c r="E1901" s="2">
        <v>66</v>
      </c>
      <c r="F1901" s="2">
        <v>1261.97</v>
      </c>
    </row>
    <row r="1902" spans="3:6" x14ac:dyDescent="0.25">
      <c r="C1902" s="2" t="s">
        <v>16804</v>
      </c>
      <c r="D1902" s="2" t="s">
        <v>9</v>
      </c>
      <c r="E1902" s="2">
        <v>141</v>
      </c>
      <c r="F1902" s="2">
        <v>2698.49</v>
      </c>
    </row>
    <row r="1903" spans="3:6" x14ac:dyDescent="0.25">
      <c r="C1903" s="2" t="s">
        <v>16811</v>
      </c>
      <c r="D1903" s="2" t="s">
        <v>9</v>
      </c>
      <c r="E1903" s="2">
        <v>56</v>
      </c>
      <c r="F1903" s="2">
        <v>1060.659</v>
      </c>
    </row>
    <row r="1904" spans="3:6" x14ac:dyDescent="0.25">
      <c r="C1904" s="2" t="s">
        <v>16809</v>
      </c>
      <c r="D1904" s="2" t="s">
        <v>9</v>
      </c>
      <c r="E1904" s="2">
        <v>51</v>
      </c>
      <c r="F1904" s="2">
        <v>956.569</v>
      </c>
    </row>
    <row r="1905" spans="3:6" x14ac:dyDescent="0.25">
      <c r="C1905" s="2" t="s">
        <v>16810</v>
      </c>
      <c r="D1905" s="2" t="s">
        <v>9</v>
      </c>
      <c r="E1905" s="2">
        <v>35</v>
      </c>
      <c r="F1905" s="2">
        <v>659.49</v>
      </c>
    </row>
    <row r="1906" spans="3:6" x14ac:dyDescent="0.25">
      <c r="C1906" s="2" t="s">
        <v>17026</v>
      </c>
      <c r="D1906" s="2" t="s">
        <v>9</v>
      </c>
      <c r="E1906" s="2">
        <v>306</v>
      </c>
      <c r="F1906" s="2">
        <v>6288.58</v>
      </c>
    </row>
    <row r="1907" spans="3:6" x14ac:dyDescent="0.25">
      <c r="C1907" s="2" t="s">
        <v>17027</v>
      </c>
      <c r="D1907" s="2" t="s">
        <v>9</v>
      </c>
      <c r="E1907" s="2">
        <v>102</v>
      </c>
      <c r="F1907" s="2">
        <v>1963.159</v>
      </c>
    </row>
    <row r="1908" spans="3:6" x14ac:dyDescent="0.25">
      <c r="C1908" s="2" t="s">
        <v>17028</v>
      </c>
      <c r="D1908" s="2" t="s">
        <v>9</v>
      </c>
      <c r="E1908" s="2">
        <v>123</v>
      </c>
      <c r="F1908" s="2">
        <v>2578.63</v>
      </c>
    </row>
    <row r="1909" spans="3:6" x14ac:dyDescent="0.25">
      <c r="C1909" s="2" t="s">
        <v>17029</v>
      </c>
      <c r="D1909" s="2" t="s">
        <v>9</v>
      </c>
      <c r="E1909" s="2">
        <v>134</v>
      </c>
      <c r="F1909" s="2">
        <v>2770.56</v>
      </c>
    </row>
    <row r="1910" spans="3:6" x14ac:dyDescent="0.25">
      <c r="C1910" s="2" t="s">
        <v>17030</v>
      </c>
      <c r="D1910" s="2" t="s">
        <v>9</v>
      </c>
      <c r="E1910" s="2">
        <v>123</v>
      </c>
      <c r="F1910" s="2">
        <v>2671.73</v>
      </c>
    </row>
    <row r="1911" spans="3:6" x14ac:dyDescent="0.25">
      <c r="C1911" s="2" t="s">
        <v>17031</v>
      </c>
      <c r="D1911" s="2" t="s">
        <v>9</v>
      </c>
      <c r="E1911" s="2">
        <v>123</v>
      </c>
      <c r="F1911" s="2">
        <v>2619.689</v>
      </c>
    </row>
    <row r="1912" spans="3:6" x14ac:dyDescent="0.25">
      <c r="C1912" s="2" t="s">
        <v>17032</v>
      </c>
      <c r="D1912" s="2" t="s">
        <v>9</v>
      </c>
      <c r="E1912" s="2">
        <v>123</v>
      </c>
      <c r="F1912" s="2">
        <v>2337.859</v>
      </c>
    </row>
    <row r="1913" spans="3:6" x14ac:dyDescent="0.25">
      <c r="C1913" s="2" t="s">
        <v>17033</v>
      </c>
      <c r="D1913" s="2" t="s">
        <v>9</v>
      </c>
      <c r="E1913" s="2">
        <v>102</v>
      </c>
      <c r="F1913" s="2">
        <v>1855.639</v>
      </c>
    </row>
    <row r="1914" spans="3:6" x14ac:dyDescent="0.25">
      <c r="C1914" s="2" t="s">
        <v>17034</v>
      </c>
      <c r="D1914" s="2" t="s">
        <v>9</v>
      </c>
      <c r="E1914" s="2">
        <v>282</v>
      </c>
      <c r="F1914" s="2">
        <v>6007.57</v>
      </c>
    </row>
    <row r="1915" spans="3:6" x14ac:dyDescent="0.25">
      <c r="C1915" s="2" t="s">
        <v>17035</v>
      </c>
      <c r="D1915" s="2" t="s">
        <v>9</v>
      </c>
      <c r="E1915" s="2">
        <v>11</v>
      </c>
      <c r="F1915" s="2">
        <v>158.9</v>
      </c>
    </row>
    <row r="1916" spans="3:6" x14ac:dyDescent="0.25">
      <c r="C1916" s="2" t="s">
        <v>17036</v>
      </c>
      <c r="D1916" s="2" t="s">
        <v>9</v>
      </c>
      <c r="E1916" s="2">
        <v>30</v>
      </c>
      <c r="F1916" s="2">
        <v>573.4</v>
      </c>
    </row>
    <row r="1917" spans="3:6" x14ac:dyDescent="0.25">
      <c r="C1917" s="2" t="s">
        <v>17037</v>
      </c>
      <c r="D1917" s="2" t="s">
        <v>9</v>
      </c>
      <c r="E1917" s="2">
        <v>50</v>
      </c>
      <c r="F1917" s="2">
        <v>952.709</v>
      </c>
    </row>
    <row r="1918" spans="3:6" x14ac:dyDescent="0.25">
      <c r="C1918" s="2" t="s">
        <v>17038</v>
      </c>
      <c r="D1918" s="2" t="s">
        <v>9</v>
      </c>
      <c r="E1918" s="2">
        <v>50</v>
      </c>
      <c r="F1918" s="2">
        <v>973.97</v>
      </c>
    </row>
    <row r="1919" spans="3:6" x14ac:dyDescent="0.25">
      <c r="C1919" s="2" t="s">
        <v>17039</v>
      </c>
      <c r="D1919" s="2" t="s">
        <v>9</v>
      </c>
      <c r="E1919" s="2">
        <v>90</v>
      </c>
      <c r="F1919" s="2">
        <v>380.447</v>
      </c>
    </row>
    <row r="1920" spans="3:6" x14ac:dyDescent="0.25">
      <c r="C1920" s="2" t="s">
        <v>17040</v>
      </c>
      <c r="D1920" s="2" t="s">
        <v>9</v>
      </c>
      <c r="E1920" s="2">
        <v>243</v>
      </c>
      <c r="F1920" s="2">
        <v>5222.76</v>
      </c>
    </row>
    <row r="1921" spans="3:6" x14ac:dyDescent="0.25">
      <c r="C1921" s="2" t="s">
        <v>17041</v>
      </c>
      <c r="D1921" s="2" t="s">
        <v>9</v>
      </c>
      <c r="E1921" s="2">
        <v>141</v>
      </c>
      <c r="F1921" s="2">
        <v>2939.18</v>
      </c>
    </row>
    <row r="1922" spans="3:6" x14ac:dyDescent="0.25">
      <c r="C1922" s="2" t="s">
        <v>17042</v>
      </c>
      <c r="D1922" s="2" t="s">
        <v>9</v>
      </c>
      <c r="E1922" s="2">
        <v>122</v>
      </c>
      <c r="F1922" s="2">
        <v>2497.65</v>
      </c>
    </row>
    <row r="1923" spans="3:6" x14ac:dyDescent="0.25">
      <c r="C1923" s="2" t="s">
        <v>17043</v>
      </c>
      <c r="D1923" s="2" t="s">
        <v>9</v>
      </c>
      <c r="E1923" s="2">
        <v>19</v>
      </c>
      <c r="F1923" s="2">
        <v>388.02</v>
      </c>
    </row>
    <row r="1924" spans="3:6" x14ac:dyDescent="0.25">
      <c r="C1924" s="2" t="s">
        <v>17044</v>
      </c>
      <c r="D1924" s="2" t="s">
        <v>9</v>
      </c>
      <c r="E1924" s="2">
        <v>141</v>
      </c>
      <c r="F1924" s="2">
        <v>2913.26</v>
      </c>
    </row>
    <row r="1925" spans="3:6" x14ac:dyDescent="0.25">
      <c r="C1925" s="2" t="s">
        <v>17045</v>
      </c>
      <c r="D1925" s="2" t="s">
        <v>9</v>
      </c>
      <c r="E1925" s="2">
        <v>141</v>
      </c>
      <c r="F1925" s="2">
        <v>3065.58</v>
      </c>
    </row>
    <row r="1926" spans="3:6" x14ac:dyDescent="0.25">
      <c r="C1926" s="2" t="s">
        <v>17046</v>
      </c>
      <c r="D1926" s="2" t="s">
        <v>9</v>
      </c>
      <c r="E1926" s="2">
        <v>141</v>
      </c>
      <c r="F1926" s="2">
        <v>2970.36</v>
      </c>
    </row>
    <row r="1927" spans="3:6" x14ac:dyDescent="0.25">
      <c r="C1927" s="2" t="s">
        <v>17047</v>
      </c>
      <c r="D1927" s="2" t="s">
        <v>9</v>
      </c>
      <c r="E1927" s="2">
        <v>102</v>
      </c>
      <c r="F1927" s="2">
        <v>2129.65</v>
      </c>
    </row>
    <row r="1928" spans="3:6" x14ac:dyDescent="0.25">
      <c r="C1928" s="2" t="s">
        <v>17048</v>
      </c>
      <c r="D1928" s="2" t="s">
        <v>9</v>
      </c>
      <c r="E1928" s="2">
        <v>135</v>
      </c>
      <c r="F1928" s="2">
        <v>557.25</v>
      </c>
    </row>
    <row r="1929" spans="3:6" x14ac:dyDescent="0.25">
      <c r="C1929" s="2" t="s">
        <v>17049</v>
      </c>
      <c r="D1929" s="2" t="s">
        <v>9</v>
      </c>
      <c r="E1929" s="2">
        <v>193</v>
      </c>
      <c r="F1929" s="2">
        <v>4020.54</v>
      </c>
    </row>
    <row r="1930" spans="3:6" x14ac:dyDescent="0.25">
      <c r="C1930" s="2" t="s">
        <v>17050</v>
      </c>
      <c r="D1930" s="2" t="s">
        <v>9</v>
      </c>
      <c r="E1930" s="2">
        <v>89</v>
      </c>
      <c r="F1930" s="2">
        <v>1863.279</v>
      </c>
    </row>
    <row r="1931" spans="3:6" x14ac:dyDescent="0.25">
      <c r="C1931" s="2" t="s">
        <v>17051</v>
      </c>
      <c r="D1931" s="2" t="s">
        <v>9</v>
      </c>
      <c r="E1931" s="2">
        <v>140</v>
      </c>
      <c r="F1931" s="2">
        <v>2720.9</v>
      </c>
    </row>
    <row r="1932" spans="3:6" x14ac:dyDescent="0.25">
      <c r="C1932" s="2" t="s">
        <v>17052</v>
      </c>
      <c r="D1932" s="2" t="s">
        <v>9</v>
      </c>
      <c r="E1932" s="2">
        <v>141</v>
      </c>
      <c r="F1932" s="2">
        <v>2923.96</v>
      </c>
    </row>
    <row r="1933" spans="3:6" x14ac:dyDescent="0.25">
      <c r="C1933" s="2" t="s">
        <v>17053</v>
      </c>
      <c r="D1933" s="2" t="s">
        <v>9</v>
      </c>
      <c r="E1933" s="2">
        <v>41</v>
      </c>
      <c r="F1933" s="2">
        <v>862.67</v>
      </c>
    </row>
    <row r="1934" spans="3:6" x14ac:dyDescent="0.25">
      <c r="C1934" s="2" t="s">
        <v>17054</v>
      </c>
      <c r="D1934" s="2" t="s">
        <v>9</v>
      </c>
      <c r="E1934" s="2">
        <v>100</v>
      </c>
      <c r="F1934" s="2">
        <v>1912.96</v>
      </c>
    </row>
    <row r="1935" spans="3:6" x14ac:dyDescent="0.25">
      <c r="C1935" s="2" t="s">
        <v>17055</v>
      </c>
      <c r="D1935" s="2" t="s">
        <v>9</v>
      </c>
      <c r="E1935" s="2">
        <v>101</v>
      </c>
      <c r="F1935" s="2">
        <v>2155.09</v>
      </c>
    </row>
    <row r="1936" spans="3:6" x14ac:dyDescent="0.25">
      <c r="C1936" s="2" t="s">
        <v>17056</v>
      </c>
      <c r="D1936" s="2" t="s">
        <v>9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183</v>
      </c>
      <c r="C1938" s="2" t="s">
        <v>17057</v>
      </c>
      <c r="D1938" s="2" t="s">
        <v>122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17058</v>
      </c>
      <c r="D1939" s="2" t="s">
        <v>122</v>
      </c>
      <c r="E1939" s="2">
        <v>121</v>
      </c>
      <c r="F1939" s="2">
        <v>2567.86</v>
      </c>
    </row>
    <row r="1940" spans="3:6" x14ac:dyDescent="0.25">
      <c r="C1940" s="2" t="s">
        <v>17059</v>
      </c>
      <c r="D1940" s="2" t="s">
        <v>122</v>
      </c>
      <c r="E1940" s="2">
        <v>61</v>
      </c>
      <c r="F1940" s="2">
        <v>1301.53</v>
      </c>
    </row>
    <row r="1941" spans="3:6" x14ac:dyDescent="0.25">
      <c r="C1941" s="2" t="s">
        <v>17060</v>
      </c>
      <c r="D1941" s="2" t="s">
        <v>122</v>
      </c>
      <c r="E1941" s="2">
        <v>60</v>
      </c>
      <c r="F1941" s="2">
        <v>1301.34</v>
      </c>
    </row>
    <row r="1942" spans="3:6" x14ac:dyDescent="0.25">
      <c r="C1942" s="2" t="s">
        <v>17061</v>
      </c>
      <c r="D1942" s="2" t="s">
        <v>122</v>
      </c>
      <c r="E1942" s="2">
        <v>141</v>
      </c>
      <c r="F1942" s="2">
        <v>611.6</v>
      </c>
    </row>
    <row r="1943" spans="3:6" x14ac:dyDescent="0.25">
      <c r="C1943" s="2" t="s">
        <v>17062</v>
      </c>
      <c r="D1943" s="2" t="s">
        <v>122</v>
      </c>
      <c r="E1943" s="2">
        <v>141</v>
      </c>
      <c r="F1943" s="2">
        <v>3015.26</v>
      </c>
    </row>
    <row r="1944" spans="3:6" x14ac:dyDescent="0.25">
      <c r="C1944" s="2" t="s">
        <v>17063</v>
      </c>
      <c r="D1944" s="2" t="s">
        <v>122</v>
      </c>
      <c r="E1944" s="2">
        <v>141</v>
      </c>
      <c r="F1944" s="2">
        <v>3019.51</v>
      </c>
    </row>
    <row r="1945" spans="3:6" x14ac:dyDescent="0.25">
      <c r="C1945" s="2" t="s">
        <v>17064</v>
      </c>
      <c r="D1945" s="2" t="s">
        <v>122</v>
      </c>
      <c r="E1945" s="2">
        <v>141</v>
      </c>
      <c r="F1945" s="2">
        <v>1199.019</v>
      </c>
    </row>
    <row r="1946" spans="3:6" x14ac:dyDescent="0.25">
      <c r="C1946" s="2" t="s">
        <v>17065</v>
      </c>
      <c r="D1946" s="2" t="s">
        <v>122</v>
      </c>
      <c r="E1946" s="2">
        <v>40</v>
      </c>
      <c r="F1946" s="2">
        <v>735</v>
      </c>
    </row>
    <row r="1947" spans="3:6" x14ac:dyDescent="0.25">
      <c r="C1947" s="2" t="s">
        <v>17066</v>
      </c>
      <c r="D1947" s="2" t="s">
        <v>122</v>
      </c>
      <c r="E1947" s="2">
        <v>35</v>
      </c>
      <c r="F1947" s="2">
        <v>632.37</v>
      </c>
    </row>
    <row r="1948" spans="3:6" x14ac:dyDescent="0.25">
      <c r="C1948" s="2" t="s">
        <v>17067</v>
      </c>
      <c r="D1948" s="2" t="s">
        <v>122</v>
      </c>
      <c r="E1948" s="2">
        <v>65</v>
      </c>
      <c r="F1948" s="2">
        <v>1790.35</v>
      </c>
    </row>
    <row r="1949" spans="3:6" x14ac:dyDescent="0.25">
      <c r="C1949" s="2" t="s">
        <v>17068</v>
      </c>
      <c r="D1949" s="2" t="s">
        <v>122</v>
      </c>
      <c r="E1949" s="2">
        <v>70</v>
      </c>
      <c r="F1949" s="2">
        <v>2074.383</v>
      </c>
    </row>
    <row r="1950" spans="3:6" x14ac:dyDescent="0.25">
      <c r="C1950" s="2" t="s">
        <v>17069</v>
      </c>
      <c r="D1950" s="2" t="s">
        <v>122</v>
      </c>
      <c r="E1950" s="2">
        <v>143</v>
      </c>
      <c r="F1950" s="2">
        <v>2875.479</v>
      </c>
    </row>
    <row r="1951" spans="3:6" x14ac:dyDescent="0.25">
      <c r="C1951" s="2" t="s">
        <v>17070</v>
      </c>
      <c r="D1951" s="2" t="s">
        <v>122</v>
      </c>
      <c r="E1951" s="2">
        <v>141</v>
      </c>
      <c r="F1951" s="2">
        <v>2887</v>
      </c>
    </row>
    <row r="1952" spans="3:6" x14ac:dyDescent="0.25">
      <c r="C1952" s="2" t="s">
        <v>17071</v>
      </c>
      <c r="D1952" s="2" t="s">
        <v>122</v>
      </c>
      <c r="E1952" s="2">
        <v>102</v>
      </c>
      <c r="F1952" s="2">
        <v>2126.34</v>
      </c>
    </row>
    <row r="1953" spans="3:6" x14ac:dyDescent="0.25">
      <c r="C1953" s="2" t="s">
        <v>17072</v>
      </c>
      <c r="D1953" s="2" t="s">
        <v>122</v>
      </c>
      <c r="E1953" s="2">
        <v>31</v>
      </c>
      <c r="F1953" s="2">
        <v>638.42</v>
      </c>
    </row>
    <row r="1954" spans="3:6" x14ac:dyDescent="0.25">
      <c r="C1954" s="2" t="s">
        <v>17073</v>
      </c>
      <c r="D1954" s="2" t="s">
        <v>122</v>
      </c>
      <c r="E1954" s="2">
        <v>66</v>
      </c>
      <c r="F1954" s="2">
        <v>1372.15</v>
      </c>
    </row>
    <row r="1955" spans="3:6" x14ac:dyDescent="0.25">
      <c r="C1955" s="2" t="s">
        <v>17074</v>
      </c>
      <c r="D1955" s="2" t="s">
        <v>122</v>
      </c>
      <c r="E1955" s="2">
        <v>31</v>
      </c>
      <c r="F1955" s="2">
        <v>592.33</v>
      </c>
    </row>
    <row r="1956" spans="3:6" x14ac:dyDescent="0.25">
      <c r="C1956" s="2" t="s">
        <v>17075</v>
      </c>
      <c r="D1956" s="2" t="s">
        <v>122</v>
      </c>
      <c r="E1956" s="2">
        <v>13</v>
      </c>
      <c r="F1956" s="2">
        <v>274.87</v>
      </c>
    </row>
    <row r="1957" spans="3:6" x14ac:dyDescent="0.25">
      <c r="C1957" s="2" t="s">
        <v>17076</v>
      </c>
      <c r="D1957" s="2" t="s">
        <v>122</v>
      </c>
      <c r="E1957" s="2">
        <v>104</v>
      </c>
      <c r="F1957" s="2">
        <v>2167.58</v>
      </c>
    </row>
    <row r="1958" spans="3:6" x14ac:dyDescent="0.25">
      <c r="C1958" s="2" t="s">
        <v>17077</v>
      </c>
      <c r="D1958" s="2" t="s">
        <v>122</v>
      </c>
      <c r="E1958" s="2">
        <v>37</v>
      </c>
      <c r="F1958" s="2">
        <v>772.44</v>
      </c>
    </row>
    <row r="1959" spans="3:6" x14ac:dyDescent="0.25">
      <c r="C1959" s="2" t="s">
        <v>17078</v>
      </c>
      <c r="D1959" s="2" t="s">
        <v>122</v>
      </c>
      <c r="E1959" s="2">
        <v>79</v>
      </c>
      <c r="F1959" s="2">
        <v>1635.2</v>
      </c>
    </row>
    <row r="1960" spans="3:6" x14ac:dyDescent="0.25">
      <c r="C1960" s="2" t="s">
        <v>17079</v>
      </c>
      <c r="D1960" s="2" t="s">
        <v>122</v>
      </c>
      <c r="E1960" s="2">
        <v>62</v>
      </c>
      <c r="F1960" s="2">
        <v>1289.24</v>
      </c>
    </row>
    <row r="1961" spans="3:6" x14ac:dyDescent="0.25">
      <c r="C1961" s="2" t="s">
        <v>17080</v>
      </c>
      <c r="D1961" s="2" t="s">
        <v>122</v>
      </c>
      <c r="E1961" s="2">
        <v>67</v>
      </c>
      <c r="F1961" s="2">
        <v>1400.03</v>
      </c>
    </row>
    <row r="1962" spans="3:6" x14ac:dyDescent="0.25">
      <c r="C1962" s="2" t="s">
        <v>17081</v>
      </c>
      <c r="D1962" s="2" t="s">
        <v>122</v>
      </c>
      <c r="E1962" s="2">
        <v>35</v>
      </c>
      <c r="F1962" s="2">
        <v>736.29</v>
      </c>
    </row>
    <row r="1963" spans="3:6" x14ac:dyDescent="0.25">
      <c r="C1963" s="2" t="s">
        <v>17082</v>
      </c>
      <c r="D1963" s="2" t="s">
        <v>122</v>
      </c>
      <c r="E1963" s="2">
        <v>61</v>
      </c>
      <c r="F1963" s="2">
        <v>1309.38</v>
      </c>
    </row>
    <row r="1964" spans="3:6" x14ac:dyDescent="0.25">
      <c r="C1964" s="2" t="s">
        <v>17083</v>
      </c>
      <c r="D1964" s="2" t="s">
        <v>122</v>
      </c>
      <c r="E1964" s="2">
        <v>41</v>
      </c>
      <c r="F1964" s="2">
        <v>852.13</v>
      </c>
    </row>
    <row r="1965" spans="3:6" x14ac:dyDescent="0.25">
      <c r="C1965" s="2" t="s">
        <v>17084</v>
      </c>
      <c r="D1965" s="2" t="s">
        <v>122</v>
      </c>
      <c r="E1965" s="2">
        <v>78</v>
      </c>
      <c r="F1965" s="2">
        <v>1635.91</v>
      </c>
    </row>
    <row r="1966" spans="3:6" x14ac:dyDescent="0.25">
      <c r="C1966" s="2" t="s">
        <v>17085</v>
      </c>
      <c r="D1966" s="2" t="s">
        <v>122</v>
      </c>
      <c r="E1966" s="2">
        <v>24</v>
      </c>
      <c r="F1966" s="2">
        <v>513.31</v>
      </c>
    </row>
    <row r="1967" spans="3:6" x14ac:dyDescent="0.25">
      <c r="C1967" s="2" t="s">
        <v>17086</v>
      </c>
      <c r="D1967" s="2" t="s">
        <v>122</v>
      </c>
      <c r="E1967" s="2">
        <v>60</v>
      </c>
      <c r="F1967" s="2">
        <v>1263.16</v>
      </c>
    </row>
    <row r="1968" spans="3:6" x14ac:dyDescent="0.25">
      <c r="C1968" s="2" t="s">
        <v>17087</v>
      </c>
      <c r="D1968" s="2" t="s">
        <v>122</v>
      </c>
      <c r="E1968" s="2">
        <v>42</v>
      </c>
      <c r="F1968" s="2">
        <v>865.18</v>
      </c>
    </row>
    <row r="1969" spans="3:6" x14ac:dyDescent="0.25">
      <c r="C1969" s="2" t="s">
        <v>17088</v>
      </c>
      <c r="D1969" s="2" t="s">
        <v>122</v>
      </c>
      <c r="E1969" s="2">
        <v>42</v>
      </c>
      <c r="F1969" s="2">
        <v>892.68</v>
      </c>
    </row>
    <row r="1970" spans="3:6" x14ac:dyDescent="0.25">
      <c r="C1970" s="2" t="s">
        <v>17089</v>
      </c>
      <c r="D1970" s="2" t="s">
        <v>122</v>
      </c>
      <c r="E1970" s="2">
        <v>50</v>
      </c>
      <c r="F1970" s="2">
        <v>1034.78</v>
      </c>
    </row>
    <row r="1971" spans="3:6" x14ac:dyDescent="0.25">
      <c r="C1971" s="2" t="s">
        <v>17090</v>
      </c>
      <c r="D1971" s="2" t="s">
        <v>122</v>
      </c>
      <c r="E1971" s="2">
        <v>35</v>
      </c>
      <c r="F1971" s="2">
        <v>713.1</v>
      </c>
    </row>
    <row r="1972" spans="3:6" x14ac:dyDescent="0.25">
      <c r="C1972" s="2" t="s">
        <v>17091</v>
      </c>
      <c r="D1972" s="2" t="s">
        <v>122</v>
      </c>
      <c r="E1972" s="2">
        <v>14</v>
      </c>
      <c r="F1972" s="2">
        <v>292.57</v>
      </c>
    </row>
    <row r="1973" spans="3:6" x14ac:dyDescent="0.25">
      <c r="C1973" s="2" t="s">
        <v>17092</v>
      </c>
      <c r="D1973" s="2" t="s">
        <v>122</v>
      </c>
      <c r="E1973" s="2">
        <v>56</v>
      </c>
      <c r="F1973" s="2">
        <v>1097.8</v>
      </c>
    </row>
    <row r="1974" spans="3:6" x14ac:dyDescent="0.25">
      <c r="C1974" s="2" t="s">
        <v>17093</v>
      </c>
      <c r="D1974" s="2" t="s">
        <v>122</v>
      </c>
      <c r="E1974" s="2">
        <v>28</v>
      </c>
      <c r="F1974" s="2">
        <v>575.25</v>
      </c>
    </row>
    <row r="1975" spans="3:6" x14ac:dyDescent="0.25">
      <c r="C1975" s="2" t="s">
        <v>17094</v>
      </c>
      <c r="D1975" s="2" t="s">
        <v>122</v>
      </c>
      <c r="E1975" s="2">
        <v>30</v>
      </c>
      <c r="F1975" s="2">
        <v>592.32</v>
      </c>
    </row>
    <row r="1976" spans="3:6" x14ac:dyDescent="0.25">
      <c r="C1976" s="2" t="s">
        <v>17095</v>
      </c>
      <c r="D1976" s="2" t="s">
        <v>122</v>
      </c>
      <c r="E1976" s="2">
        <v>27</v>
      </c>
      <c r="F1976" s="2">
        <v>540.79</v>
      </c>
    </row>
    <row r="1977" spans="3:6" x14ac:dyDescent="0.25">
      <c r="C1977" s="2" t="s">
        <v>17096</v>
      </c>
      <c r="D1977" s="2" t="s">
        <v>122</v>
      </c>
      <c r="E1977" s="2">
        <v>79</v>
      </c>
      <c r="F1977" s="2">
        <v>1540.349</v>
      </c>
    </row>
    <row r="1978" spans="3:6" x14ac:dyDescent="0.25">
      <c r="C1978" s="2" t="s">
        <v>17097</v>
      </c>
      <c r="D1978" s="2" t="s">
        <v>122</v>
      </c>
      <c r="E1978" s="2">
        <v>31</v>
      </c>
      <c r="F1978" s="2">
        <v>652.99</v>
      </c>
    </row>
    <row r="1979" spans="3:6" x14ac:dyDescent="0.25">
      <c r="C1979" s="2" t="s">
        <v>17098</v>
      </c>
      <c r="D1979" s="2" t="s">
        <v>122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10</v>
      </c>
      <c r="C1981" s="2" t="s">
        <v>17099</v>
      </c>
      <c r="D1981" s="2" t="s">
        <v>12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17100</v>
      </c>
      <c r="D1982" s="2" t="s">
        <v>12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17101</v>
      </c>
      <c r="C1984" s="2" t="s">
        <v>17102</v>
      </c>
      <c r="D1984" s="2" t="s">
        <v>20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17103</v>
      </c>
      <c r="D1985" s="2" t="s">
        <v>20</v>
      </c>
      <c r="E1985" s="2">
        <v>243</v>
      </c>
      <c r="F1985" s="2">
        <v>4484.349</v>
      </c>
    </row>
    <row r="1986" spans="3:6" x14ac:dyDescent="0.25">
      <c r="C1986" s="2" t="s">
        <v>17104</v>
      </c>
      <c r="D1986" s="2" t="s">
        <v>20</v>
      </c>
      <c r="E1986" s="2">
        <v>150</v>
      </c>
      <c r="F1986" s="2">
        <v>2961.029</v>
      </c>
    </row>
    <row r="1987" spans="3:6" x14ac:dyDescent="0.25">
      <c r="C1987" s="2" t="s">
        <v>17105</v>
      </c>
      <c r="D1987" s="2" t="s">
        <v>20</v>
      </c>
      <c r="E1987" s="2">
        <v>162</v>
      </c>
      <c r="F1987" s="2">
        <v>3077.86</v>
      </c>
    </row>
    <row r="1988" spans="3:6" x14ac:dyDescent="0.25">
      <c r="C1988" s="2" t="s">
        <v>17106</v>
      </c>
      <c r="D1988" s="2" t="s">
        <v>20</v>
      </c>
      <c r="E1988" s="2">
        <v>558</v>
      </c>
      <c r="F1988" s="2">
        <v>10887.934</v>
      </c>
    </row>
    <row r="1989" spans="3:6" x14ac:dyDescent="0.25">
      <c r="C1989" s="2" t="s">
        <v>17107</v>
      </c>
      <c r="D1989" s="2" t="s">
        <v>20</v>
      </c>
      <c r="E1989" s="2">
        <v>288</v>
      </c>
      <c r="F1989" s="2">
        <v>6705.58</v>
      </c>
    </row>
    <row r="1990" spans="3:6" x14ac:dyDescent="0.25">
      <c r="C1990" s="2" t="s">
        <v>17108</v>
      </c>
      <c r="D1990" s="2" t="s">
        <v>20</v>
      </c>
      <c r="E1990" s="2">
        <v>243</v>
      </c>
      <c r="F1990" s="2">
        <v>4702.289</v>
      </c>
    </row>
    <row r="1991" spans="3:6" x14ac:dyDescent="0.25">
      <c r="C1991" s="2" t="s">
        <v>17109</v>
      </c>
      <c r="D1991" s="2" t="s">
        <v>20</v>
      </c>
      <c r="E1991" s="2">
        <v>36</v>
      </c>
      <c r="F1991" s="2">
        <v>950.42</v>
      </c>
    </row>
    <row r="1992" spans="3:6" x14ac:dyDescent="0.25">
      <c r="C1992" s="2" t="s">
        <v>17110</v>
      </c>
      <c r="D1992" s="2" t="s">
        <v>20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12462</v>
      </c>
      <c r="C1994" s="2" t="s">
        <v>17111</v>
      </c>
      <c r="D1994" s="2" t="s">
        <v>20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17112</v>
      </c>
      <c r="D1995" s="2" t="s">
        <v>20</v>
      </c>
      <c r="E1995" s="2">
        <v>256</v>
      </c>
      <c r="F1995" s="2">
        <v>5617.491</v>
      </c>
    </row>
    <row r="1996" spans="3:6" x14ac:dyDescent="0.25">
      <c r="C1996" s="2" t="s">
        <v>17113</v>
      </c>
      <c r="D1996" s="2" t="s">
        <v>20</v>
      </c>
      <c r="E1996" s="2">
        <v>251</v>
      </c>
      <c r="F1996" s="2">
        <v>4670.607</v>
      </c>
    </row>
    <row r="1997" spans="3:6" x14ac:dyDescent="0.25">
      <c r="C1997" s="2" t="s">
        <v>17114</v>
      </c>
      <c r="D1997" s="2" t="s">
        <v>20</v>
      </c>
      <c r="E1997" s="2">
        <v>251</v>
      </c>
      <c r="F1997" s="2">
        <v>4361.72</v>
      </c>
    </row>
    <row r="1998" spans="3:6" x14ac:dyDescent="0.25">
      <c r="C1998" s="2" t="s">
        <v>17115</v>
      </c>
      <c r="D1998" s="2" t="s">
        <v>20</v>
      </c>
      <c r="E1998" s="2">
        <v>251</v>
      </c>
      <c r="F1998" s="2">
        <v>4782.59</v>
      </c>
    </row>
    <row r="1999" spans="3:6" x14ac:dyDescent="0.25">
      <c r="C1999" s="2" t="s">
        <v>17116</v>
      </c>
      <c r="D1999" s="2" t="s">
        <v>20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2196</v>
      </c>
      <c r="C2001" s="2" t="s">
        <v>17117</v>
      </c>
      <c r="D2001" s="2" t="s">
        <v>9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17048</v>
      </c>
      <c r="D2002" s="2" t="s">
        <v>9</v>
      </c>
      <c r="E2002" s="2">
        <v>90</v>
      </c>
      <c r="F2002" s="2">
        <v>380</v>
      </c>
    </row>
    <row r="2003" spans="3:6" x14ac:dyDescent="0.25">
      <c r="C2003" s="2" t="s">
        <v>17118</v>
      </c>
      <c r="D2003" s="2" t="s">
        <v>9</v>
      </c>
      <c r="E2003" s="2">
        <v>102</v>
      </c>
      <c r="F2003" s="2">
        <v>2003.929</v>
      </c>
    </row>
    <row r="2004" spans="3:6" x14ac:dyDescent="0.25">
      <c r="C2004" s="2" t="s">
        <v>17119</v>
      </c>
      <c r="D2004" s="2" t="s">
        <v>9</v>
      </c>
      <c r="E2004" s="2">
        <v>102</v>
      </c>
      <c r="F2004" s="2">
        <v>1917.659</v>
      </c>
    </row>
    <row r="2005" spans="3:6" x14ac:dyDescent="0.25">
      <c r="C2005" s="2" t="s">
        <v>17120</v>
      </c>
      <c r="D2005" s="2" t="s">
        <v>9</v>
      </c>
      <c r="E2005" s="2">
        <v>38</v>
      </c>
      <c r="F2005" s="2">
        <v>742.08</v>
      </c>
    </row>
    <row r="2006" spans="3:6" x14ac:dyDescent="0.25">
      <c r="C2006" s="2" t="s">
        <v>17121</v>
      </c>
      <c r="D2006" s="2" t="s">
        <v>9</v>
      </c>
      <c r="E2006" s="2">
        <v>64</v>
      </c>
      <c r="F2006" s="2">
        <v>1230.969</v>
      </c>
    </row>
    <row r="2007" spans="3:6" x14ac:dyDescent="0.25">
      <c r="C2007" s="2" t="s">
        <v>17122</v>
      </c>
      <c r="D2007" s="2" t="s">
        <v>9</v>
      </c>
      <c r="E2007" s="2">
        <v>102</v>
      </c>
      <c r="F2007" s="2">
        <v>2160.45</v>
      </c>
    </row>
    <row r="2008" spans="3:6" x14ac:dyDescent="0.25">
      <c r="C2008" s="2" t="s">
        <v>17123</v>
      </c>
      <c r="D2008" s="2" t="s">
        <v>9</v>
      </c>
      <c r="E2008" s="2">
        <v>123</v>
      </c>
      <c r="F2008" s="2">
        <v>2207.36</v>
      </c>
    </row>
    <row r="2009" spans="3:6" x14ac:dyDescent="0.25">
      <c r="C2009" s="2" t="s">
        <v>17124</v>
      </c>
      <c r="D2009" s="2" t="s">
        <v>9</v>
      </c>
      <c r="E2009" s="2">
        <v>282</v>
      </c>
      <c r="F2009" s="2">
        <v>6060.5</v>
      </c>
    </row>
    <row r="2010" spans="3:6" x14ac:dyDescent="0.25">
      <c r="C2010" s="2" t="s">
        <v>17125</v>
      </c>
      <c r="D2010" s="2" t="s">
        <v>9</v>
      </c>
      <c r="E2010" s="2">
        <v>93</v>
      </c>
      <c r="F2010" s="2">
        <v>1998.659</v>
      </c>
    </row>
    <row r="2011" spans="3:6" x14ac:dyDescent="0.25">
      <c r="C2011" s="2" t="s">
        <v>17126</v>
      </c>
      <c r="D2011" s="2" t="s">
        <v>9</v>
      </c>
      <c r="E2011" s="2">
        <v>48</v>
      </c>
      <c r="F2011" s="2">
        <v>984.71</v>
      </c>
    </row>
    <row r="2012" spans="3:6" x14ac:dyDescent="0.25">
      <c r="C2012" s="2" t="s">
        <v>17127</v>
      </c>
      <c r="D2012" s="2" t="s">
        <v>9</v>
      </c>
      <c r="E2012" s="2">
        <v>30</v>
      </c>
      <c r="F2012" s="2">
        <v>564.84</v>
      </c>
    </row>
    <row r="2013" spans="3:6" x14ac:dyDescent="0.25">
      <c r="C2013" s="2" t="s">
        <v>17128</v>
      </c>
      <c r="D2013" s="2" t="s">
        <v>9</v>
      </c>
      <c r="E2013" s="2">
        <v>46</v>
      </c>
      <c r="F2013" s="2">
        <v>903.68</v>
      </c>
    </row>
    <row r="2014" spans="3:6" x14ac:dyDescent="0.25">
      <c r="C2014" s="2" t="s">
        <v>17129</v>
      </c>
      <c r="D2014" s="2" t="s">
        <v>9</v>
      </c>
      <c r="E2014" s="2">
        <v>82</v>
      </c>
      <c r="F2014" s="2">
        <v>344.449</v>
      </c>
    </row>
    <row r="2015" spans="3:6" x14ac:dyDescent="0.25">
      <c r="C2015" s="2" t="s">
        <v>17130</v>
      </c>
      <c r="D2015" s="2" t="s">
        <v>9</v>
      </c>
      <c r="E2015" s="2">
        <v>102</v>
      </c>
      <c r="F2015" s="2">
        <v>1953.529</v>
      </c>
    </row>
    <row r="2016" spans="3:6" x14ac:dyDescent="0.25">
      <c r="C2016" s="2" t="s">
        <v>17131</v>
      </c>
      <c r="D2016" s="2" t="s">
        <v>9</v>
      </c>
      <c r="E2016" s="2">
        <v>123</v>
      </c>
      <c r="F2016" s="2">
        <v>2503.978</v>
      </c>
    </row>
    <row r="2017" spans="3:6" x14ac:dyDescent="0.25">
      <c r="C2017" s="2" t="s">
        <v>17132</v>
      </c>
      <c r="D2017" s="2" t="s">
        <v>9</v>
      </c>
      <c r="E2017" s="2">
        <v>141</v>
      </c>
      <c r="F2017" s="2">
        <v>2964.34</v>
      </c>
    </row>
    <row r="2018" spans="3:6" x14ac:dyDescent="0.25">
      <c r="C2018" s="2" t="s">
        <v>17133</v>
      </c>
      <c r="D2018" s="2" t="s">
        <v>9</v>
      </c>
      <c r="E2018" s="2">
        <v>44</v>
      </c>
      <c r="F2018" s="2">
        <v>838.37</v>
      </c>
    </row>
    <row r="2019" spans="3:6" x14ac:dyDescent="0.25">
      <c r="C2019" s="2" t="s">
        <v>17134</v>
      </c>
      <c r="D2019" s="2" t="s">
        <v>9</v>
      </c>
      <c r="E2019" s="2">
        <v>77</v>
      </c>
      <c r="F2019" s="2">
        <v>1455.66</v>
      </c>
    </row>
    <row r="2020" spans="3:6" x14ac:dyDescent="0.25">
      <c r="C2020" s="2" t="s">
        <v>17135</v>
      </c>
      <c r="D2020" s="2" t="s">
        <v>9</v>
      </c>
      <c r="E2020" s="2">
        <v>20</v>
      </c>
      <c r="F2020" s="2">
        <v>366.21</v>
      </c>
    </row>
    <row r="2021" spans="3:6" x14ac:dyDescent="0.25">
      <c r="C2021" s="2" t="s">
        <v>17136</v>
      </c>
      <c r="D2021" s="2" t="s">
        <v>9</v>
      </c>
      <c r="E2021" s="2">
        <v>246</v>
      </c>
      <c r="F2021" s="2">
        <v>5164.899</v>
      </c>
    </row>
    <row r="2022" spans="3:6" x14ac:dyDescent="0.25">
      <c r="C2022" s="2" t="s">
        <v>17137</v>
      </c>
      <c r="D2022" s="2" t="s">
        <v>9</v>
      </c>
      <c r="E2022" s="2">
        <v>214</v>
      </c>
      <c r="F2022" s="2">
        <v>4595.14</v>
      </c>
    </row>
    <row r="2023" spans="3:6" x14ac:dyDescent="0.25">
      <c r="C2023" s="2" t="s">
        <v>17138</v>
      </c>
      <c r="D2023" s="2" t="s">
        <v>9</v>
      </c>
      <c r="E2023" s="2">
        <v>61</v>
      </c>
      <c r="F2023" s="2">
        <v>1197.529</v>
      </c>
    </row>
    <row r="2024" spans="3:6" x14ac:dyDescent="0.25">
      <c r="C2024" s="2" t="s">
        <v>17139</v>
      </c>
      <c r="D2024" s="2" t="s">
        <v>9</v>
      </c>
      <c r="E2024" s="2">
        <v>282</v>
      </c>
      <c r="F2024" s="2">
        <v>5613.92</v>
      </c>
    </row>
    <row r="2025" spans="3:6" x14ac:dyDescent="0.25">
      <c r="C2025" s="2" t="s">
        <v>17140</v>
      </c>
      <c r="D2025" s="2" t="s">
        <v>9</v>
      </c>
      <c r="E2025" s="2">
        <v>141</v>
      </c>
      <c r="F2025" s="2">
        <v>3097.69</v>
      </c>
    </row>
    <row r="2026" spans="3:6" x14ac:dyDescent="0.25">
      <c r="C2026" s="2" t="s">
        <v>17141</v>
      </c>
      <c r="D2026" s="2" t="s">
        <v>9</v>
      </c>
      <c r="E2026" s="2">
        <v>84</v>
      </c>
      <c r="F2026" s="2">
        <v>1733.79</v>
      </c>
    </row>
    <row r="2027" spans="3:6" x14ac:dyDescent="0.25">
      <c r="C2027" s="2" t="s">
        <v>17142</v>
      </c>
      <c r="D2027" s="2" t="s">
        <v>9</v>
      </c>
      <c r="E2027" s="2">
        <v>19</v>
      </c>
      <c r="F2027" s="2">
        <v>330.42</v>
      </c>
    </row>
    <row r="2028" spans="3:6" x14ac:dyDescent="0.25">
      <c r="C2028" s="2" t="s">
        <v>17143</v>
      </c>
      <c r="D2028" s="2" t="s">
        <v>9</v>
      </c>
      <c r="E2028" s="2">
        <v>39</v>
      </c>
      <c r="F2028" s="2">
        <v>809.81</v>
      </c>
    </row>
    <row r="2029" spans="3:6" x14ac:dyDescent="0.25">
      <c r="C2029" s="2" t="s">
        <v>17144</v>
      </c>
      <c r="D2029" s="2" t="s">
        <v>9</v>
      </c>
      <c r="E2029" s="2">
        <v>141</v>
      </c>
      <c r="F2029" s="2">
        <v>2985.82</v>
      </c>
    </row>
    <row r="2030" spans="3:6" x14ac:dyDescent="0.25">
      <c r="C2030" s="2" t="s">
        <v>17145</v>
      </c>
      <c r="D2030" s="2" t="s">
        <v>9</v>
      </c>
      <c r="E2030" s="2">
        <v>57</v>
      </c>
      <c r="F2030" s="2">
        <v>1110.669</v>
      </c>
    </row>
    <row r="2031" spans="3:6" x14ac:dyDescent="0.25">
      <c r="C2031" s="2" t="s">
        <v>17146</v>
      </c>
      <c r="D2031" s="2" t="s">
        <v>9</v>
      </c>
      <c r="E2031" s="2">
        <v>84</v>
      </c>
      <c r="F2031" s="2">
        <v>1594.71</v>
      </c>
    </row>
    <row r="2032" spans="3:6" x14ac:dyDescent="0.25">
      <c r="C2032" s="2" t="s">
        <v>17147</v>
      </c>
      <c r="D2032" s="2" t="s">
        <v>9</v>
      </c>
      <c r="E2032" s="2">
        <v>141</v>
      </c>
      <c r="F2032" s="2">
        <v>3025.03</v>
      </c>
    </row>
    <row r="2033" spans="3:6" x14ac:dyDescent="0.25">
      <c r="C2033" s="2" t="s">
        <v>17148</v>
      </c>
      <c r="D2033" s="2" t="s">
        <v>9</v>
      </c>
      <c r="E2033" s="2">
        <v>76</v>
      </c>
      <c r="F2033" s="2">
        <v>1510.03</v>
      </c>
    </row>
    <row r="2034" spans="3:6" x14ac:dyDescent="0.25">
      <c r="C2034" s="2" t="s">
        <v>17149</v>
      </c>
      <c r="D2034" s="2" t="s">
        <v>9</v>
      </c>
      <c r="E2034" s="2">
        <v>65</v>
      </c>
      <c r="F2034" s="2">
        <v>1359.76</v>
      </c>
    </row>
    <row r="2035" spans="3:6" x14ac:dyDescent="0.25">
      <c r="C2035" s="2" t="s">
        <v>17033</v>
      </c>
      <c r="D2035" s="2" t="s">
        <v>9</v>
      </c>
      <c r="E2035" s="2">
        <v>102</v>
      </c>
      <c r="F2035" s="2">
        <v>1872</v>
      </c>
    </row>
    <row r="2036" spans="3:6" x14ac:dyDescent="0.25">
      <c r="C2036" s="2" t="s">
        <v>17027</v>
      </c>
      <c r="D2036" s="2" t="s">
        <v>9</v>
      </c>
      <c r="E2036" s="2">
        <v>102</v>
      </c>
      <c r="F2036" s="2">
        <v>1983</v>
      </c>
    </row>
    <row r="2037" spans="3:6" x14ac:dyDescent="0.25">
      <c r="C2037" s="2" t="s">
        <v>17150</v>
      </c>
      <c r="D2037" s="2" t="s">
        <v>9</v>
      </c>
      <c r="E2037" s="2">
        <v>122</v>
      </c>
      <c r="F2037" s="2">
        <v>2572.239</v>
      </c>
    </row>
    <row r="2038" spans="3:6" x14ac:dyDescent="0.25">
      <c r="C2038" s="2" t="s">
        <v>17151</v>
      </c>
      <c r="D2038" s="2" t="s">
        <v>9</v>
      </c>
      <c r="E2038" s="2">
        <v>19</v>
      </c>
      <c r="F2038" s="2">
        <v>405.4</v>
      </c>
    </row>
    <row r="2039" spans="3:6" x14ac:dyDescent="0.25">
      <c r="C2039" s="2" t="s">
        <v>17152</v>
      </c>
      <c r="D2039" s="2" t="s">
        <v>9</v>
      </c>
      <c r="E2039" s="2">
        <v>112</v>
      </c>
      <c r="F2039" s="2">
        <v>2391.35</v>
      </c>
    </row>
    <row r="2040" spans="3:6" x14ac:dyDescent="0.25">
      <c r="C2040" s="2" t="s">
        <v>17153</v>
      </c>
      <c r="D2040" s="2" t="s">
        <v>9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120</v>
      </c>
      <c r="C2042" s="2" t="s">
        <v>16936</v>
      </c>
      <c r="D2042" s="2" t="s">
        <v>122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17154</v>
      </c>
      <c r="D2043" s="2" t="s">
        <v>122</v>
      </c>
      <c r="E2043" s="2">
        <v>71</v>
      </c>
      <c r="F2043" s="2">
        <v>1865.293</v>
      </c>
    </row>
    <row r="2044" spans="3:6" x14ac:dyDescent="0.25">
      <c r="C2044" s="2" t="s">
        <v>16869</v>
      </c>
      <c r="D2044" s="2" t="s">
        <v>122</v>
      </c>
      <c r="E2044" s="2">
        <v>132</v>
      </c>
      <c r="F2044" s="2">
        <v>1556.328</v>
      </c>
    </row>
    <row r="2045" spans="3:6" x14ac:dyDescent="0.25">
      <c r="C2045" s="2" t="s">
        <v>17155</v>
      </c>
      <c r="D2045" s="2" t="s">
        <v>122</v>
      </c>
      <c r="E2045" s="2">
        <v>48</v>
      </c>
      <c r="F2045" s="2">
        <v>920.05</v>
      </c>
    </row>
    <row r="2046" spans="3:6" x14ac:dyDescent="0.25">
      <c r="C2046" s="2" t="s">
        <v>17156</v>
      </c>
      <c r="D2046" s="2" t="s">
        <v>122</v>
      </c>
      <c r="E2046" s="2">
        <v>17</v>
      </c>
      <c r="F2046" s="2">
        <v>285.7</v>
      </c>
    </row>
    <row r="2047" spans="3:6" x14ac:dyDescent="0.25">
      <c r="C2047" s="2" t="s">
        <v>17157</v>
      </c>
      <c r="D2047" s="2" t="s">
        <v>122</v>
      </c>
      <c r="E2047" s="2">
        <v>15</v>
      </c>
      <c r="F2047" s="2">
        <v>305.95</v>
      </c>
    </row>
    <row r="2048" spans="3:6" x14ac:dyDescent="0.25">
      <c r="C2048" s="2" t="s">
        <v>17158</v>
      </c>
      <c r="D2048" s="2" t="s">
        <v>122</v>
      </c>
      <c r="E2048" s="2">
        <v>15</v>
      </c>
      <c r="F2048" s="2">
        <v>226.6</v>
      </c>
    </row>
    <row r="2049" spans="3:6" x14ac:dyDescent="0.25">
      <c r="C2049" s="2" t="s">
        <v>17159</v>
      </c>
      <c r="D2049" s="2" t="s">
        <v>122</v>
      </c>
      <c r="E2049" s="2">
        <v>8</v>
      </c>
      <c r="F2049" s="2">
        <v>158.6</v>
      </c>
    </row>
    <row r="2050" spans="3:6" x14ac:dyDescent="0.25">
      <c r="C2050" s="2" t="s">
        <v>16883</v>
      </c>
      <c r="D2050" s="2" t="s">
        <v>122</v>
      </c>
      <c r="E2050" s="2">
        <v>75</v>
      </c>
      <c r="F2050" s="2">
        <v>1500.65</v>
      </c>
    </row>
    <row r="2051" spans="3:6" x14ac:dyDescent="0.25">
      <c r="C2051" s="2" t="s">
        <v>17160</v>
      </c>
      <c r="D2051" s="2" t="s">
        <v>122</v>
      </c>
      <c r="E2051" s="2">
        <v>116</v>
      </c>
      <c r="F2051" s="2">
        <v>2213.629</v>
      </c>
    </row>
    <row r="2052" spans="3:6" x14ac:dyDescent="0.25">
      <c r="C2052" s="2" t="s">
        <v>17161</v>
      </c>
      <c r="D2052" s="2" t="s">
        <v>122</v>
      </c>
      <c r="E2052" s="2">
        <v>25</v>
      </c>
      <c r="F2052" s="2">
        <v>480.35</v>
      </c>
    </row>
    <row r="2053" spans="3:6" x14ac:dyDescent="0.25">
      <c r="C2053" s="2" t="s">
        <v>17162</v>
      </c>
      <c r="D2053" s="2" t="s">
        <v>122</v>
      </c>
      <c r="E2053" s="2">
        <v>28</v>
      </c>
      <c r="F2053" s="2">
        <v>566.5</v>
      </c>
    </row>
    <row r="2054" spans="3:6" x14ac:dyDescent="0.25">
      <c r="C2054" s="2" t="s">
        <v>17163</v>
      </c>
      <c r="D2054" s="2" t="s">
        <v>122</v>
      </c>
      <c r="E2054" s="2">
        <v>115</v>
      </c>
      <c r="F2054" s="2">
        <v>2480.36</v>
      </c>
    </row>
    <row r="2055" spans="3:6" x14ac:dyDescent="0.25">
      <c r="C2055" s="2" t="s">
        <v>17164</v>
      </c>
      <c r="D2055" s="2" t="s">
        <v>122</v>
      </c>
      <c r="E2055" s="2">
        <v>56</v>
      </c>
      <c r="F2055" s="2">
        <v>1152.439</v>
      </c>
    </row>
    <row r="2056" spans="3:6" x14ac:dyDescent="0.25">
      <c r="C2056" s="2" t="s">
        <v>17165</v>
      </c>
      <c r="D2056" s="2" t="s">
        <v>122</v>
      </c>
      <c r="E2056" s="2">
        <v>67</v>
      </c>
      <c r="F2056" s="2">
        <v>1424.009</v>
      </c>
    </row>
    <row r="2057" spans="3:6" x14ac:dyDescent="0.25">
      <c r="C2057" s="2" t="s">
        <v>17166</v>
      </c>
      <c r="D2057" s="2" t="s">
        <v>122</v>
      </c>
      <c r="E2057" s="2">
        <v>143</v>
      </c>
      <c r="F2057" s="2">
        <v>2907.23</v>
      </c>
    </row>
    <row r="2058" spans="3:6" x14ac:dyDescent="0.25">
      <c r="C2058" s="2" t="s">
        <v>17167</v>
      </c>
      <c r="D2058" s="2" t="s">
        <v>122</v>
      </c>
      <c r="E2058" s="2">
        <v>143</v>
      </c>
      <c r="F2058" s="2">
        <v>3007.812</v>
      </c>
    </row>
    <row r="2059" spans="3:6" x14ac:dyDescent="0.25">
      <c r="C2059" s="2" t="s">
        <v>17168</v>
      </c>
      <c r="D2059" s="2" t="s">
        <v>122</v>
      </c>
      <c r="E2059" s="2">
        <v>100</v>
      </c>
      <c r="F2059" s="2">
        <v>2098.98</v>
      </c>
    </row>
    <row r="2060" spans="3:6" x14ac:dyDescent="0.25">
      <c r="C2060" s="2" t="s">
        <v>17169</v>
      </c>
      <c r="D2060" s="2" t="s">
        <v>122</v>
      </c>
      <c r="E2060" s="2">
        <v>23</v>
      </c>
      <c r="F2060" s="2">
        <v>479.5</v>
      </c>
    </row>
    <row r="2061" spans="3:6" x14ac:dyDescent="0.25">
      <c r="C2061" s="2" t="s">
        <v>17170</v>
      </c>
      <c r="D2061" s="2" t="s">
        <v>122</v>
      </c>
      <c r="E2061" s="2">
        <v>53</v>
      </c>
      <c r="F2061" s="2">
        <v>1104.74</v>
      </c>
    </row>
    <row r="2062" spans="3:6" x14ac:dyDescent="0.25">
      <c r="C2062" s="2" t="s">
        <v>17171</v>
      </c>
      <c r="D2062" s="2" t="s">
        <v>122</v>
      </c>
      <c r="E2062" s="2">
        <v>49</v>
      </c>
      <c r="F2062" s="2">
        <v>989.99</v>
      </c>
    </row>
    <row r="2063" spans="3:6" x14ac:dyDescent="0.25">
      <c r="C2063" s="2" t="s">
        <v>17172</v>
      </c>
      <c r="D2063" s="2" t="s">
        <v>122</v>
      </c>
      <c r="E2063" s="2">
        <v>33</v>
      </c>
      <c r="F2063" s="2">
        <v>683.6</v>
      </c>
    </row>
    <row r="2064" spans="3:6" x14ac:dyDescent="0.25">
      <c r="C2064" s="2" t="s">
        <v>17173</v>
      </c>
      <c r="D2064" s="2" t="s">
        <v>122</v>
      </c>
      <c r="E2064" s="2">
        <v>123</v>
      </c>
      <c r="F2064" s="2">
        <v>2542.56</v>
      </c>
    </row>
    <row r="2065" spans="3:6" x14ac:dyDescent="0.25">
      <c r="C2065" s="2" t="s">
        <v>17174</v>
      </c>
      <c r="D2065" s="2" t="s">
        <v>122</v>
      </c>
      <c r="E2065" s="2">
        <v>20</v>
      </c>
      <c r="F2065" s="2">
        <v>402.86</v>
      </c>
    </row>
    <row r="2066" spans="3:6" x14ac:dyDescent="0.25">
      <c r="C2066" s="2" t="s">
        <v>17175</v>
      </c>
      <c r="D2066" s="2" t="s">
        <v>122</v>
      </c>
      <c r="E2066" s="2">
        <v>74</v>
      </c>
      <c r="F2066" s="2">
        <v>1442.88</v>
      </c>
    </row>
    <row r="2067" spans="3:6" x14ac:dyDescent="0.25">
      <c r="C2067" s="2" t="s">
        <v>17176</v>
      </c>
      <c r="D2067" s="2" t="s">
        <v>122</v>
      </c>
      <c r="E2067" s="2">
        <v>16</v>
      </c>
      <c r="F2067" s="2">
        <v>306.48</v>
      </c>
    </row>
    <row r="2068" spans="3:6" x14ac:dyDescent="0.25">
      <c r="C2068" s="2" t="s">
        <v>17177</v>
      </c>
      <c r="D2068" s="2" t="s">
        <v>122</v>
      </c>
      <c r="E2068" s="2">
        <v>53</v>
      </c>
      <c r="F2068" s="2">
        <v>998.46</v>
      </c>
    </row>
    <row r="2069" spans="3:6" x14ac:dyDescent="0.25">
      <c r="C2069" s="2" t="s">
        <v>17178</v>
      </c>
      <c r="D2069" s="2" t="s">
        <v>122</v>
      </c>
      <c r="E2069" s="2">
        <v>107</v>
      </c>
      <c r="F2069" s="2">
        <v>2313.71</v>
      </c>
    </row>
    <row r="2070" spans="3:6" x14ac:dyDescent="0.25">
      <c r="C2070" s="2" t="s">
        <v>17179</v>
      </c>
      <c r="D2070" s="2" t="s">
        <v>122</v>
      </c>
      <c r="E2070" s="2">
        <v>36</v>
      </c>
      <c r="F2070" s="2">
        <v>746.11</v>
      </c>
    </row>
    <row r="2071" spans="3:6" x14ac:dyDescent="0.25">
      <c r="C2071" s="2" t="s">
        <v>17180</v>
      </c>
      <c r="D2071" s="2" t="s">
        <v>122</v>
      </c>
      <c r="E2071" s="2">
        <v>105</v>
      </c>
      <c r="F2071" s="2">
        <v>2101.52</v>
      </c>
    </row>
    <row r="2072" spans="3:6" x14ac:dyDescent="0.25">
      <c r="C2072" s="2" t="s">
        <v>17181</v>
      </c>
      <c r="D2072" s="2" t="s">
        <v>122</v>
      </c>
      <c r="E2072" s="2">
        <v>38</v>
      </c>
      <c r="F2072" s="2">
        <v>786.31</v>
      </c>
    </row>
    <row r="2073" spans="3:6" x14ac:dyDescent="0.25">
      <c r="C2073" s="2" t="s">
        <v>17182</v>
      </c>
      <c r="D2073" s="2" t="s">
        <v>122</v>
      </c>
      <c r="E2073" s="2">
        <v>70</v>
      </c>
      <c r="F2073" s="2">
        <v>1424.43</v>
      </c>
    </row>
    <row r="2074" spans="3:6" x14ac:dyDescent="0.25">
      <c r="C2074" s="2" t="s">
        <v>17183</v>
      </c>
      <c r="D2074" s="2" t="s">
        <v>122</v>
      </c>
      <c r="E2074" s="2">
        <v>73</v>
      </c>
      <c r="F2074" s="2">
        <v>1477.73</v>
      </c>
    </row>
    <row r="2075" spans="3:6" x14ac:dyDescent="0.25">
      <c r="C2075" s="2" t="s">
        <v>17184</v>
      </c>
      <c r="D2075" s="2" t="s">
        <v>122</v>
      </c>
      <c r="E2075" s="2">
        <v>92</v>
      </c>
      <c r="F2075" s="2">
        <v>1880.92</v>
      </c>
    </row>
    <row r="2076" spans="3:6" x14ac:dyDescent="0.25">
      <c r="C2076" s="2" t="s">
        <v>17185</v>
      </c>
      <c r="D2076" s="2" t="s">
        <v>122</v>
      </c>
      <c r="E2076" s="2">
        <v>51</v>
      </c>
      <c r="F2076" s="2">
        <v>1074.53</v>
      </c>
    </row>
    <row r="2077" spans="3:6" x14ac:dyDescent="0.25">
      <c r="C2077" s="2" t="s">
        <v>17186</v>
      </c>
      <c r="D2077" s="2" t="s">
        <v>122</v>
      </c>
      <c r="E2077" s="2">
        <v>93</v>
      </c>
      <c r="F2077" s="2">
        <v>1931.04</v>
      </c>
    </row>
    <row r="2078" spans="3:6" x14ac:dyDescent="0.25">
      <c r="C2078" s="2" t="s">
        <v>17187</v>
      </c>
      <c r="D2078" s="2" t="s">
        <v>122</v>
      </c>
      <c r="E2078" s="2">
        <v>31</v>
      </c>
      <c r="F2078" s="2">
        <v>633.15</v>
      </c>
    </row>
    <row r="2079" spans="3:6" x14ac:dyDescent="0.25">
      <c r="C2079" s="2" t="s">
        <v>17188</v>
      </c>
      <c r="D2079" s="2" t="s">
        <v>122</v>
      </c>
      <c r="E2079" s="2">
        <v>19</v>
      </c>
      <c r="F2079" s="2">
        <v>357.37</v>
      </c>
    </row>
    <row r="2080" spans="3:6" x14ac:dyDescent="0.25">
      <c r="C2080" s="2" t="s">
        <v>17189</v>
      </c>
      <c r="D2080" s="2" t="s">
        <v>122</v>
      </c>
      <c r="E2080" s="2">
        <v>102</v>
      </c>
      <c r="F2080" s="2">
        <v>1926.6</v>
      </c>
    </row>
    <row r="2081" spans="3:6" x14ac:dyDescent="0.25">
      <c r="C2081" s="2" t="s">
        <v>17190</v>
      </c>
      <c r="D2081" s="2" t="s">
        <v>122</v>
      </c>
      <c r="E2081" s="2">
        <v>43</v>
      </c>
      <c r="F2081" s="2">
        <v>883.99</v>
      </c>
    </row>
    <row r="2082" spans="3:6" x14ac:dyDescent="0.25">
      <c r="C2082" s="2" t="s">
        <v>17191</v>
      </c>
      <c r="D2082" s="2" t="s">
        <v>122</v>
      </c>
      <c r="E2082" s="2">
        <v>72</v>
      </c>
      <c r="F2082" s="2">
        <v>1524.24</v>
      </c>
    </row>
    <row r="2083" spans="3:6" x14ac:dyDescent="0.25">
      <c r="C2083" s="2" t="s">
        <v>17192</v>
      </c>
      <c r="D2083" s="2" t="s">
        <v>122</v>
      </c>
      <c r="E2083" s="2">
        <v>30</v>
      </c>
      <c r="F2083" s="2">
        <v>613.35</v>
      </c>
    </row>
    <row r="2084" spans="3:6" x14ac:dyDescent="0.25">
      <c r="C2084" s="2" t="s">
        <v>17193</v>
      </c>
      <c r="D2084" s="2" t="s">
        <v>122</v>
      </c>
      <c r="E2084" s="2">
        <v>58</v>
      </c>
      <c r="F2084" s="2">
        <v>1209.89</v>
      </c>
    </row>
    <row r="2085" spans="3:6" x14ac:dyDescent="0.25">
      <c r="C2085" s="2" t="s">
        <v>17194</v>
      </c>
      <c r="D2085" s="2" t="s">
        <v>122</v>
      </c>
      <c r="E2085" s="2">
        <v>44</v>
      </c>
      <c r="F2085" s="2">
        <v>937.19</v>
      </c>
    </row>
    <row r="2086" spans="3:6" x14ac:dyDescent="0.25">
      <c r="C2086" s="2" t="s">
        <v>17195</v>
      </c>
      <c r="D2086" s="2" t="s">
        <v>122</v>
      </c>
      <c r="E2086" s="2">
        <v>40</v>
      </c>
      <c r="F2086" s="2">
        <v>836.95</v>
      </c>
    </row>
    <row r="2087" spans="3:6" x14ac:dyDescent="0.25">
      <c r="C2087" s="2" t="s">
        <v>17196</v>
      </c>
      <c r="D2087" s="2" t="s">
        <v>122</v>
      </c>
      <c r="E2087" s="2">
        <v>40</v>
      </c>
      <c r="F2087" s="2">
        <v>850.15</v>
      </c>
    </row>
    <row r="2088" spans="3:6" x14ac:dyDescent="0.25">
      <c r="C2088" s="2" t="s">
        <v>17197</v>
      </c>
      <c r="D2088" s="2" t="s">
        <v>122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90</v>
      </c>
      <c r="C2090" s="2" t="s">
        <v>17198</v>
      </c>
      <c r="D2090" s="2" t="s">
        <v>42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17199</v>
      </c>
      <c r="D2091" s="2" t="s">
        <v>42</v>
      </c>
      <c r="E2091" s="2">
        <v>38</v>
      </c>
      <c r="F2091" s="2">
        <v>812.65</v>
      </c>
    </row>
    <row r="2092" spans="3:6" x14ac:dyDescent="0.25">
      <c r="C2092" s="2" t="s">
        <v>17200</v>
      </c>
      <c r="D2092" s="2" t="s">
        <v>42</v>
      </c>
      <c r="E2092" s="2">
        <v>91</v>
      </c>
      <c r="F2092" s="2">
        <v>1776.149</v>
      </c>
    </row>
    <row r="2093" spans="3:6" x14ac:dyDescent="0.25">
      <c r="C2093" s="2" t="s">
        <v>17201</v>
      </c>
      <c r="D2093" s="2" t="s">
        <v>42</v>
      </c>
      <c r="E2093" s="2">
        <v>141</v>
      </c>
      <c r="F2093" s="2">
        <v>2899.46</v>
      </c>
    </row>
    <row r="2094" spans="3:6" x14ac:dyDescent="0.25">
      <c r="C2094" s="2" t="s">
        <v>17202</v>
      </c>
      <c r="D2094" s="2" t="s">
        <v>42</v>
      </c>
      <c r="E2094" s="2">
        <v>141</v>
      </c>
      <c r="F2094" s="2">
        <v>2826.377</v>
      </c>
    </row>
    <row r="2095" spans="3:6" x14ac:dyDescent="0.25">
      <c r="C2095" s="2" t="s">
        <v>17203</v>
      </c>
      <c r="D2095" s="2" t="s">
        <v>42</v>
      </c>
      <c r="E2095" s="2">
        <v>141</v>
      </c>
      <c r="F2095" s="2">
        <v>3121.69</v>
      </c>
    </row>
    <row r="2096" spans="3:6" x14ac:dyDescent="0.25">
      <c r="C2096" s="2" t="s">
        <v>17204</v>
      </c>
      <c r="D2096" s="2" t="s">
        <v>42</v>
      </c>
      <c r="E2096" s="2">
        <v>141</v>
      </c>
      <c r="F2096" s="2">
        <v>2903.299</v>
      </c>
    </row>
    <row r="2097" spans="3:6" x14ac:dyDescent="0.25">
      <c r="C2097" s="2" t="s">
        <v>17205</v>
      </c>
      <c r="D2097" s="2" t="s">
        <v>42</v>
      </c>
      <c r="E2097" s="2">
        <v>20</v>
      </c>
      <c r="F2097" s="2">
        <v>101.93</v>
      </c>
    </row>
    <row r="2098" spans="3:6" x14ac:dyDescent="0.25">
      <c r="C2098" s="2" t="s">
        <v>17206</v>
      </c>
      <c r="D2098" s="2" t="s">
        <v>42</v>
      </c>
      <c r="E2098" s="2">
        <v>36</v>
      </c>
      <c r="F2098" s="2">
        <v>816.297</v>
      </c>
    </row>
    <row r="2099" spans="3:6" x14ac:dyDescent="0.25">
      <c r="C2099" s="2" t="s">
        <v>17207</v>
      </c>
      <c r="D2099" s="2" t="s">
        <v>42</v>
      </c>
      <c r="E2099" s="2">
        <v>79</v>
      </c>
      <c r="F2099" s="2">
        <v>1612.099</v>
      </c>
    </row>
    <row r="2100" spans="3:6" x14ac:dyDescent="0.25">
      <c r="C2100" s="2" t="s">
        <v>17208</v>
      </c>
      <c r="D2100" s="2" t="s">
        <v>42</v>
      </c>
      <c r="E2100" s="2">
        <v>112</v>
      </c>
      <c r="F2100" s="2">
        <v>2449.415</v>
      </c>
    </row>
    <row r="2101" spans="3:6" x14ac:dyDescent="0.25">
      <c r="C2101" s="2" t="s">
        <v>17209</v>
      </c>
      <c r="D2101" s="2" t="s">
        <v>42</v>
      </c>
      <c r="E2101" s="2">
        <v>123</v>
      </c>
      <c r="F2101" s="2">
        <v>2527.34</v>
      </c>
    </row>
    <row r="2102" spans="3:6" x14ac:dyDescent="0.25">
      <c r="C2102" s="2" t="s">
        <v>17210</v>
      </c>
      <c r="D2102" s="2" t="s">
        <v>42</v>
      </c>
      <c r="E2102" s="2">
        <v>82</v>
      </c>
      <c r="F2102" s="2">
        <v>1634.157</v>
      </c>
    </row>
    <row r="2103" spans="3:6" x14ac:dyDescent="0.25">
      <c r="C2103" s="2" t="s">
        <v>17211</v>
      </c>
      <c r="D2103" s="2" t="s">
        <v>42</v>
      </c>
      <c r="E2103" s="2">
        <v>141</v>
      </c>
      <c r="F2103" s="2">
        <v>3003.349</v>
      </c>
    </row>
    <row r="2104" spans="3:6" x14ac:dyDescent="0.25">
      <c r="C2104" s="2" t="s">
        <v>17212</v>
      </c>
      <c r="D2104" s="2" t="s">
        <v>42</v>
      </c>
      <c r="E2104" s="2">
        <v>59</v>
      </c>
      <c r="F2104" s="2">
        <v>1280.04</v>
      </c>
    </row>
    <row r="2105" spans="3:6" x14ac:dyDescent="0.25">
      <c r="C2105" s="2" t="s">
        <v>17213</v>
      </c>
      <c r="D2105" s="2" t="s">
        <v>42</v>
      </c>
      <c r="E2105" s="2">
        <v>75</v>
      </c>
      <c r="F2105" s="2">
        <v>399.48</v>
      </c>
    </row>
    <row r="2106" spans="3:6" x14ac:dyDescent="0.25">
      <c r="C2106" s="2" t="s">
        <v>17214</v>
      </c>
      <c r="D2106" s="2" t="s">
        <v>42</v>
      </c>
      <c r="E2106" s="2">
        <v>141</v>
      </c>
      <c r="F2106" s="2">
        <v>3194.61</v>
      </c>
    </row>
    <row r="2107" spans="3:6" x14ac:dyDescent="0.25">
      <c r="C2107" s="2" t="s">
        <v>17215</v>
      </c>
      <c r="D2107" s="2" t="s">
        <v>42</v>
      </c>
      <c r="E2107" s="2">
        <v>123</v>
      </c>
      <c r="F2107" s="2">
        <v>2561.4</v>
      </c>
    </row>
    <row r="2108" spans="3:6" x14ac:dyDescent="0.25">
      <c r="C2108" s="2" t="s">
        <v>17216</v>
      </c>
      <c r="D2108" s="2" t="s">
        <v>42</v>
      </c>
      <c r="E2108" s="2">
        <v>100</v>
      </c>
      <c r="F2108" s="2">
        <v>2028.32</v>
      </c>
    </row>
    <row r="2109" spans="3:6" x14ac:dyDescent="0.25">
      <c r="C2109" s="2" t="s">
        <v>17217</v>
      </c>
      <c r="D2109" s="2" t="s">
        <v>42</v>
      </c>
      <c r="E2109" s="2">
        <v>141</v>
      </c>
      <c r="F2109" s="2">
        <v>2893.68</v>
      </c>
    </row>
    <row r="2110" spans="3:6" x14ac:dyDescent="0.25">
      <c r="C2110" s="2" t="s">
        <v>17218</v>
      </c>
      <c r="D2110" s="2" t="s">
        <v>42</v>
      </c>
      <c r="E2110" s="2">
        <v>124</v>
      </c>
      <c r="F2110" s="2">
        <v>1619.224</v>
      </c>
    </row>
    <row r="2111" spans="3:6" x14ac:dyDescent="0.25">
      <c r="C2111" s="2" t="s">
        <v>17219</v>
      </c>
      <c r="D2111" s="2" t="s">
        <v>42</v>
      </c>
      <c r="E2111" s="2">
        <v>65</v>
      </c>
      <c r="F2111" s="2">
        <v>1434.94</v>
      </c>
    </row>
    <row r="2112" spans="3:6" x14ac:dyDescent="0.25">
      <c r="C2112" s="2" t="s">
        <v>17220</v>
      </c>
      <c r="D2112" s="2" t="s">
        <v>42</v>
      </c>
      <c r="E2112" s="2">
        <v>10</v>
      </c>
      <c r="F2112" s="2">
        <v>238.34</v>
      </c>
    </row>
    <row r="2113" spans="3:6" x14ac:dyDescent="0.25">
      <c r="C2113" s="2" t="s">
        <v>17221</v>
      </c>
      <c r="D2113" s="2" t="s">
        <v>42</v>
      </c>
      <c r="E2113" s="2">
        <v>134</v>
      </c>
      <c r="F2113" s="2">
        <v>2731.11</v>
      </c>
    </row>
    <row r="2114" spans="3:6" x14ac:dyDescent="0.25">
      <c r="C2114" s="2" t="s">
        <v>17222</v>
      </c>
      <c r="D2114" s="2" t="s">
        <v>42</v>
      </c>
      <c r="E2114" s="2">
        <v>43</v>
      </c>
      <c r="F2114" s="2">
        <v>866.1</v>
      </c>
    </row>
    <row r="2115" spans="3:6" x14ac:dyDescent="0.25">
      <c r="C2115" s="2" t="s">
        <v>16847</v>
      </c>
      <c r="D2115" s="2" t="s">
        <v>42</v>
      </c>
      <c r="E2115" s="2">
        <v>92</v>
      </c>
      <c r="F2115" s="2">
        <v>1903.54</v>
      </c>
    </row>
    <row r="2116" spans="3:6" x14ac:dyDescent="0.25">
      <c r="C2116" s="2" t="s">
        <v>16846</v>
      </c>
      <c r="D2116" s="2" t="s">
        <v>42</v>
      </c>
      <c r="E2116" s="2">
        <v>9</v>
      </c>
      <c r="F2116" s="2">
        <v>128.38</v>
      </c>
    </row>
    <row r="2117" spans="3:6" x14ac:dyDescent="0.25">
      <c r="C2117" s="2" t="s">
        <v>17223</v>
      </c>
      <c r="D2117" s="2" t="s">
        <v>42</v>
      </c>
      <c r="E2117" s="2">
        <v>143</v>
      </c>
      <c r="F2117" s="2">
        <v>3021.6</v>
      </c>
    </row>
    <row r="2118" spans="3:6" x14ac:dyDescent="0.25">
      <c r="C2118" s="2" t="s">
        <v>17224</v>
      </c>
      <c r="D2118" s="2" t="s">
        <v>42</v>
      </c>
      <c r="E2118" s="2">
        <v>143</v>
      </c>
      <c r="F2118" s="2">
        <v>3036.379</v>
      </c>
    </row>
    <row r="2119" spans="3:6" x14ac:dyDescent="0.25">
      <c r="C2119" s="2" t="s">
        <v>17225</v>
      </c>
      <c r="D2119" s="2" t="s">
        <v>42</v>
      </c>
      <c r="E2119" s="2">
        <v>15</v>
      </c>
      <c r="F2119" s="2">
        <v>303.52</v>
      </c>
    </row>
    <row r="2120" spans="3:6" x14ac:dyDescent="0.25">
      <c r="C2120" s="2" t="s">
        <v>17226</v>
      </c>
      <c r="D2120" s="2" t="s">
        <v>42</v>
      </c>
      <c r="E2120" s="2">
        <v>23</v>
      </c>
      <c r="F2120" s="2">
        <v>358.109</v>
      </c>
    </row>
    <row r="2121" spans="3:6" x14ac:dyDescent="0.25">
      <c r="C2121" s="2" t="s">
        <v>17227</v>
      </c>
      <c r="D2121" s="2" t="s">
        <v>42</v>
      </c>
      <c r="E2121" s="2">
        <v>80</v>
      </c>
      <c r="F2121" s="2">
        <v>611.913</v>
      </c>
    </row>
    <row r="2122" spans="3:6" x14ac:dyDescent="0.25">
      <c r="C2122" s="2" t="s">
        <v>17228</v>
      </c>
      <c r="D2122" s="2" t="s">
        <v>42</v>
      </c>
      <c r="E2122" s="2">
        <v>141</v>
      </c>
      <c r="F2122" s="2">
        <v>3039.84</v>
      </c>
    </row>
    <row r="2123" spans="3:6" x14ac:dyDescent="0.25">
      <c r="C2123" s="2" t="s">
        <v>17229</v>
      </c>
      <c r="D2123" s="2" t="s">
        <v>42</v>
      </c>
      <c r="E2123" s="2">
        <v>8</v>
      </c>
      <c r="F2123" s="2">
        <v>112.21</v>
      </c>
    </row>
    <row r="2124" spans="3:6" x14ac:dyDescent="0.25">
      <c r="C2124" s="2" t="s">
        <v>17230</v>
      </c>
      <c r="D2124" s="2" t="s">
        <v>42</v>
      </c>
      <c r="E2124" s="2">
        <v>134</v>
      </c>
      <c r="F2124" s="2">
        <v>2701.22</v>
      </c>
    </row>
    <row r="2125" spans="3:6" x14ac:dyDescent="0.25">
      <c r="C2125" s="2" t="s">
        <v>17231</v>
      </c>
      <c r="D2125" s="2" t="s">
        <v>42</v>
      </c>
      <c r="E2125" s="2">
        <v>105</v>
      </c>
      <c r="F2125" s="2">
        <v>2099.408</v>
      </c>
    </row>
    <row r="2126" spans="3:6" x14ac:dyDescent="0.25">
      <c r="C2126" s="2" t="s">
        <v>17232</v>
      </c>
      <c r="D2126" s="2" t="s">
        <v>42</v>
      </c>
      <c r="E2126" s="2">
        <v>100</v>
      </c>
      <c r="F2126" s="2">
        <v>2047.14</v>
      </c>
    </row>
    <row r="2127" spans="3:6" x14ac:dyDescent="0.25">
      <c r="C2127" s="2" t="s">
        <v>17233</v>
      </c>
      <c r="D2127" s="2" t="s">
        <v>42</v>
      </c>
      <c r="E2127" s="2">
        <v>75</v>
      </c>
      <c r="F2127" s="2">
        <v>393.72</v>
      </c>
    </row>
    <row r="2128" spans="3:6" x14ac:dyDescent="0.25">
      <c r="C2128" s="2" t="s">
        <v>17234</v>
      </c>
      <c r="D2128" s="2" t="s">
        <v>42</v>
      </c>
      <c r="E2128" s="2">
        <v>55</v>
      </c>
      <c r="F2128" s="2">
        <v>1124.85</v>
      </c>
    </row>
    <row r="2129" spans="3:6" x14ac:dyDescent="0.25">
      <c r="C2129" s="2" t="s">
        <v>17235</v>
      </c>
      <c r="D2129" s="2" t="s">
        <v>42</v>
      </c>
      <c r="E2129" s="2">
        <v>28</v>
      </c>
      <c r="F2129" s="2">
        <v>570.06</v>
      </c>
    </row>
    <row r="2130" spans="3:6" x14ac:dyDescent="0.25">
      <c r="C2130" s="2" t="s">
        <v>17236</v>
      </c>
      <c r="D2130" s="2" t="s">
        <v>42</v>
      </c>
      <c r="E2130" s="2">
        <v>86</v>
      </c>
      <c r="F2130" s="2">
        <v>1096.773</v>
      </c>
    </row>
    <row r="2131" spans="3:6" x14ac:dyDescent="0.25">
      <c r="C2131" s="2" t="s">
        <v>17237</v>
      </c>
      <c r="D2131" s="2" t="s">
        <v>42</v>
      </c>
      <c r="E2131" s="2">
        <v>113</v>
      </c>
      <c r="F2131" s="2">
        <v>2316.42</v>
      </c>
    </row>
    <row r="2132" spans="3:6" x14ac:dyDescent="0.25">
      <c r="C2132" s="2" t="s">
        <v>17238</v>
      </c>
      <c r="D2132" s="2" t="s">
        <v>42</v>
      </c>
      <c r="E2132" s="2">
        <v>123</v>
      </c>
      <c r="F2132" s="2">
        <v>2560.81</v>
      </c>
    </row>
    <row r="2133" spans="3:6" x14ac:dyDescent="0.25">
      <c r="C2133" s="2" t="s">
        <v>17239</v>
      </c>
      <c r="D2133" s="2" t="s">
        <v>42</v>
      </c>
      <c r="E2133" s="2">
        <v>85</v>
      </c>
      <c r="F2133" s="2">
        <v>1728.239</v>
      </c>
    </row>
    <row r="2134" spans="3:6" x14ac:dyDescent="0.25">
      <c r="C2134" s="2" t="s">
        <v>17240</v>
      </c>
      <c r="D2134" s="2" t="s">
        <v>42</v>
      </c>
      <c r="E2134" s="2">
        <v>68</v>
      </c>
      <c r="F2134" s="2">
        <v>1514.64</v>
      </c>
    </row>
    <row r="2135" spans="3:6" x14ac:dyDescent="0.25">
      <c r="C2135" s="2" t="s">
        <v>17241</v>
      </c>
      <c r="D2135" s="2" t="s">
        <v>42</v>
      </c>
      <c r="E2135" s="2">
        <v>14</v>
      </c>
      <c r="F2135" s="2">
        <v>283.01</v>
      </c>
    </row>
    <row r="2136" spans="3:6" x14ac:dyDescent="0.25">
      <c r="C2136" s="2" t="s">
        <v>17242</v>
      </c>
      <c r="D2136" s="2" t="s">
        <v>42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375</v>
      </c>
      <c r="C2138" s="2" t="s">
        <v>17243</v>
      </c>
      <c r="D2138" s="2" t="s">
        <v>342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17244</v>
      </c>
      <c r="D2139" s="2" t="s">
        <v>342</v>
      </c>
      <c r="E2139" s="2">
        <v>156</v>
      </c>
      <c r="F2139" s="2">
        <v>3189</v>
      </c>
    </row>
    <row r="2141" spans="3:7" x14ac:dyDescent="0.25">
      <c r="C2141" s="2" t="s">
        <v>17245</v>
      </c>
      <c r="D2141" s="2" t="s">
        <v>216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17246</v>
      </c>
      <c r="D2142" s="2" t="s">
        <v>236</v>
      </c>
      <c r="E2142" s="2">
        <v>60</v>
      </c>
      <c r="F2142" s="2">
        <v>1106.928</v>
      </c>
    </row>
    <row r="2143" spans="3:6" x14ac:dyDescent="0.25">
      <c r="C2143" s="2" t="s">
        <v>17247</v>
      </c>
      <c r="D2143" s="2" t="s">
        <v>236</v>
      </c>
      <c r="E2143" s="2">
        <v>45</v>
      </c>
      <c r="F2143" s="2">
        <v>834.65</v>
      </c>
    </row>
    <row r="2144" spans="3:6" x14ac:dyDescent="0.25">
      <c r="C2144" s="2" t="s">
        <v>17248</v>
      </c>
      <c r="D2144" s="2" t="s">
        <v>216</v>
      </c>
      <c r="E2144" s="2">
        <v>14</v>
      </c>
      <c r="F2144" s="2">
        <v>250.25</v>
      </c>
    </row>
    <row r="2145" spans="3:6" x14ac:dyDescent="0.25">
      <c r="C2145" s="2" t="s">
        <v>17249</v>
      </c>
      <c r="D2145" s="2" t="s">
        <v>216</v>
      </c>
      <c r="E2145" s="2">
        <v>22</v>
      </c>
      <c r="F2145" s="2">
        <v>416.769</v>
      </c>
    </row>
    <row r="2146" spans="3:6" x14ac:dyDescent="0.25">
      <c r="C2146" s="2" t="s">
        <v>17250</v>
      </c>
      <c r="D2146" s="2" t="s">
        <v>204</v>
      </c>
      <c r="E2146" s="2">
        <v>163</v>
      </c>
      <c r="F2146" s="2">
        <v>3228.369</v>
      </c>
    </row>
    <row r="2147" spans="3:6" x14ac:dyDescent="0.25">
      <c r="C2147" s="2" t="s">
        <v>17251</v>
      </c>
      <c r="D2147" s="2" t="s">
        <v>236</v>
      </c>
      <c r="E2147" s="2">
        <v>19</v>
      </c>
      <c r="F2147" s="2">
        <v>355.599</v>
      </c>
    </row>
    <row r="2148" spans="3:6" x14ac:dyDescent="0.25">
      <c r="C2148" s="2" t="s">
        <v>17252</v>
      </c>
      <c r="D2148" s="2" t="s">
        <v>236</v>
      </c>
      <c r="E2148" s="2">
        <v>15</v>
      </c>
      <c r="F2148" s="2">
        <v>281.819</v>
      </c>
    </row>
    <row r="2149" spans="3:6" x14ac:dyDescent="0.25">
      <c r="C2149" s="2" t="s">
        <v>17253</v>
      </c>
      <c r="D2149" s="2" t="s">
        <v>236</v>
      </c>
      <c r="E2149" s="2">
        <v>71</v>
      </c>
      <c r="F2149" s="2">
        <v>1349.049</v>
      </c>
    </row>
    <row r="2150" spans="3:6" x14ac:dyDescent="0.25">
      <c r="C2150" s="2" t="s">
        <v>17254</v>
      </c>
      <c r="D2150" s="2" t="s">
        <v>204</v>
      </c>
      <c r="E2150" s="2">
        <v>163</v>
      </c>
      <c r="F2150" s="2">
        <v>3105.458</v>
      </c>
    </row>
    <row r="2151" spans="3:6" x14ac:dyDescent="0.25">
      <c r="C2151" s="2" t="s">
        <v>17255</v>
      </c>
      <c r="D2151" s="2" t="s">
        <v>204</v>
      </c>
      <c r="E2151" s="2">
        <v>105</v>
      </c>
      <c r="F2151" s="2">
        <v>2010.17</v>
      </c>
    </row>
    <row r="2152" spans="3:6" x14ac:dyDescent="0.25">
      <c r="C2152" s="2" t="s">
        <v>17256</v>
      </c>
      <c r="D2152" s="2" t="s">
        <v>342</v>
      </c>
      <c r="E2152" s="2">
        <v>17</v>
      </c>
      <c r="F2152" s="2">
        <v>309.15</v>
      </c>
    </row>
    <row r="2153" spans="3:6" x14ac:dyDescent="0.25">
      <c r="C2153" s="2" t="s">
        <v>17257</v>
      </c>
      <c r="D2153" s="2" t="s">
        <v>342</v>
      </c>
      <c r="E2153" s="2">
        <v>139</v>
      </c>
      <c r="F2153" s="2">
        <v>2531.309</v>
      </c>
    </row>
    <row r="2154" spans="3:6" x14ac:dyDescent="0.25">
      <c r="C2154" s="2" t="s">
        <v>17258</v>
      </c>
      <c r="D2154" s="2" t="s">
        <v>236</v>
      </c>
      <c r="E2154" s="2">
        <v>36</v>
      </c>
      <c r="F2154" s="2">
        <v>638.14</v>
      </c>
    </row>
    <row r="2155" spans="3:6" x14ac:dyDescent="0.25">
      <c r="C2155" s="2" t="s">
        <v>17259</v>
      </c>
      <c r="D2155" s="2" t="s">
        <v>347</v>
      </c>
      <c r="E2155" s="2">
        <v>100</v>
      </c>
      <c r="F2155" s="2">
        <v>1960.553</v>
      </c>
    </row>
    <row r="2156" spans="3:6" x14ac:dyDescent="0.25">
      <c r="C2156" s="2" t="s">
        <v>17260</v>
      </c>
      <c r="D2156" s="2" t="s">
        <v>347</v>
      </c>
      <c r="E2156" s="2">
        <v>9</v>
      </c>
      <c r="F2156" s="2">
        <v>171.41</v>
      </c>
    </row>
    <row r="2157" spans="3:6" x14ac:dyDescent="0.25">
      <c r="C2157" s="2" t="s">
        <v>17261</v>
      </c>
      <c r="D2157" s="2" t="s">
        <v>347</v>
      </c>
      <c r="E2157" s="2">
        <v>47</v>
      </c>
      <c r="F2157" s="2">
        <v>897.498</v>
      </c>
    </row>
    <row r="2158" spans="3:6" x14ac:dyDescent="0.25">
      <c r="C2158" s="2" t="s">
        <v>17262</v>
      </c>
      <c r="D2158" s="2" t="s">
        <v>204</v>
      </c>
      <c r="E2158" s="2">
        <v>163</v>
      </c>
      <c r="F2158" s="2">
        <v>2991.625</v>
      </c>
    </row>
    <row r="2159" spans="3:6" x14ac:dyDescent="0.25">
      <c r="C2159" s="2" t="s">
        <v>17263</v>
      </c>
      <c r="D2159" s="2" t="s">
        <v>204</v>
      </c>
      <c r="E2159" s="2">
        <v>163</v>
      </c>
      <c r="F2159" s="2">
        <v>3116.335</v>
      </c>
    </row>
    <row r="2160" spans="3:6" x14ac:dyDescent="0.25">
      <c r="C2160" s="2" t="s">
        <v>17264</v>
      </c>
      <c r="D2160" s="2" t="s">
        <v>204</v>
      </c>
      <c r="E2160" s="2">
        <v>163</v>
      </c>
      <c r="F2160" s="2">
        <v>3177.285</v>
      </c>
    </row>
    <row r="2161" spans="3:6" x14ac:dyDescent="0.25">
      <c r="C2161" s="2" t="s">
        <v>17265</v>
      </c>
      <c r="D2161" s="2" t="s">
        <v>236</v>
      </c>
      <c r="E2161" s="2">
        <v>60</v>
      </c>
      <c r="F2161" s="2">
        <v>1147.55</v>
      </c>
    </row>
    <row r="2162" spans="3:6" x14ac:dyDescent="0.25">
      <c r="C2162" s="2" t="s">
        <v>17266</v>
      </c>
      <c r="D2162" s="2" t="s">
        <v>214</v>
      </c>
      <c r="E2162" s="2">
        <v>156</v>
      </c>
      <c r="F2162" s="2">
        <v>3136.901</v>
      </c>
    </row>
    <row r="2163" spans="3:6" x14ac:dyDescent="0.25">
      <c r="C2163" s="2" t="s">
        <v>17267</v>
      </c>
      <c r="D2163" s="2" t="s">
        <v>236</v>
      </c>
      <c r="E2163" s="2">
        <v>60</v>
      </c>
      <c r="F2163" s="2">
        <v>1054.777</v>
      </c>
    </row>
    <row r="2164" spans="3:6" x14ac:dyDescent="0.25">
      <c r="C2164" s="2" t="s">
        <v>17268</v>
      </c>
      <c r="D2164" s="2" t="s">
        <v>204</v>
      </c>
      <c r="E2164" s="2">
        <v>129</v>
      </c>
      <c r="F2164" s="2">
        <v>2480.509</v>
      </c>
    </row>
    <row r="2165" spans="3:6" x14ac:dyDescent="0.25">
      <c r="C2165" s="2" t="s">
        <v>17269</v>
      </c>
      <c r="D2165" s="2" t="s">
        <v>216</v>
      </c>
      <c r="E2165" s="2">
        <v>134</v>
      </c>
      <c r="F2165" s="2">
        <v>2654.59</v>
      </c>
    </row>
    <row r="2166" spans="3:6" x14ac:dyDescent="0.25">
      <c r="C2166" s="2" t="s">
        <v>17270</v>
      </c>
      <c r="D2166" s="2" t="s">
        <v>216</v>
      </c>
      <c r="E2166" s="2">
        <v>134</v>
      </c>
      <c r="F2166" s="2">
        <v>2696.23</v>
      </c>
    </row>
    <row r="2167" spans="3:6" x14ac:dyDescent="0.25">
      <c r="C2167" s="2" t="s">
        <v>17271</v>
      </c>
      <c r="D2167" s="2" t="s">
        <v>216</v>
      </c>
      <c r="E2167" s="2">
        <v>134</v>
      </c>
      <c r="F2167" s="2">
        <v>2670.82</v>
      </c>
    </row>
    <row r="2168" spans="3:6" x14ac:dyDescent="0.25">
      <c r="C2168" s="2" t="s">
        <v>17272</v>
      </c>
      <c r="D2168" s="2" t="s">
        <v>216</v>
      </c>
      <c r="E2168" s="2">
        <v>134</v>
      </c>
      <c r="F2168" s="2">
        <v>2726.13</v>
      </c>
    </row>
    <row r="2169" spans="3:6" x14ac:dyDescent="0.25">
      <c r="C2169" s="2" t="s">
        <v>17273</v>
      </c>
      <c r="D2169" s="2" t="s">
        <v>216</v>
      </c>
      <c r="E2169" s="2">
        <v>134</v>
      </c>
      <c r="F2169" s="2">
        <v>2714.38</v>
      </c>
    </row>
    <row r="2170" spans="3:6" x14ac:dyDescent="0.25">
      <c r="C2170" s="2" t="s">
        <v>17274</v>
      </c>
      <c r="D2170" s="2" t="s">
        <v>216</v>
      </c>
      <c r="E2170" s="2">
        <v>134</v>
      </c>
      <c r="F2170" s="2">
        <v>2726.57</v>
      </c>
    </row>
    <row r="2171" spans="3:6" x14ac:dyDescent="0.25">
      <c r="C2171" s="2" t="s">
        <v>17275</v>
      </c>
      <c r="D2171" s="2" t="s">
        <v>204</v>
      </c>
      <c r="E2171" s="2">
        <v>163</v>
      </c>
      <c r="F2171" s="2">
        <v>3100.87</v>
      </c>
    </row>
    <row r="2172" spans="3:6" x14ac:dyDescent="0.25">
      <c r="C2172" s="2" t="s">
        <v>17276</v>
      </c>
      <c r="D2172" s="2" t="s">
        <v>204</v>
      </c>
      <c r="E2172" s="2">
        <v>163</v>
      </c>
      <c r="F2172" s="2">
        <v>3101.398</v>
      </c>
    </row>
    <row r="2173" spans="3:6" x14ac:dyDescent="0.25">
      <c r="C2173" s="2" t="s">
        <v>17277</v>
      </c>
      <c r="D2173" s="2" t="s">
        <v>204</v>
      </c>
      <c r="E2173" s="2">
        <v>163</v>
      </c>
      <c r="F2173" s="2">
        <v>3137.069</v>
      </c>
    </row>
    <row r="2174" spans="3:6" x14ac:dyDescent="0.25">
      <c r="C2174" s="2" t="s">
        <v>17278</v>
      </c>
      <c r="D2174" s="2" t="s">
        <v>204</v>
      </c>
      <c r="E2174" s="2">
        <v>62</v>
      </c>
      <c r="F2174" s="2">
        <v>622</v>
      </c>
    </row>
    <row r="2175" spans="3:6" x14ac:dyDescent="0.25">
      <c r="C2175" s="2" t="s">
        <v>17279</v>
      </c>
      <c r="D2175" s="2" t="s">
        <v>204</v>
      </c>
      <c r="E2175" s="2">
        <v>72</v>
      </c>
      <c r="F2175" s="2">
        <v>764</v>
      </c>
    </row>
    <row r="2176" spans="3:6" x14ac:dyDescent="0.25">
      <c r="C2176" s="2" t="s">
        <v>17280</v>
      </c>
      <c r="D2176" s="2" t="s">
        <v>204</v>
      </c>
      <c r="E2176" s="2">
        <v>67</v>
      </c>
      <c r="F2176" s="2">
        <v>802</v>
      </c>
    </row>
    <row r="2177" spans="3:6" x14ac:dyDescent="0.25">
      <c r="C2177" s="2" t="s">
        <v>17281</v>
      </c>
      <c r="D2177" s="2" t="s">
        <v>204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380</v>
      </c>
      <c r="C2179" s="2" t="s">
        <v>17282</v>
      </c>
      <c r="D2179" s="2" t="s">
        <v>20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17283</v>
      </c>
      <c r="D2180" s="2" t="s">
        <v>20</v>
      </c>
      <c r="E2180" s="2">
        <v>251</v>
      </c>
      <c r="F2180" s="2">
        <v>4763.19</v>
      </c>
    </row>
    <row r="2181" spans="3:6" x14ac:dyDescent="0.25">
      <c r="C2181" s="2" t="s">
        <v>17284</v>
      </c>
      <c r="D2181" s="2" t="s">
        <v>20</v>
      </c>
      <c r="E2181" s="2">
        <v>251</v>
      </c>
      <c r="F2181" s="2">
        <v>4684.999</v>
      </c>
    </row>
    <row r="2182" spans="3:6" x14ac:dyDescent="0.25">
      <c r="C2182" s="2" t="s">
        <v>17285</v>
      </c>
      <c r="D2182" s="2" t="s">
        <v>20</v>
      </c>
      <c r="E2182" s="2">
        <v>149</v>
      </c>
      <c r="F2182" s="2">
        <v>2746.068</v>
      </c>
    </row>
    <row r="2183" spans="3:6" x14ac:dyDescent="0.25">
      <c r="C2183" s="2" t="s">
        <v>17286</v>
      </c>
      <c r="D2183" s="2" t="s">
        <v>20</v>
      </c>
      <c r="E2183" s="2">
        <v>142</v>
      </c>
      <c r="F2183" s="2">
        <v>2689.184</v>
      </c>
    </row>
    <row r="2184" spans="3:6" x14ac:dyDescent="0.25">
      <c r="C2184" s="2" t="s">
        <v>17287</v>
      </c>
      <c r="D2184" s="2" t="s">
        <v>20</v>
      </c>
      <c r="E2184" s="2">
        <v>251</v>
      </c>
      <c r="F2184" s="2">
        <v>4756.219</v>
      </c>
    </row>
    <row r="2185" spans="3:6" x14ac:dyDescent="0.25">
      <c r="C2185" s="2" t="s">
        <v>17288</v>
      </c>
      <c r="D2185" s="2" t="s">
        <v>20</v>
      </c>
      <c r="E2185" s="2">
        <v>159</v>
      </c>
      <c r="F2185" s="2">
        <v>2883.328</v>
      </c>
    </row>
    <row r="2186" spans="3:6" x14ac:dyDescent="0.25">
      <c r="C2186" s="2" t="s">
        <v>17289</v>
      </c>
      <c r="D2186" s="2" t="s">
        <v>20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324</v>
      </c>
      <c r="C2188" s="2" t="s">
        <v>17290</v>
      </c>
      <c r="D2188" s="2" t="s">
        <v>27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17291</v>
      </c>
      <c r="D2189" s="2" t="s">
        <v>27</v>
      </c>
      <c r="E2189" s="2">
        <v>20</v>
      </c>
      <c r="F2189" s="2">
        <v>359.44</v>
      </c>
    </row>
    <row r="2190" spans="3:6" x14ac:dyDescent="0.25">
      <c r="C2190" s="2" t="s">
        <v>17292</v>
      </c>
      <c r="D2190" s="2" t="s">
        <v>27</v>
      </c>
      <c r="E2190" s="2">
        <v>56</v>
      </c>
      <c r="F2190" s="2">
        <v>1260.25</v>
      </c>
    </row>
    <row r="2191" spans="3:6" x14ac:dyDescent="0.25">
      <c r="C2191" s="2" t="s">
        <v>17293</v>
      </c>
      <c r="D2191" s="2" t="s">
        <v>27</v>
      </c>
      <c r="E2191" s="2">
        <v>25</v>
      </c>
      <c r="F2191" s="2">
        <v>453.95</v>
      </c>
    </row>
    <row r="2192" spans="3:6" x14ac:dyDescent="0.25">
      <c r="C2192" s="2" t="s">
        <v>17294</v>
      </c>
      <c r="D2192" s="2" t="s">
        <v>27</v>
      </c>
      <c r="E2192" s="2">
        <v>28</v>
      </c>
      <c r="F2192" s="2">
        <v>508.23</v>
      </c>
    </row>
    <row r="2193" spans="3:6" x14ac:dyDescent="0.25">
      <c r="C2193" s="2" t="s">
        <v>17295</v>
      </c>
      <c r="D2193" s="2" t="s">
        <v>27</v>
      </c>
      <c r="E2193" s="2">
        <v>61</v>
      </c>
      <c r="F2193" s="2">
        <v>1254.669</v>
      </c>
    </row>
    <row r="2194" spans="3:6" x14ac:dyDescent="0.25">
      <c r="C2194" s="2" t="s">
        <v>17296</v>
      </c>
      <c r="D2194" s="2" t="s">
        <v>27</v>
      </c>
      <c r="E2194" s="2">
        <v>26</v>
      </c>
      <c r="F2194" s="2">
        <v>464.35</v>
      </c>
    </row>
    <row r="2195" spans="3:6" x14ac:dyDescent="0.25">
      <c r="C2195" s="2" t="s">
        <v>17297</v>
      </c>
      <c r="D2195" s="2" t="s">
        <v>27</v>
      </c>
      <c r="E2195" s="2">
        <v>28</v>
      </c>
      <c r="F2195" s="2">
        <v>482.919</v>
      </c>
    </row>
    <row r="2196" spans="3:6" x14ac:dyDescent="0.25">
      <c r="C2196" s="2" t="s">
        <v>17298</v>
      </c>
      <c r="D2196" s="2" t="s">
        <v>27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12462</v>
      </c>
      <c r="C2198" s="2" t="s">
        <v>17299</v>
      </c>
      <c r="D2198" s="2" t="s">
        <v>20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17300</v>
      </c>
      <c r="D2199" s="2" t="s">
        <v>20</v>
      </c>
      <c r="E2199" s="2">
        <v>298</v>
      </c>
      <c r="F2199" s="2">
        <v>5482.55</v>
      </c>
    </row>
    <row r="2200" spans="3:6" x14ac:dyDescent="0.25">
      <c r="C2200" s="2" t="s">
        <v>17301</v>
      </c>
      <c r="D2200" s="2" t="s">
        <v>20</v>
      </c>
      <c r="E2200" s="2">
        <v>298</v>
      </c>
      <c r="F2200" s="2">
        <v>5618.227</v>
      </c>
    </row>
    <row r="2201" spans="3:6" x14ac:dyDescent="0.25">
      <c r="C2201" s="2" t="s">
        <v>17302</v>
      </c>
      <c r="D2201" s="2" t="s">
        <v>20</v>
      </c>
      <c r="E2201" s="2">
        <v>150</v>
      </c>
      <c r="F2201" s="2">
        <v>3351.089</v>
      </c>
    </row>
    <row r="2202" spans="3:6" x14ac:dyDescent="0.25">
      <c r="C2202" s="2" t="s">
        <v>17303</v>
      </c>
      <c r="D2202" s="2" t="s">
        <v>20</v>
      </c>
      <c r="E2202" s="2">
        <v>25</v>
      </c>
      <c r="F2202" s="2">
        <v>512.859</v>
      </c>
    </row>
    <row r="2203" spans="3:6" x14ac:dyDescent="0.25">
      <c r="C2203" s="2" t="s">
        <v>17304</v>
      </c>
      <c r="D2203" s="2" t="s">
        <v>20</v>
      </c>
      <c r="E2203" s="2">
        <v>160</v>
      </c>
      <c r="F2203" s="2">
        <v>3077.302</v>
      </c>
    </row>
    <row r="2204" spans="3:6" x14ac:dyDescent="0.25">
      <c r="C2204" s="2" t="s">
        <v>17305</v>
      </c>
      <c r="D2204" s="2" t="s">
        <v>20</v>
      </c>
      <c r="E2204" s="2">
        <v>114</v>
      </c>
      <c r="F2204" s="2">
        <v>2125.168</v>
      </c>
    </row>
    <row r="2205" spans="3:6" x14ac:dyDescent="0.25">
      <c r="C2205" s="2" t="s">
        <v>17306</v>
      </c>
      <c r="D2205" s="2" t="s">
        <v>20</v>
      </c>
      <c r="E2205" s="2">
        <v>170</v>
      </c>
      <c r="F2205" s="2">
        <v>3171.27</v>
      </c>
    </row>
    <row r="2206" spans="3:6" x14ac:dyDescent="0.25">
      <c r="C2206" s="2" t="s">
        <v>17307</v>
      </c>
      <c r="D2206" s="2" t="s">
        <v>20</v>
      </c>
      <c r="E2206" s="2">
        <v>340</v>
      </c>
      <c r="F2206" s="2">
        <v>6156.488</v>
      </c>
    </row>
    <row r="2207" spans="3:6" x14ac:dyDescent="0.25">
      <c r="C2207" s="2" t="s">
        <v>17308</v>
      </c>
      <c r="D2207" s="2" t="s">
        <v>20</v>
      </c>
      <c r="E2207" s="2">
        <v>180</v>
      </c>
      <c r="F2207" s="2">
        <v>3455.6</v>
      </c>
    </row>
    <row r="2208" spans="3:6" x14ac:dyDescent="0.25">
      <c r="C2208" s="2" t="s">
        <v>17309</v>
      </c>
      <c r="D2208" s="2" t="s">
        <v>20</v>
      </c>
      <c r="E2208" s="2">
        <v>340</v>
      </c>
      <c r="F2208" s="2">
        <v>6022.9</v>
      </c>
    </row>
    <row r="2209" spans="3:6" x14ac:dyDescent="0.25">
      <c r="C2209" s="2" t="s">
        <v>17310</v>
      </c>
      <c r="D2209" s="2" t="s">
        <v>20</v>
      </c>
      <c r="E2209" s="2">
        <v>255</v>
      </c>
      <c r="F2209" s="2">
        <v>4760.717</v>
      </c>
    </row>
    <row r="2210" spans="3:6" x14ac:dyDescent="0.25">
      <c r="C2210" s="2" t="s">
        <v>17311</v>
      </c>
      <c r="D2210" s="2" t="s">
        <v>20</v>
      </c>
      <c r="E2210" s="2">
        <v>78</v>
      </c>
      <c r="F2210" s="2">
        <v>1420.18</v>
      </c>
    </row>
    <row r="2211" spans="3:6" x14ac:dyDescent="0.25">
      <c r="C2211" s="2" t="s">
        <v>17312</v>
      </c>
      <c r="D2211" s="2" t="s">
        <v>20</v>
      </c>
      <c r="E2211" s="2">
        <v>165</v>
      </c>
      <c r="F2211" s="2">
        <v>3174.43</v>
      </c>
    </row>
    <row r="2212" spans="3:6" x14ac:dyDescent="0.25">
      <c r="C2212" s="2" t="s">
        <v>17313</v>
      </c>
      <c r="D2212" s="2" t="s">
        <v>20</v>
      </c>
      <c r="E2212" s="2">
        <v>240</v>
      </c>
      <c r="F2212" s="2">
        <v>4559.679</v>
      </c>
    </row>
    <row r="2213" spans="3:6" x14ac:dyDescent="0.25">
      <c r="C2213" s="2" t="s">
        <v>17314</v>
      </c>
      <c r="D2213" s="2" t="s">
        <v>20</v>
      </c>
      <c r="E2213" s="2">
        <v>240</v>
      </c>
      <c r="F2213" s="2">
        <v>4746.836</v>
      </c>
    </row>
    <row r="2214" spans="3:6" x14ac:dyDescent="0.25">
      <c r="C2214" s="2" t="s">
        <v>17315</v>
      </c>
      <c r="D2214" s="2" t="s">
        <v>20</v>
      </c>
      <c r="E2214" s="2">
        <v>220</v>
      </c>
      <c r="F2214" s="2">
        <v>4193.228</v>
      </c>
    </row>
    <row r="2215" spans="3:6" x14ac:dyDescent="0.25">
      <c r="C2215" s="2" t="s">
        <v>17316</v>
      </c>
      <c r="D2215" s="2" t="s">
        <v>20</v>
      </c>
      <c r="E2215" s="2">
        <v>220</v>
      </c>
      <c r="F2215" s="2">
        <v>4061.349</v>
      </c>
    </row>
    <row r="2216" spans="3:6" x14ac:dyDescent="0.25">
      <c r="C2216" s="2" t="s">
        <v>17317</v>
      </c>
      <c r="D2216" s="2" t="s">
        <v>20</v>
      </c>
      <c r="E2216" s="2">
        <v>220</v>
      </c>
      <c r="F2216" s="2">
        <v>4310.518</v>
      </c>
    </row>
    <row r="2217" spans="3:6" x14ac:dyDescent="0.25">
      <c r="C2217" s="2" t="s">
        <v>17318</v>
      </c>
      <c r="D2217" s="2" t="s">
        <v>20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15998</v>
      </c>
      <c r="C2219" s="2" t="s">
        <v>17005</v>
      </c>
      <c r="D2219" s="2" t="s">
        <v>1288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17004</v>
      </c>
      <c r="D2220" s="2" t="s">
        <v>1288</v>
      </c>
      <c r="E2220" s="2">
        <v>28</v>
      </c>
      <c r="F2220" s="2">
        <v>564.08</v>
      </c>
    </row>
    <row r="2221" spans="3:6" x14ac:dyDescent="0.25">
      <c r="C2221" s="2" t="s">
        <v>17006</v>
      </c>
      <c r="D2221" s="2" t="s">
        <v>1288</v>
      </c>
      <c r="E2221" s="2">
        <v>71</v>
      </c>
      <c r="F2221" s="2">
        <v>2439.772</v>
      </c>
    </row>
    <row r="2222" spans="3:6" x14ac:dyDescent="0.25">
      <c r="C2222" s="2" t="s">
        <v>17007</v>
      </c>
      <c r="D2222" s="2" t="s">
        <v>1288</v>
      </c>
      <c r="E2222" s="2">
        <v>71</v>
      </c>
      <c r="F2222" s="2">
        <v>2464.861</v>
      </c>
    </row>
    <row r="2223" spans="3:6" x14ac:dyDescent="0.25">
      <c r="C2223" s="2" t="s">
        <v>17008</v>
      </c>
      <c r="D2223" s="2" t="s">
        <v>1288</v>
      </c>
      <c r="E2223" s="2">
        <v>37</v>
      </c>
      <c r="F2223" s="2">
        <v>755.8</v>
      </c>
    </row>
    <row r="2224" spans="3:6" x14ac:dyDescent="0.25">
      <c r="C2224" s="2" t="s">
        <v>17009</v>
      </c>
      <c r="D2224" s="2" t="s">
        <v>1288</v>
      </c>
      <c r="E2224" s="2">
        <v>88</v>
      </c>
      <c r="F2224" s="2">
        <v>1776.559</v>
      </c>
    </row>
    <row r="2225" spans="3:6" x14ac:dyDescent="0.25">
      <c r="C2225" s="2" t="s">
        <v>17010</v>
      </c>
      <c r="D2225" s="2" t="s">
        <v>1288</v>
      </c>
      <c r="E2225" s="2">
        <v>8</v>
      </c>
      <c r="F2225" s="2">
        <v>289.24</v>
      </c>
    </row>
    <row r="2226" spans="3:6" x14ac:dyDescent="0.25">
      <c r="C2226" s="2" t="s">
        <v>17002</v>
      </c>
      <c r="D2226" s="2" t="s">
        <v>1288</v>
      </c>
      <c r="E2226" s="2">
        <v>71</v>
      </c>
      <c r="F2226" s="2">
        <v>1380.41</v>
      </c>
    </row>
    <row r="2227" spans="3:6" x14ac:dyDescent="0.25">
      <c r="C2227" s="2" t="s">
        <v>17003</v>
      </c>
      <c r="D2227" s="2" t="s">
        <v>1288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1289</v>
      </c>
      <c r="C2229" s="2" t="s">
        <v>17319</v>
      </c>
      <c r="D2229" s="2" t="s">
        <v>9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17320</v>
      </c>
      <c r="D2230" s="2" t="s">
        <v>9</v>
      </c>
      <c r="E2230" s="2">
        <v>102</v>
      </c>
      <c r="F2230" s="2">
        <v>1976.75</v>
      </c>
    </row>
    <row r="2231" spans="3:6" x14ac:dyDescent="0.25">
      <c r="C2231" s="2" t="s">
        <v>17321</v>
      </c>
      <c r="D2231" s="2" t="s">
        <v>9</v>
      </c>
      <c r="E2231" s="2">
        <v>134</v>
      </c>
      <c r="F2231" s="2">
        <v>2765.63</v>
      </c>
    </row>
    <row r="2232" spans="3:6" x14ac:dyDescent="0.25">
      <c r="C2232" s="2" t="s">
        <v>17322</v>
      </c>
      <c r="D2232" s="2" t="s">
        <v>9</v>
      </c>
      <c r="E2232" s="2">
        <v>141</v>
      </c>
      <c r="F2232" s="2">
        <v>2670.35</v>
      </c>
    </row>
    <row r="2233" spans="3:6" x14ac:dyDescent="0.25">
      <c r="C2233" s="2" t="s">
        <v>17323</v>
      </c>
      <c r="D2233" s="2" t="s">
        <v>9</v>
      </c>
      <c r="E2233" s="2">
        <v>225</v>
      </c>
      <c r="F2233" s="2">
        <v>4592.549</v>
      </c>
    </row>
    <row r="2234" spans="3:6" x14ac:dyDescent="0.25">
      <c r="C2234" s="2" t="s">
        <v>17324</v>
      </c>
      <c r="D2234" s="2" t="s">
        <v>9</v>
      </c>
      <c r="E2234" s="2">
        <v>71</v>
      </c>
      <c r="F2234" s="2">
        <v>1266.62</v>
      </c>
    </row>
    <row r="2235" spans="3:6" x14ac:dyDescent="0.25">
      <c r="C2235" s="2" t="s">
        <v>17325</v>
      </c>
      <c r="D2235" s="2" t="s">
        <v>9</v>
      </c>
      <c r="E2235" s="2">
        <v>32</v>
      </c>
      <c r="F2235" s="2">
        <v>565.2</v>
      </c>
    </row>
    <row r="2236" spans="3:6" x14ac:dyDescent="0.25">
      <c r="C2236" s="2" t="s">
        <v>17326</v>
      </c>
      <c r="D2236" s="2" t="s">
        <v>9</v>
      </c>
      <c r="E2236" s="2">
        <v>282</v>
      </c>
      <c r="F2236" s="2">
        <v>6074.71</v>
      </c>
    </row>
    <row r="2237" spans="3:6" x14ac:dyDescent="0.25">
      <c r="C2237" s="2" t="s">
        <v>17327</v>
      </c>
      <c r="D2237" s="2" t="s">
        <v>9</v>
      </c>
      <c r="E2237" s="2">
        <v>37</v>
      </c>
      <c r="F2237" s="2">
        <v>159.08</v>
      </c>
    </row>
    <row r="2238" spans="3:6" x14ac:dyDescent="0.25">
      <c r="C2238" s="2" t="s">
        <v>17328</v>
      </c>
      <c r="D2238" s="2" t="s">
        <v>9</v>
      </c>
      <c r="E2238" s="2">
        <v>282</v>
      </c>
      <c r="F2238" s="2">
        <v>6011.909</v>
      </c>
    </row>
    <row r="2239" spans="3:6" x14ac:dyDescent="0.25">
      <c r="C2239" s="2" t="s">
        <v>17329</v>
      </c>
      <c r="D2239" s="2" t="s">
        <v>9</v>
      </c>
      <c r="E2239" s="2">
        <v>141</v>
      </c>
      <c r="F2239" s="2">
        <v>2868.74</v>
      </c>
    </row>
    <row r="2240" spans="3:6" x14ac:dyDescent="0.25">
      <c r="C2240" s="2" t="s">
        <v>17330</v>
      </c>
      <c r="D2240" s="2" t="s">
        <v>9</v>
      </c>
      <c r="E2240" s="2">
        <v>6</v>
      </c>
      <c r="F2240" s="2" t="s">
        <v>8758</v>
      </c>
    </row>
    <row r="2241" spans="3:6" x14ac:dyDescent="0.25">
      <c r="C2241" s="2" t="s">
        <v>17331</v>
      </c>
      <c r="D2241" s="2" t="s">
        <v>9</v>
      </c>
      <c r="E2241" s="2">
        <v>37</v>
      </c>
      <c r="F2241" s="2">
        <v>632.24</v>
      </c>
    </row>
    <row r="2242" spans="3:6" x14ac:dyDescent="0.25">
      <c r="C2242" s="2" t="s">
        <v>17332</v>
      </c>
      <c r="D2242" s="2" t="s">
        <v>9</v>
      </c>
      <c r="E2242" s="2">
        <v>32</v>
      </c>
      <c r="F2242" s="2">
        <v>664.69</v>
      </c>
    </row>
    <row r="2243" spans="3:6" x14ac:dyDescent="0.25">
      <c r="C2243" s="2" t="s">
        <v>17333</v>
      </c>
      <c r="D2243" s="2" t="s">
        <v>9</v>
      </c>
      <c r="E2243" s="2">
        <v>45</v>
      </c>
      <c r="F2243" s="2">
        <v>193.829</v>
      </c>
    </row>
    <row r="2244" spans="3:6" x14ac:dyDescent="0.25">
      <c r="C2244" s="2" t="s">
        <v>17334</v>
      </c>
      <c r="D2244" s="2" t="s">
        <v>9</v>
      </c>
      <c r="E2244" s="2">
        <v>102</v>
      </c>
      <c r="F2244" s="2">
        <v>2176.41</v>
      </c>
    </row>
    <row r="2245" spans="3:6" x14ac:dyDescent="0.25">
      <c r="C2245" s="2" t="s">
        <v>17335</v>
      </c>
      <c r="D2245" s="2" t="s">
        <v>9</v>
      </c>
      <c r="E2245" s="2">
        <v>64</v>
      </c>
      <c r="F2245" s="2">
        <v>1376.37</v>
      </c>
    </row>
    <row r="2246" spans="3:6" x14ac:dyDescent="0.25">
      <c r="C2246" s="2" t="s">
        <v>17336</v>
      </c>
      <c r="D2246" s="2" t="s">
        <v>9</v>
      </c>
      <c r="E2246" s="2">
        <v>59</v>
      </c>
      <c r="F2246" s="2">
        <v>1226.6</v>
      </c>
    </row>
    <row r="2247" spans="3:6" x14ac:dyDescent="0.25">
      <c r="C2247" s="2" t="s">
        <v>17337</v>
      </c>
      <c r="D2247" s="2" t="s">
        <v>9</v>
      </c>
      <c r="E2247" s="2">
        <v>75</v>
      </c>
      <c r="F2247" s="2">
        <v>1571.1</v>
      </c>
    </row>
    <row r="2248" spans="3:6" x14ac:dyDescent="0.25">
      <c r="C2248" s="2" t="s">
        <v>17338</v>
      </c>
      <c r="D2248" s="2" t="s">
        <v>9</v>
      </c>
      <c r="E2248" s="2" t="s">
        <v>8758</v>
      </c>
      <c r="F2248" s="2" t="s">
        <v>8758</v>
      </c>
    </row>
    <row r="2249" spans="3:6" x14ac:dyDescent="0.25">
      <c r="C2249" s="2" t="s">
        <v>17339</v>
      </c>
      <c r="D2249" s="2" t="s">
        <v>9</v>
      </c>
      <c r="E2249" s="2">
        <v>141</v>
      </c>
      <c r="F2249" s="2">
        <v>2872.059</v>
      </c>
    </row>
    <row r="2250" spans="3:6" x14ac:dyDescent="0.25">
      <c r="C2250" s="2" t="s">
        <v>17340</v>
      </c>
      <c r="D2250" s="2" t="s">
        <v>9</v>
      </c>
      <c r="E2250" s="2">
        <v>141</v>
      </c>
      <c r="F2250" s="2">
        <v>2897.81</v>
      </c>
    </row>
    <row r="2251" spans="3:6" x14ac:dyDescent="0.25">
      <c r="C2251" s="2" t="s">
        <v>17341</v>
      </c>
      <c r="D2251" s="2" t="s">
        <v>9</v>
      </c>
      <c r="E2251" s="2">
        <v>51</v>
      </c>
      <c r="F2251" s="2">
        <v>1014.92</v>
      </c>
    </row>
    <row r="2252" spans="3:6" x14ac:dyDescent="0.25">
      <c r="C2252" s="2" t="s">
        <v>17342</v>
      </c>
      <c r="D2252" s="2" t="s">
        <v>9</v>
      </c>
      <c r="E2252" s="2">
        <v>51</v>
      </c>
      <c r="F2252" s="2">
        <v>1109.2</v>
      </c>
    </row>
    <row r="2253" spans="3:6" x14ac:dyDescent="0.25">
      <c r="C2253" s="2" t="s">
        <v>17343</v>
      </c>
      <c r="D2253" s="2" t="s">
        <v>9</v>
      </c>
      <c r="E2253" s="2">
        <v>141</v>
      </c>
      <c r="F2253" s="2">
        <v>2982.12</v>
      </c>
    </row>
    <row r="2254" spans="3:6" x14ac:dyDescent="0.25">
      <c r="C2254" s="2" t="s">
        <v>17344</v>
      </c>
      <c r="D2254" s="2" t="s">
        <v>9</v>
      </c>
      <c r="E2254" s="2">
        <v>141</v>
      </c>
      <c r="F2254" s="2">
        <v>2825.28</v>
      </c>
    </row>
    <row r="2255" spans="3:6" x14ac:dyDescent="0.25">
      <c r="C2255" s="2" t="s">
        <v>17345</v>
      </c>
      <c r="D2255" s="2" t="s">
        <v>9</v>
      </c>
      <c r="E2255" s="2">
        <v>26</v>
      </c>
      <c r="F2255" s="2">
        <v>516.52</v>
      </c>
    </row>
    <row r="2256" spans="3:6" x14ac:dyDescent="0.25">
      <c r="C2256" s="2" t="s">
        <v>17346</v>
      </c>
      <c r="D2256" s="2" t="s">
        <v>9</v>
      </c>
      <c r="E2256" s="2">
        <v>115</v>
      </c>
      <c r="F2256" s="2">
        <v>2383.52</v>
      </c>
    </row>
    <row r="2257" spans="3:6" x14ac:dyDescent="0.25">
      <c r="C2257" s="2" t="s">
        <v>17347</v>
      </c>
      <c r="D2257" s="2" t="s">
        <v>9</v>
      </c>
      <c r="E2257" s="2">
        <v>83</v>
      </c>
      <c r="F2257" s="2">
        <v>1766.28</v>
      </c>
    </row>
    <row r="2258" spans="3:6" x14ac:dyDescent="0.25">
      <c r="C2258" s="2" t="s">
        <v>17348</v>
      </c>
      <c r="D2258" s="2" t="s">
        <v>9</v>
      </c>
      <c r="E2258" s="2">
        <v>18</v>
      </c>
      <c r="F2258" s="2">
        <v>381.09</v>
      </c>
    </row>
    <row r="2259" spans="3:6" x14ac:dyDescent="0.25">
      <c r="C2259" s="2" t="s">
        <v>17349</v>
      </c>
      <c r="D2259" s="2" t="s">
        <v>9</v>
      </c>
      <c r="E2259" s="2">
        <v>55</v>
      </c>
      <c r="F2259" s="2">
        <v>1069.84</v>
      </c>
    </row>
    <row r="2260" spans="3:6" x14ac:dyDescent="0.25">
      <c r="C2260" s="2" t="s">
        <v>17350</v>
      </c>
      <c r="D2260" s="2" t="s">
        <v>9</v>
      </c>
      <c r="E2260" s="2">
        <v>86</v>
      </c>
      <c r="F2260" s="2">
        <v>1691.74</v>
      </c>
    </row>
    <row r="2261" spans="3:6" x14ac:dyDescent="0.25">
      <c r="C2261" s="2" t="s">
        <v>17351</v>
      </c>
      <c r="D2261" s="2" t="s">
        <v>9</v>
      </c>
      <c r="E2261" s="2">
        <v>117</v>
      </c>
      <c r="F2261" s="2">
        <v>2068.04</v>
      </c>
    </row>
    <row r="2262" spans="3:6" x14ac:dyDescent="0.25">
      <c r="C2262" s="2" t="s">
        <v>17352</v>
      </c>
      <c r="D2262" s="2" t="s">
        <v>9</v>
      </c>
      <c r="E2262" s="2">
        <v>24</v>
      </c>
      <c r="F2262" s="2">
        <v>448.37</v>
      </c>
    </row>
    <row r="2263" spans="3:6" x14ac:dyDescent="0.25">
      <c r="C2263" s="2" t="s">
        <v>17353</v>
      </c>
      <c r="D2263" s="2" t="s">
        <v>9</v>
      </c>
      <c r="E2263" s="2">
        <v>141</v>
      </c>
      <c r="F2263" s="2">
        <v>3045.84</v>
      </c>
    </row>
    <row r="2264" spans="3:6" x14ac:dyDescent="0.25">
      <c r="C2264" s="2" t="s">
        <v>17354</v>
      </c>
      <c r="D2264" s="2" t="s">
        <v>9</v>
      </c>
      <c r="E2264" s="2">
        <v>83</v>
      </c>
      <c r="F2264" s="2">
        <v>1738.45</v>
      </c>
    </row>
    <row r="2265" spans="3:6" x14ac:dyDescent="0.25">
      <c r="C2265" s="2" t="s">
        <v>17355</v>
      </c>
      <c r="D2265" s="2" t="s">
        <v>9</v>
      </c>
      <c r="E2265" s="2">
        <v>58</v>
      </c>
      <c r="F2265" s="2">
        <v>1150.16</v>
      </c>
    </row>
    <row r="2266" spans="3:6" x14ac:dyDescent="0.25">
      <c r="C2266" s="2" t="s">
        <v>17356</v>
      </c>
      <c r="D2266" s="2" t="s">
        <v>9</v>
      </c>
      <c r="E2266" s="2">
        <v>36</v>
      </c>
      <c r="F2266" s="2">
        <v>686.33</v>
      </c>
    </row>
    <row r="2267" spans="3:6" x14ac:dyDescent="0.25">
      <c r="C2267" s="2" t="s">
        <v>17357</v>
      </c>
      <c r="D2267" s="2" t="s">
        <v>9</v>
      </c>
      <c r="E2267" s="2">
        <v>17</v>
      </c>
      <c r="F2267" s="2">
        <v>324.92</v>
      </c>
    </row>
    <row r="2268" spans="3:6" x14ac:dyDescent="0.25">
      <c r="C2268" s="2" t="s">
        <v>17358</v>
      </c>
      <c r="D2268" s="2" t="s">
        <v>9</v>
      </c>
      <c r="E2268" s="2">
        <v>88</v>
      </c>
      <c r="F2268" s="2">
        <v>1670.519</v>
      </c>
    </row>
    <row r="2269" spans="3:6" x14ac:dyDescent="0.25">
      <c r="C2269" s="2" t="s">
        <v>17359</v>
      </c>
      <c r="D2269" s="2" t="s">
        <v>9</v>
      </c>
      <c r="E2269" s="2">
        <v>141</v>
      </c>
      <c r="F2269" s="2">
        <v>2993.2</v>
      </c>
    </row>
    <row r="2270" spans="3:6" x14ac:dyDescent="0.25">
      <c r="C2270" s="2" t="s">
        <v>17360</v>
      </c>
      <c r="D2270" s="2" t="s">
        <v>9</v>
      </c>
      <c r="E2270" s="2">
        <v>106</v>
      </c>
      <c r="F2270" s="2">
        <v>2184.75</v>
      </c>
    </row>
    <row r="2271" spans="3:6" x14ac:dyDescent="0.25">
      <c r="C2271" s="2" t="s">
        <v>17361</v>
      </c>
      <c r="D2271" s="2" t="s">
        <v>9</v>
      </c>
      <c r="E2271" s="2">
        <v>35</v>
      </c>
      <c r="F2271" s="2">
        <v>730.05</v>
      </c>
    </row>
    <row r="2272" spans="3:6" x14ac:dyDescent="0.25">
      <c r="C2272" s="2" t="s">
        <v>17362</v>
      </c>
      <c r="D2272" s="2" t="s">
        <v>9</v>
      </c>
      <c r="E2272" s="2">
        <v>78</v>
      </c>
      <c r="F2272" s="2">
        <v>1662.26</v>
      </c>
    </row>
    <row r="2273" spans="3:6" x14ac:dyDescent="0.25">
      <c r="C2273" s="2" t="s">
        <v>17363</v>
      </c>
      <c r="D2273" s="2" t="s">
        <v>9</v>
      </c>
      <c r="E2273" s="2">
        <v>40</v>
      </c>
      <c r="F2273" s="2">
        <v>793.51</v>
      </c>
    </row>
    <row r="2274" spans="3:6" x14ac:dyDescent="0.25">
      <c r="C2274" s="2" t="s">
        <v>17364</v>
      </c>
      <c r="D2274" s="2" t="s">
        <v>9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120</v>
      </c>
      <c r="C2276" s="2" t="s">
        <v>17365</v>
      </c>
      <c r="D2276" s="2" t="s">
        <v>42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17366</v>
      </c>
      <c r="D2277" s="2" t="s">
        <v>42</v>
      </c>
      <c r="E2277" s="2">
        <v>102</v>
      </c>
      <c r="F2277" s="2">
        <v>2130.89</v>
      </c>
    </row>
    <row r="2278" spans="3:6" x14ac:dyDescent="0.25">
      <c r="C2278" s="2" t="s">
        <v>17367</v>
      </c>
      <c r="D2278" s="2" t="s">
        <v>42</v>
      </c>
      <c r="E2278" s="2">
        <v>143</v>
      </c>
      <c r="F2278" s="2">
        <v>2964.42</v>
      </c>
    </row>
    <row r="2279" spans="3:6" x14ac:dyDescent="0.25">
      <c r="C2279" s="2" t="s">
        <v>17368</v>
      </c>
      <c r="D2279" s="2" t="s">
        <v>42</v>
      </c>
      <c r="E2279" s="2">
        <v>143</v>
      </c>
      <c r="F2279" s="2">
        <v>3016.24</v>
      </c>
    </row>
    <row r="2280" spans="3:6" x14ac:dyDescent="0.25">
      <c r="C2280" s="2" t="s">
        <v>17369</v>
      </c>
      <c r="D2280" s="2" t="s">
        <v>42</v>
      </c>
      <c r="E2280" s="2">
        <v>48</v>
      </c>
      <c r="F2280" s="2">
        <v>970.4</v>
      </c>
    </row>
    <row r="2281" spans="3:6" x14ac:dyDescent="0.25">
      <c r="C2281" s="2" t="s">
        <v>17370</v>
      </c>
      <c r="D2281" s="2" t="s">
        <v>42</v>
      </c>
      <c r="E2281" s="2">
        <v>45</v>
      </c>
      <c r="F2281" s="2">
        <v>921.08</v>
      </c>
    </row>
    <row r="2282" spans="3:6" x14ac:dyDescent="0.25">
      <c r="C2282" s="2" t="s">
        <v>17371</v>
      </c>
      <c r="D2282" s="2" t="s">
        <v>42</v>
      </c>
      <c r="E2282" s="2">
        <v>36</v>
      </c>
      <c r="F2282" s="2">
        <v>783.9</v>
      </c>
    </row>
    <row r="2283" spans="3:6" x14ac:dyDescent="0.25">
      <c r="C2283" s="2" t="s">
        <v>17372</v>
      </c>
      <c r="D2283" s="2" t="s">
        <v>42</v>
      </c>
      <c r="E2283" s="2">
        <v>64</v>
      </c>
      <c r="F2283" s="2">
        <v>1313.669</v>
      </c>
    </row>
    <row r="2284" spans="3:6" x14ac:dyDescent="0.25">
      <c r="C2284" s="2" t="s">
        <v>17373</v>
      </c>
      <c r="D2284" s="2" t="s">
        <v>42</v>
      </c>
      <c r="E2284" s="2">
        <v>84</v>
      </c>
      <c r="F2284" s="2">
        <v>1794.22</v>
      </c>
    </row>
    <row r="2285" spans="3:6" x14ac:dyDescent="0.25">
      <c r="C2285" s="2" t="s">
        <v>17374</v>
      </c>
      <c r="D2285" s="2" t="s">
        <v>42</v>
      </c>
      <c r="E2285" s="2">
        <v>123</v>
      </c>
      <c r="F2285" s="2">
        <v>2507.97</v>
      </c>
    </row>
    <row r="2286" spans="3:6" x14ac:dyDescent="0.25">
      <c r="C2286" s="2" t="s">
        <v>17375</v>
      </c>
      <c r="D2286" s="2" t="s">
        <v>42</v>
      </c>
      <c r="E2286" s="2">
        <v>41</v>
      </c>
      <c r="F2286" s="2">
        <v>895.35</v>
      </c>
    </row>
    <row r="2287" spans="3:6" x14ac:dyDescent="0.25">
      <c r="C2287" s="2" t="s">
        <v>17376</v>
      </c>
      <c r="D2287" s="2" t="s">
        <v>42</v>
      </c>
      <c r="E2287" s="2">
        <v>60</v>
      </c>
      <c r="F2287" s="2">
        <v>451.584</v>
      </c>
    </row>
    <row r="2288" spans="3:6" x14ac:dyDescent="0.25">
      <c r="C2288" s="2" t="s">
        <v>17377</v>
      </c>
      <c r="D2288" s="2" t="s">
        <v>42</v>
      </c>
      <c r="E2288" s="2">
        <v>12</v>
      </c>
      <c r="F2288" s="2">
        <v>221.59</v>
      </c>
    </row>
    <row r="2289" spans="3:6" x14ac:dyDescent="0.25">
      <c r="C2289" s="2" t="s">
        <v>17378</v>
      </c>
      <c r="D2289" s="2" t="s">
        <v>42</v>
      </c>
      <c r="E2289" s="2">
        <v>84</v>
      </c>
      <c r="F2289" s="2">
        <v>1667.28</v>
      </c>
    </row>
    <row r="2290" spans="3:6" x14ac:dyDescent="0.25">
      <c r="C2290" s="2" t="s">
        <v>17379</v>
      </c>
      <c r="D2290" s="2" t="s">
        <v>42</v>
      </c>
      <c r="E2290" s="2">
        <v>40</v>
      </c>
      <c r="F2290" s="2">
        <v>798.38</v>
      </c>
    </row>
    <row r="2291" spans="3:6" x14ac:dyDescent="0.25">
      <c r="C2291" s="2" t="s">
        <v>17380</v>
      </c>
      <c r="D2291" s="2" t="s">
        <v>42</v>
      </c>
      <c r="E2291" s="2">
        <v>19</v>
      </c>
      <c r="F2291" s="2">
        <v>400.12</v>
      </c>
    </row>
    <row r="2292" spans="3:6" x14ac:dyDescent="0.25">
      <c r="C2292" s="2" t="s">
        <v>17381</v>
      </c>
      <c r="D2292" s="2" t="s">
        <v>42</v>
      </c>
      <c r="E2292" s="2">
        <v>59</v>
      </c>
      <c r="F2292" s="2">
        <v>1139.84</v>
      </c>
    </row>
    <row r="2293" spans="3:6" x14ac:dyDescent="0.25">
      <c r="C2293" s="2" t="s">
        <v>17382</v>
      </c>
      <c r="D2293" s="2" t="s">
        <v>42</v>
      </c>
      <c r="E2293" s="2">
        <v>23</v>
      </c>
      <c r="F2293" s="2">
        <v>452.963</v>
      </c>
    </row>
    <row r="2294" spans="3:6" x14ac:dyDescent="0.25">
      <c r="C2294" s="2" t="s">
        <v>17383</v>
      </c>
      <c r="D2294" s="2" t="s">
        <v>42</v>
      </c>
      <c r="E2294" s="2">
        <v>55</v>
      </c>
      <c r="F2294" s="2">
        <v>1171.379</v>
      </c>
    </row>
    <row r="2295" spans="3:6" x14ac:dyDescent="0.25">
      <c r="C2295" s="2" t="s">
        <v>17384</v>
      </c>
      <c r="D2295" s="2" t="s">
        <v>42</v>
      </c>
      <c r="E2295" s="2">
        <v>52</v>
      </c>
      <c r="F2295" s="2">
        <v>1060.13</v>
      </c>
    </row>
    <row r="2296" spans="3:6" x14ac:dyDescent="0.25">
      <c r="C2296" s="2" t="s">
        <v>17385</v>
      </c>
      <c r="D2296" s="2" t="s">
        <v>42</v>
      </c>
      <c r="E2296" s="2">
        <v>43</v>
      </c>
      <c r="F2296" s="2">
        <v>833.07</v>
      </c>
    </row>
    <row r="2297" spans="3:6" x14ac:dyDescent="0.25">
      <c r="C2297" s="2" t="s">
        <v>17386</v>
      </c>
      <c r="D2297" s="2" t="s">
        <v>42</v>
      </c>
      <c r="E2297" s="2">
        <v>9</v>
      </c>
      <c r="F2297" s="2">
        <v>153.52</v>
      </c>
    </row>
    <row r="2298" spans="3:6" x14ac:dyDescent="0.25">
      <c r="C2298" s="2" t="s">
        <v>17387</v>
      </c>
      <c r="D2298" s="2" t="s">
        <v>42</v>
      </c>
      <c r="E2298" s="2">
        <v>32</v>
      </c>
      <c r="F2298" s="2">
        <v>690.78</v>
      </c>
    </row>
    <row r="2299" spans="3:6" x14ac:dyDescent="0.25">
      <c r="C2299" s="2" t="s">
        <v>17388</v>
      </c>
      <c r="D2299" s="2" t="s">
        <v>42</v>
      </c>
      <c r="E2299" s="2">
        <v>8</v>
      </c>
      <c r="F2299" s="2">
        <v>129.75</v>
      </c>
    </row>
    <row r="2300" spans="3:6" x14ac:dyDescent="0.25">
      <c r="C2300" s="2" t="s">
        <v>17389</v>
      </c>
      <c r="D2300" s="2" t="s">
        <v>42</v>
      </c>
      <c r="E2300" s="2">
        <v>92</v>
      </c>
      <c r="F2300" s="2">
        <v>1820.7</v>
      </c>
    </row>
    <row r="2301" spans="3:6" x14ac:dyDescent="0.25">
      <c r="C2301" s="2" t="s">
        <v>17390</v>
      </c>
      <c r="D2301" s="2" t="s">
        <v>42</v>
      </c>
      <c r="E2301" s="2">
        <v>141</v>
      </c>
      <c r="F2301" s="2">
        <v>3047.68</v>
      </c>
    </row>
    <row r="2302" spans="3:6" x14ac:dyDescent="0.25">
      <c r="C2302" s="2" t="s">
        <v>17391</v>
      </c>
      <c r="D2302" s="2" t="s">
        <v>42</v>
      </c>
      <c r="E2302" s="2">
        <v>133</v>
      </c>
      <c r="F2302" s="2">
        <v>2125.489</v>
      </c>
    </row>
    <row r="2303" spans="3:6" x14ac:dyDescent="0.25">
      <c r="C2303" s="2" t="s">
        <v>17392</v>
      </c>
      <c r="D2303" s="2" t="s">
        <v>42</v>
      </c>
      <c r="E2303" s="2">
        <v>10</v>
      </c>
      <c r="F2303" s="2">
        <v>198.24</v>
      </c>
    </row>
    <row r="2304" spans="3:6" x14ac:dyDescent="0.25">
      <c r="C2304" s="2" t="s">
        <v>17393</v>
      </c>
      <c r="D2304" s="2" t="s">
        <v>42</v>
      </c>
      <c r="E2304" s="2">
        <v>65</v>
      </c>
      <c r="F2304" s="2">
        <v>1298.86</v>
      </c>
    </row>
    <row r="2305" spans="3:6" x14ac:dyDescent="0.25">
      <c r="C2305" s="2" t="s">
        <v>17394</v>
      </c>
      <c r="D2305" s="2" t="s">
        <v>42</v>
      </c>
      <c r="E2305" s="2">
        <v>22</v>
      </c>
      <c r="F2305" s="2">
        <v>457.84</v>
      </c>
    </row>
    <row r="2306" spans="3:6" x14ac:dyDescent="0.25">
      <c r="C2306" s="2" t="s">
        <v>17395</v>
      </c>
      <c r="D2306" s="2" t="s">
        <v>42</v>
      </c>
      <c r="E2306" s="2">
        <v>52</v>
      </c>
      <c r="F2306" s="2">
        <v>938.41</v>
      </c>
    </row>
    <row r="2307" spans="3:6" x14ac:dyDescent="0.25">
      <c r="C2307" s="2" t="s">
        <v>17396</v>
      </c>
      <c r="D2307" s="2" t="s">
        <v>42</v>
      </c>
      <c r="E2307" s="2">
        <v>7</v>
      </c>
      <c r="F2307" s="2">
        <v>109.492</v>
      </c>
    </row>
    <row r="2308" spans="3:6" x14ac:dyDescent="0.25">
      <c r="C2308" s="2" t="s">
        <v>17397</v>
      </c>
      <c r="D2308" s="2" t="s">
        <v>42</v>
      </c>
      <c r="E2308" s="2">
        <v>100</v>
      </c>
      <c r="F2308" s="2">
        <v>2097.3</v>
      </c>
    </row>
    <row r="2309" spans="3:6" x14ac:dyDescent="0.25">
      <c r="C2309" s="2" t="s">
        <v>17398</v>
      </c>
      <c r="D2309" s="2" t="s">
        <v>42</v>
      </c>
      <c r="E2309" s="2">
        <v>131</v>
      </c>
      <c r="F2309" s="2">
        <v>2671.9</v>
      </c>
    </row>
    <row r="2310" spans="3:6" x14ac:dyDescent="0.25">
      <c r="C2310" s="2" t="s">
        <v>17399</v>
      </c>
      <c r="D2310" s="2" t="s">
        <v>42</v>
      </c>
      <c r="E2310" s="2">
        <v>26</v>
      </c>
      <c r="F2310" s="2">
        <v>510.36</v>
      </c>
    </row>
    <row r="2311" spans="3:6" x14ac:dyDescent="0.25">
      <c r="C2311" s="2" t="s">
        <v>17400</v>
      </c>
      <c r="D2311" s="2" t="s">
        <v>42</v>
      </c>
      <c r="E2311" s="2">
        <v>60</v>
      </c>
      <c r="F2311" s="2">
        <v>314.1</v>
      </c>
    </row>
    <row r="2312" spans="3:6" x14ac:dyDescent="0.25">
      <c r="C2312" s="2" t="s">
        <v>17401</v>
      </c>
      <c r="D2312" s="2" t="s">
        <v>42</v>
      </c>
      <c r="E2312" s="2">
        <v>47</v>
      </c>
      <c r="F2312" s="2">
        <v>949.25</v>
      </c>
    </row>
    <row r="2313" spans="3:6" x14ac:dyDescent="0.25">
      <c r="C2313" s="2" t="s">
        <v>17402</v>
      </c>
      <c r="D2313" s="2" t="s">
        <v>42</v>
      </c>
      <c r="E2313" s="2">
        <v>52</v>
      </c>
      <c r="F2313" s="2">
        <v>1038.587</v>
      </c>
    </row>
    <row r="2314" spans="3:6" x14ac:dyDescent="0.25">
      <c r="C2314" s="2" t="s">
        <v>17403</v>
      </c>
      <c r="D2314" s="2" t="s">
        <v>42</v>
      </c>
      <c r="E2314" s="2">
        <v>94</v>
      </c>
      <c r="F2314" s="2">
        <v>1859.49</v>
      </c>
    </row>
    <row r="2315" spans="3:6" x14ac:dyDescent="0.25">
      <c r="C2315" s="2" t="s">
        <v>17404</v>
      </c>
      <c r="D2315" s="2" t="s">
        <v>42</v>
      </c>
      <c r="E2315" s="2">
        <v>89</v>
      </c>
      <c r="F2315" s="2">
        <v>1803.15</v>
      </c>
    </row>
    <row r="2316" spans="3:6" x14ac:dyDescent="0.25">
      <c r="C2316" s="2" t="s">
        <v>17405</v>
      </c>
      <c r="D2316" s="2" t="s">
        <v>42</v>
      </c>
      <c r="E2316" s="2">
        <v>20</v>
      </c>
      <c r="F2316" s="2">
        <v>106.53</v>
      </c>
    </row>
    <row r="2317" spans="3:6" x14ac:dyDescent="0.25">
      <c r="C2317" s="2" t="s">
        <v>17406</v>
      </c>
      <c r="D2317" s="2" t="s">
        <v>42</v>
      </c>
      <c r="E2317" s="2">
        <v>123</v>
      </c>
      <c r="F2317" s="2">
        <v>2682.41</v>
      </c>
    </row>
    <row r="2318" spans="3:6" x14ac:dyDescent="0.25">
      <c r="C2318" s="2" t="s">
        <v>17407</v>
      </c>
      <c r="D2318" s="2" t="s">
        <v>42</v>
      </c>
      <c r="E2318" s="2">
        <v>24</v>
      </c>
      <c r="F2318" s="2">
        <v>459.37</v>
      </c>
    </row>
    <row r="2319" spans="3:6" x14ac:dyDescent="0.25">
      <c r="C2319" s="2" t="s">
        <v>17408</v>
      </c>
      <c r="D2319" s="2" t="s">
        <v>42</v>
      </c>
      <c r="E2319" s="2">
        <v>75</v>
      </c>
      <c r="F2319" s="2">
        <v>408.23</v>
      </c>
    </row>
    <row r="2320" spans="3:6" x14ac:dyDescent="0.25">
      <c r="C2320" s="2" t="s">
        <v>17409</v>
      </c>
      <c r="D2320" s="2" t="s">
        <v>42</v>
      </c>
      <c r="E2320" s="2">
        <v>117</v>
      </c>
      <c r="F2320" s="2">
        <v>2290.62</v>
      </c>
    </row>
    <row r="2321" spans="3:6" x14ac:dyDescent="0.25">
      <c r="C2321" s="2" t="s">
        <v>17410</v>
      </c>
      <c r="D2321" s="2" t="s">
        <v>42</v>
      </c>
      <c r="E2321" s="2">
        <v>141</v>
      </c>
      <c r="F2321" s="2">
        <v>2913.19</v>
      </c>
    </row>
    <row r="2322" spans="3:6" x14ac:dyDescent="0.25">
      <c r="C2322" s="2" t="s">
        <v>17411</v>
      </c>
      <c r="D2322" s="2" t="s">
        <v>42</v>
      </c>
      <c r="E2322" s="2">
        <v>141</v>
      </c>
      <c r="F2322" s="2">
        <v>2877.74</v>
      </c>
    </row>
    <row r="2323" spans="3:6" x14ac:dyDescent="0.25">
      <c r="C2323" s="2" t="s">
        <v>17412</v>
      </c>
      <c r="D2323" s="2" t="s">
        <v>42</v>
      </c>
      <c r="E2323" s="2">
        <v>123</v>
      </c>
      <c r="F2323" s="2">
        <v>2700.77</v>
      </c>
    </row>
    <row r="2324" spans="3:6" x14ac:dyDescent="0.25">
      <c r="C2324" s="2" t="s">
        <v>17413</v>
      </c>
      <c r="D2324" s="2" t="s">
        <v>42</v>
      </c>
      <c r="E2324" s="2">
        <v>141</v>
      </c>
      <c r="F2324" s="2">
        <v>2786.51</v>
      </c>
    </row>
    <row r="2325" spans="3:6" x14ac:dyDescent="0.25">
      <c r="C2325" s="2" t="s">
        <v>17414</v>
      </c>
      <c r="D2325" s="2" t="s">
        <v>42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17415</v>
      </c>
      <c r="C2327" s="2" t="s">
        <v>17416</v>
      </c>
      <c r="D2327" s="2" t="s">
        <v>122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17417</v>
      </c>
      <c r="D2328" s="2" t="s">
        <v>122</v>
      </c>
      <c r="E2328" s="2">
        <v>143</v>
      </c>
      <c r="F2328" s="2">
        <v>3010.45</v>
      </c>
    </row>
    <row r="2329" spans="3:6" x14ac:dyDescent="0.25">
      <c r="C2329" s="2" t="s">
        <v>17418</v>
      </c>
      <c r="D2329" s="2" t="s">
        <v>122</v>
      </c>
      <c r="E2329" s="2">
        <v>144</v>
      </c>
      <c r="F2329" s="2">
        <v>3006.45</v>
      </c>
    </row>
    <row r="2330" spans="3:6" x14ac:dyDescent="0.25">
      <c r="C2330" s="2" t="s">
        <v>17419</v>
      </c>
      <c r="D2330" s="2" t="s">
        <v>122</v>
      </c>
      <c r="E2330" s="2">
        <v>143</v>
      </c>
      <c r="F2330" s="2">
        <v>3039.08</v>
      </c>
    </row>
    <row r="2331" spans="3:6" x14ac:dyDescent="0.25">
      <c r="C2331" s="2" t="s">
        <v>17420</v>
      </c>
      <c r="D2331" s="2" t="s">
        <v>122</v>
      </c>
      <c r="E2331" s="2">
        <v>94</v>
      </c>
      <c r="F2331" s="2">
        <v>1956.24</v>
      </c>
    </row>
    <row r="2332" spans="3:6" x14ac:dyDescent="0.25">
      <c r="C2332" s="2" t="s">
        <v>17421</v>
      </c>
      <c r="D2332" s="2" t="s">
        <v>122</v>
      </c>
      <c r="E2332" s="2">
        <v>49</v>
      </c>
      <c r="F2332" s="2">
        <v>996.37</v>
      </c>
    </row>
    <row r="2333" spans="3:6" x14ac:dyDescent="0.25">
      <c r="C2333" s="2" t="s">
        <v>17422</v>
      </c>
      <c r="D2333" s="2" t="s">
        <v>122</v>
      </c>
      <c r="E2333" s="2">
        <v>102</v>
      </c>
      <c r="F2333" s="2">
        <v>2144.92</v>
      </c>
    </row>
    <row r="2334" spans="3:6" x14ac:dyDescent="0.25">
      <c r="C2334" s="2" t="s">
        <v>17423</v>
      </c>
      <c r="D2334" s="2" t="s">
        <v>122</v>
      </c>
      <c r="E2334" s="2">
        <v>76</v>
      </c>
      <c r="F2334" s="2">
        <v>2407.149</v>
      </c>
    </row>
    <row r="2335" spans="3:6" x14ac:dyDescent="0.25">
      <c r="C2335" s="2" t="s">
        <v>17424</v>
      </c>
      <c r="D2335" s="2" t="s">
        <v>122</v>
      </c>
      <c r="E2335" s="2">
        <v>110</v>
      </c>
      <c r="F2335" s="2">
        <v>1234.335</v>
      </c>
    </row>
    <row r="2336" spans="3:6" x14ac:dyDescent="0.25">
      <c r="C2336" s="2" t="s">
        <v>17425</v>
      </c>
      <c r="D2336" s="2" t="s">
        <v>122</v>
      </c>
      <c r="E2336" s="2">
        <v>84</v>
      </c>
      <c r="F2336" s="2">
        <v>1773.99</v>
      </c>
    </row>
    <row r="2337" spans="3:6" x14ac:dyDescent="0.25">
      <c r="C2337" s="2" t="s">
        <v>17426</v>
      </c>
      <c r="D2337" s="2" t="s">
        <v>122</v>
      </c>
      <c r="E2337" s="2">
        <v>59</v>
      </c>
      <c r="F2337" s="2">
        <v>1262.72</v>
      </c>
    </row>
    <row r="2338" spans="3:6" x14ac:dyDescent="0.25">
      <c r="C2338" s="2" t="s">
        <v>17427</v>
      </c>
      <c r="D2338" s="2" t="s">
        <v>122</v>
      </c>
      <c r="E2338" s="2">
        <v>98</v>
      </c>
      <c r="F2338" s="2">
        <v>2021.29</v>
      </c>
    </row>
    <row r="2339" spans="3:6" x14ac:dyDescent="0.25">
      <c r="C2339" s="2" t="s">
        <v>17428</v>
      </c>
      <c r="D2339" s="2" t="s">
        <v>122</v>
      </c>
      <c r="E2339" s="2">
        <v>13</v>
      </c>
      <c r="F2339" s="2">
        <v>272.99</v>
      </c>
    </row>
    <row r="2340" spans="3:6" x14ac:dyDescent="0.25">
      <c r="C2340" s="2" t="s">
        <v>17429</v>
      </c>
      <c r="D2340" s="2" t="s">
        <v>122</v>
      </c>
      <c r="E2340" s="2">
        <v>34</v>
      </c>
      <c r="F2340" s="2">
        <f>525.17+40.75</f>
        <v>565.92</v>
      </c>
    </row>
    <row r="2341" spans="3:6" x14ac:dyDescent="0.25">
      <c r="C2341" s="2" t="s">
        <v>17430</v>
      </c>
      <c r="D2341" s="2" t="s">
        <v>122</v>
      </c>
      <c r="E2341" s="2">
        <v>123</v>
      </c>
      <c r="F2341" s="2">
        <v>1126.521</v>
      </c>
    </row>
    <row r="2342" spans="3:6" x14ac:dyDescent="0.25">
      <c r="C2342" s="2" t="s">
        <v>17431</v>
      </c>
      <c r="D2342" s="2" t="s">
        <v>122</v>
      </c>
      <c r="E2342" s="2">
        <v>123</v>
      </c>
      <c r="F2342" s="2">
        <v>1454.793</v>
      </c>
    </row>
    <row r="2343" spans="3:6" x14ac:dyDescent="0.25">
      <c r="C2343" s="2" t="s">
        <v>17432</v>
      </c>
      <c r="D2343" s="2" t="s">
        <v>122</v>
      </c>
      <c r="E2343" s="2">
        <v>90</v>
      </c>
      <c r="F2343" s="2">
        <v>1943.64</v>
      </c>
    </row>
    <row r="2344" spans="3:6" x14ac:dyDescent="0.25">
      <c r="C2344" s="2" t="s">
        <v>17433</v>
      </c>
      <c r="D2344" s="2" t="s">
        <v>122</v>
      </c>
      <c r="E2344" s="2">
        <v>33</v>
      </c>
      <c r="F2344" s="2">
        <v>664.7</v>
      </c>
    </row>
    <row r="2345" spans="3:6" x14ac:dyDescent="0.25">
      <c r="C2345" s="2" t="s">
        <v>17434</v>
      </c>
      <c r="D2345" s="2" t="s">
        <v>122</v>
      </c>
      <c r="E2345" s="2">
        <v>73</v>
      </c>
      <c r="F2345" s="2">
        <v>1512.78</v>
      </c>
    </row>
    <row r="2346" spans="3:6" x14ac:dyDescent="0.25">
      <c r="C2346" s="2" t="s">
        <v>17435</v>
      </c>
      <c r="D2346" s="2" t="s">
        <v>122</v>
      </c>
      <c r="E2346" s="2">
        <v>50</v>
      </c>
      <c r="F2346" s="2">
        <v>1061.52</v>
      </c>
    </row>
    <row r="2347" spans="3:6" x14ac:dyDescent="0.25">
      <c r="C2347" s="2" t="s">
        <v>17436</v>
      </c>
      <c r="D2347" s="2" t="s">
        <v>122</v>
      </c>
      <c r="E2347" s="2">
        <v>22</v>
      </c>
      <c r="F2347" s="2">
        <v>485.22</v>
      </c>
    </row>
    <row r="2348" spans="3:6" x14ac:dyDescent="0.25">
      <c r="C2348" s="2" t="s">
        <v>17437</v>
      </c>
      <c r="D2348" s="2" t="s">
        <v>122</v>
      </c>
      <c r="E2348" s="2">
        <v>19</v>
      </c>
      <c r="F2348" s="2">
        <v>388.95</v>
      </c>
    </row>
    <row r="2349" spans="3:6" x14ac:dyDescent="0.25">
      <c r="C2349" s="2" t="s">
        <v>17438</v>
      </c>
      <c r="D2349" s="2" t="s">
        <v>122</v>
      </c>
      <c r="E2349" s="2">
        <v>16</v>
      </c>
      <c r="F2349" s="2">
        <v>334.57</v>
      </c>
    </row>
    <row r="2350" spans="3:6" x14ac:dyDescent="0.25">
      <c r="C2350" s="2" t="s">
        <v>17439</v>
      </c>
      <c r="D2350" s="2" t="s">
        <v>122</v>
      </c>
      <c r="E2350" s="2">
        <v>61</v>
      </c>
      <c r="F2350" s="2">
        <v>1297.15</v>
      </c>
    </row>
    <row r="2351" spans="3:6" x14ac:dyDescent="0.25">
      <c r="C2351" s="2" t="s">
        <v>17440</v>
      </c>
      <c r="D2351" s="2" t="s">
        <v>122</v>
      </c>
      <c r="E2351" s="2">
        <v>16</v>
      </c>
      <c r="F2351" s="2">
        <v>339.76</v>
      </c>
    </row>
    <row r="2352" spans="3:6" x14ac:dyDescent="0.25">
      <c r="C2352" s="2" t="s">
        <v>17441</v>
      </c>
      <c r="D2352" s="2" t="s">
        <v>122</v>
      </c>
      <c r="E2352" s="2">
        <v>43</v>
      </c>
      <c r="F2352" s="2">
        <v>794.4067796610169</v>
      </c>
    </row>
    <row r="2353" spans="3:6" x14ac:dyDescent="0.25">
      <c r="C2353" s="2" t="s">
        <v>17442</v>
      </c>
      <c r="D2353" s="2" t="s">
        <v>122</v>
      </c>
      <c r="E2353" s="2">
        <v>144</v>
      </c>
      <c r="F2353" s="2">
        <v>2941.56</v>
      </c>
    </row>
    <row r="2354" spans="3:6" x14ac:dyDescent="0.25">
      <c r="C2354" s="2" t="s">
        <v>17443</v>
      </c>
      <c r="D2354" s="2" t="s">
        <v>122</v>
      </c>
      <c r="E2354" s="2">
        <v>143</v>
      </c>
      <c r="F2354" s="2">
        <v>2938.42</v>
      </c>
    </row>
    <row r="2355" spans="3:6" x14ac:dyDescent="0.25">
      <c r="C2355" s="2" t="s">
        <v>17444</v>
      </c>
      <c r="D2355" s="2" t="s">
        <v>122</v>
      </c>
      <c r="E2355" s="2">
        <v>143</v>
      </c>
      <c r="F2355" s="2">
        <v>2958</v>
      </c>
    </row>
    <row r="2356" spans="3:6" x14ac:dyDescent="0.25">
      <c r="C2356" s="2" t="s">
        <v>17445</v>
      </c>
      <c r="D2356" s="2" t="s">
        <v>122</v>
      </c>
      <c r="E2356" s="2">
        <v>102</v>
      </c>
      <c r="F2356" s="2">
        <v>2153.1</v>
      </c>
    </row>
    <row r="2357" spans="3:6" x14ac:dyDescent="0.25">
      <c r="C2357" s="2" t="s">
        <v>17446</v>
      </c>
      <c r="D2357" s="2" t="s">
        <v>122</v>
      </c>
      <c r="E2357" s="2">
        <v>102</v>
      </c>
      <c r="F2357" s="2">
        <v>2137.59</v>
      </c>
    </row>
    <row r="2358" spans="3:6" x14ac:dyDescent="0.25">
      <c r="C2358" s="2" t="s">
        <v>17447</v>
      </c>
      <c r="D2358" s="2" t="s">
        <v>122</v>
      </c>
      <c r="E2358" s="2">
        <v>102</v>
      </c>
      <c r="F2358" s="2">
        <v>2082.35</v>
      </c>
    </row>
    <row r="2359" spans="3:6" x14ac:dyDescent="0.25">
      <c r="C2359" s="2" t="s">
        <v>17448</v>
      </c>
      <c r="D2359" s="2" t="s">
        <v>122</v>
      </c>
      <c r="E2359" s="2">
        <v>90</v>
      </c>
      <c r="F2359" s="2">
        <v>1825.29</v>
      </c>
    </row>
    <row r="2360" spans="3:6" x14ac:dyDescent="0.25">
      <c r="C2360" s="2" t="s">
        <v>17449</v>
      </c>
      <c r="D2360" s="2" t="s">
        <v>122</v>
      </c>
      <c r="E2360" s="2">
        <v>53</v>
      </c>
      <c r="F2360" s="2">
        <v>1109.289</v>
      </c>
    </row>
    <row r="2361" spans="3:6" x14ac:dyDescent="0.25">
      <c r="C2361" s="2" t="s">
        <v>17450</v>
      </c>
      <c r="D2361" s="2" t="s">
        <v>122</v>
      </c>
      <c r="E2361" s="2">
        <v>102</v>
      </c>
      <c r="F2361" s="2">
        <v>2104.03</v>
      </c>
    </row>
    <row r="2362" spans="3:6" x14ac:dyDescent="0.25">
      <c r="C2362" s="2" t="s">
        <v>17451</v>
      </c>
      <c r="D2362" s="2" t="s">
        <v>122</v>
      </c>
      <c r="E2362" s="2">
        <v>71</v>
      </c>
      <c r="F2362" s="2">
        <v>1399.7</v>
      </c>
    </row>
    <row r="2363" spans="3:6" x14ac:dyDescent="0.25">
      <c r="C2363" s="2" t="s">
        <v>17452</v>
      </c>
      <c r="D2363" s="2" t="s">
        <v>122</v>
      </c>
      <c r="E2363" s="2">
        <v>73</v>
      </c>
      <c r="F2363" s="2">
        <v>1395.828</v>
      </c>
    </row>
    <row r="2364" spans="3:6" x14ac:dyDescent="0.25">
      <c r="C2364" s="2" t="s">
        <v>17453</v>
      </c>
      <c r="D2364" s="2" t="s">
        <v>122</v>
      </c>
      <c r="E2364" s="2">
        <v>26</v>
      </c>
      <c r="F2364" s="2">
        <v>562.57</v>
      </c>
    </row>
    <row r="2365" spans="3:6" x14ac:dyDescent="0.25">
      <c r="C2365" s="2" t="s">
        <v>17454</v>
      </c>
      <c r="D2365" s="2" t="s">
        <v>122</v>
      </c>
      <c r="E2365" s="2">
        <v>32</v>
      </c>
      <c r="F2365" s="2">
        <v>688.45</v>
      </c>
    </row>
    <row r="2366" spans="3:6" x14ac:dyDescent="0.25">
      <c r="C2366" s="2" t="s">
        <v>17455</v>
      </c>
      <c r="D2366" s="2" t="s">
        <v>122</v>
      </c>
      <c r="E2366" s="2">
        <v>85</v>
      </c>
      <c r="F2366" s="2">
        <v>1773.87</v>
      </c>
    </row>
    <row r="2367" spans="3:6" x14ac:dyDescent="0.25">
      <c r="C2367" s="2" t="s">
        <v>17456</v>
      </c>
      <c r="D2367" s="2" t="s">
        <v>122</v>
      </c>
      <c r="E2367" s="2">
        <v>62</v>
      </c>
      <c r="F2367" s="2">
        <v>1292.98</v>
      </c>
    </row>
    <row r="2368" spans="3:6" x14ac:dyDescent="0.25">
      <c r="C2368" s="2" t="s">
        <v>17457</v>
      </c>
      <c r="D2368" s="2" t="s">
        <v>122</v>
      </c>
      <c r="E2368" s="2">
        <v>40</v>
      </c>
      <c r="F2368" s="2">
        <v>810.28</v>
      </c>
    </row>
    <row r="2369" spans="3:6" x14ac:dyDescent="0.25">
      <c r="C2369" s="2" t="s">
        <v>17458</v>
      </c>
      <c r="D2369" s="2" t="s">
        <v>122</v>
      </c>
      <c r="E2369" s="2">
        <v>73</v>
      </c>
      <c r="F2369" s="2">
        <v>1514.47</v>
      </c>
    </row>
    <row r="2370" spans="3:6" x14ac:dyDescent="0.25">
      <c r="C2370" s="2" t="s">
        <v>17459</v>
      </c>
      <c r="D2370" s="2" t="s">
        <v>122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10</v>
      </c>
      <c r="C2372" s="2" t="s">
        <v>17460</v>
      </c>
      <c r="D2372" s="2" t="s">
        <v>12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17461</v>
      </c>
      <c r="D2373" s="2" t="s">
        <v>12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12462</v>
      </c>
      <c r="C2375" s="2" t="s">
        <v>17462</v>
      </c>
      <c r="D2375" s="2" t="s">
        <v>20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17463</v>
      </c>
      <c r="D2376" s="2" t="s">
        <v>20</v>
      </c>
      <c r="E2376" s="2">
        <v>173</v>
      </c>
      <c r="F2376" s="2">
        <v>3621.196</v>
      </c>
    </row>
    <row r="2377" spans="3:6" x14ac:dyDescent="0.25">
      <c r="C2377" s="2" t="s">
        <v>17464</v>
      </c>
      <c r="D2377" s="2" t="s">
        <v>20</v>
      </c>
      <c r="E2377" s="2">
        <v>251</v>
      </c>
      <c r="F2377" s="2">
        <v>4849.7</v>
      </c>
    </row>
    <row r="2378" spans="3:6" x14ac:dyDescent="0.25">
      <c r="C2378" s="2" t="s">
        <v>17465</v>
      </c>
      <c r="D2378" s="2" t="s">
        <v>20</v>
      </c>
      <c r="E2378" s="2">
        <v>102</v>
      </c>
      <c r="F2378" s="2">
        <v>1952.339</v>
      </c>
    </row>
    <row r="2379" spans="3:6" x14ac:dyDescent="0.25">
      <c r="C2379" s="2" t="s">
        <v>17466</v>
      </c>
      <c r="D2379" s="2" t="s">
        <v>20</v>
      </c>
      <c r="E2379" s="2">
        <v>298</v>
      </c>
      <c r="F2379" s="2">
        <v>5373.319</v>
      </c>
    </row>
    <row r="2380" spans="3:6" x14ac:dyDescent="0.25">
      <c r="C2380" s="2" t="s">
        <v>17467</v>
      </c>
      <c r="D2380" s="2" t="s">
        <v>20</v>
      </c>
      <c r="E2380" s="2">
        <v>298</v>
      </c>
      <c r="F2380" s="2">
        <v>5612.057</v>
      </c>
    </row>
    <row r="2381" spans="3:6" x14ac:dyDescent="0.25">
      <c r="C2381" s="2" t="s">
        <v>17468</v>
      </c>
      <c r="D2381" s="2" t="s">
        <v>20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335</v>
      </c>
      <c r="C2383" s="2" t="s">
        <v>17469</v>
      </c>
      <c r="D2383" s="2" t="s">
        <v>20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17470</v>
      </c>
      <c r="D2384" s="2" t="s">
        <v>20</v>
      </c>
      <c r="E2384" s="2">
        <v>149</v>
      </c>
      <c r="F2384" s="2">
        <v>3059.67</v>
      </c>
    </row>
    <row r="2385" spans="3:6" x14ac:dyDescent="0.25">
      <c r="C2385" s="2" t="s">
        <v>17471</v>
      </c>
      <c r="D2385" s="2" t="s">
        <v>20</v>
      </c>
      <c r="E2385" s="2">
        <v>149</v>
      </c>
      <c r="F2385" s="2">
        <v>2526.9</v>
      </c>
    </row>
    <row r="2386" spans="3:6" x14ac:dyDescent="0.25">
      <c r="C2386" s="2" t="s">
        <v>17472</v>
      </c>
      <c r="D2386" s="2" t="s">
        <v>20</v>
      </c>
      <c r="E2386" s="2">
        <v>149</v>
      </c>
      <c r="F2386" s="2">
        <v>2736.259</v>
      </c>
    </row>
    <row r="2387" spans="3:6" x14ac:dyDescent="0.25">
      <c r="C2387" s="2" t="s">
        <v>17473</v>
      </c>
      <c r="D2387" s="2" t="s">
        <v>20</v>
      </c>
      <c r="E2387" s="2">
        <v>149</v>
      </c>
      <c r="F2387" s="2">
        <v>2834.2</v>
      </c>
    </row>
    <row r="2388" spans="3:6" x14ac:dyDescent="0.25">
      <c r="C2388" s="2" t="s">
        <v>17474</v>
      </c>
      <c r="D2388" s="2" t="s">
        <v>20</v>
      </c>
      <c r="E2388" s="2">
        <v>149</v>
      </c>
      <c r="F2388" s="2">
        <v>3013.82</v>
      </c>
    </row>
    <row r="2389" spans="3:6" x14ac:dyDescent="0.25">
      <c r="C2389" s="2" t="s">
        <v>17475</v>
      </c>
      <c r="D2389" s="2" t="s">
        <v>20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206</v>
      </c>
      <c r="C2391" s="2" t="s">
        <v>17476</v>
      </c>
      <c r="D2391" s="2" t="s">
        <v>27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17477</v>
      </c>
      <c r="D2392" s="2" t="s">
        <v>27</v>
      </c>
      <c r="E2392" s="2">
        <v>54</v>
      </c>
      <c r="F2392" s="2">
        <v>1057.86</v>
      </c>
    </row>
    <row r="2393" spans="3:6" x14ac:dyDescent="0.25">
      <c r="C2393" s="2" t="s">
        <v>17478</v>
      </c>
      <c r="D2393" s="2" t="s">
        <v>27</v>
      </c>
      <c r="E2393" s="2">
        <v>42</v>
      </c>
      <c r="F2393" s="2">
        <v>771.77</v>
      </c>
    </row>
    <row r="2394" spans="3:6" x14ac:dyDescent="0.25">
      <c r="C2394" s="2" t="s">
        <v>17479</v>
      </c>
      <c r="D2394" s="2" t="s">
        <v>27</v>
      </c>
      <c r="E2394" s="2">
        <v>10</v>
      </c>
      <c r="F2394" s="2">
        <v>161.4</v>
      </c>
    </row>
    <row r="2395" spans="3:6" x14ac:dyDescent="0.25">
      <c r="C2395" s="2" t="s">
        <v>17480</v>
      </c>
      <c r="D2395" s="2" t="s">
        <v>27</v>
      </c>
      <c r="E2395" s="2">
        <v>61</v>
      </c>
      <c r="F2395" s="2">
        <v>1153.13</v>
      </c>
    </row>
    <row r="2396" spans="3:6" x14ac:dyDescent="0.25">
      <c r="C2396" s="2" t="s">
        <v>17481</v>
      </c>
      <c r="D2396" s="2" t="s">
        <v>27</v>
      </c>
      <c r="E2396" s="2">
        <v>24</v>
      </c>
      <c r="F2396" s="2">
        <v>428.59</v>
      </c>
    </row>
    <row r="2397" spans="3:6" x14ac:dyDescent="0.25">
      <c r="C2397" s="2" t="s">
        <v>17482</v>
      </c>
      <c r="D2397" s="2" t="s">
        <v>27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10</v>
      </c>
      <c r="C2399" s="2" t="s">
        <v>17483</v>
      </c>
      <c r="D2399" s="2" t="s">
        <v>12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17484</v>
      </c>
      <c r="D2400" s="2" t="s">
        <v>12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380</v>
      </c>
      <c r="C2402" s="2" t="s">
        <v>17485</v>
      </c>
      <c r="D2402" s="2" t="s">
        <v>20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17486</v>
      </c>
      <c r="D2403" s="2" t="s">
        <v>20</v>
      </c>
      <c r="E2403" s="2">
        <v>263</v>
      </c>
      <c r="F2403" s="2">
        <v>5809.891</v>
      </c>
    </row>
    <row r="2404" spans="3:6" x14ac:dyDescent="0.25">
      <c r="C2404" s="2" t="s">
        <v>17487</v>
      </c>
      <c r="D2404" s="2" t="s">
        <v>20</v>
      </c>
      <c r="E2404" s="2">
        <v>149</v>
      </c>
      <c r="F2404" s="2">
        <v>2778.019</v>
      </c>
    </row>
    <row r="2405" spans="3:6" x14ac:dyDescent="0.25">
      <c r="C2405" s="2" t="s">
        <v>17488</v>
      </c>
      <c r="D2405" s="2" t="s">
        <v>20</v>
      </c>
      <c r="E2405" s="2">
        <v>102</v>
      </c>
      <c r="F2405" s="2">
        <v>1988.34</v>
      </c>
    </row>
    <row r="2406" spans="3:6" x14ac:dyDescent="0.25">
      <c r="C2406" s="2" t="s">
        <v>17489</v>
      </c>
      <c r="D2406" s="2" t="s">
        <v>20</v>
      </c>
      <c r="E2406" s="2">
        <v>251</v>
      </c>
      <c r="F2406" s="2">
        <v>4553.588</v>
      </c>
    </row>
    <row r="2407" spans="3:6" x14ac:dyDescent="0.25">
      <c r="C2407" s="2" t="s">
        <v>17490</v>
      </c>
      <c r="D2407" s="2" t="s">
        <v>20</v>
      </c>
      <c r="E2407" s="2">
        <v>298</v>
      </c>
      <c r="F2407" s="2">
        <v>5596.808</v>
      </c>
    </row>
    <row r="2408" spans="3:6" x14ac:dyDescent="0.25">
      <c r="C2408" s="2" t="s">
        <v>17491</v>
      </c>
      <c r="D2408" s="2" t="s">
        <v>20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2097</v>
      </c>
      <c r="C2410" s="2" t="s">
        <v>17492</v>
      </c>
      <c r="D2410" s="2" t="s">
        <v>27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17493</v>
      </c>
      <c r="D2411" s="2" t="s">
        <v>27</v>
      </c>
      <c r="E2411" s="2">
        <v>40</v>
      </c>
      <c r="F2411" s="2">
        <v>803.07</v>
      </c>
    </row>
    <row r="2412" spans="3:6" x14ac:dyDescent="0.25">
      <c r="C2412" s="2" t="s">
        <v>17494</v>
      </c>
      <c r="D2412" s="2" t="s">
        <v>27</v>
      </c>
      <c r="E2412" s="2">
        <v>52</v>
      </c>
      <c r="F2412" s="2">
        <v>958.94</v>
      </c>
    </row>
    <row r="2413" spans="3:6" x14ac:dyDescent="0.25">
      <c r="C2413" s="2" t="s">
        <v>17495</v>
      </c>
      <c r="D2413" s="2" t="s">
        <v>27</v>
      </c>
      <c r="E2413" s="2">
        <v>34</v>
      </c>
      <c r="F2413" s="2">
        <v>598.5</v>
      </c>
    </row>
    <row r="2414" spans="3:6" x14ac:dyDescent="0.25">
      <c r="C2414" s="2" t="s">
        <v>17496</v>
      </c>
      <c r="D2414" s="2" t="s">
        <v>27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120</v>
      </c>
      <c r="C2416" s="2" t="s">
        <v>17497</v>
      </c>
      <c r="D2416" s="2" t="s">
        <v>122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17498</v>
      </c>
      <c r="D2417" s="2" t="s">
        <v>122</v>
      </c>
      <c r="E2417" s="2">
        <v>123</v>
      </c>
      <c r="F2417" s="2">
        <v>2606.75</v>
      </c>
    </row>
    <row r="2418" spans="3:6" x14ac:dyDescent="0.25">
      <c r="C2418" s="2" t="s">
        <v>17499</v>
      </c>
      <c r="D2418" s="2" t="s">
        <v>122</v>
      </c>
      <c r="E2418" s="2">
        <v>123</v>
      </c>
      <c r="F2418" s="2">
        <v>2428.935</v>
      </c>
    </row>
    <row r="2419" spans="3:6" x14ac:dyDescent="0.25">
      <c r="C2419" s="2" t="s">
        <v>17500</v>
      </c>
      <c r="D2419" s="2" t="s">
        <v>122</v>
      </c>
      <c r="E2419" s="2">
        <v>80</v>
      </c>
      <c r="F2419" s="2">
        <v>1498.929</v>
      </c>
    </row>
    <row r="2420" spans="3:6" x14ac:dyDescent="0.25">
      <c r="C2420" s="2" t="s">
        <v>17501</v>
      </c>
      <c r="D2420" s="2" t="s">
        <v>122</v>
      </c>
      <c r="E2420" s="2">
        <v>43</v>
      </c>
      <c r="F2420" s="2">
        <v>877.51</v>
      </c>
    </row>
    <row r="2421" spans="3:6" x14ac:dyDescent="0.25">
      <c r="C2421" s="2" t="s">
        <v>17502</v>
      </c>
      <c r="D2421" s="2" t="s">
        <v>122</v>
      </c>
      <c r="E2421" s="2">
        <v>134</v>
      </c>
      <c r="F2421" s="2">
        <v>2767.2</v>
      </c>
    </row>
    <row r="2422" spans="3:6" x14ac:dyDescent="0.25">
      <c r="C2422" s="2" t="s">
        <v>17503</v>
      </c>
      <c r="D2422" s="2" t="s">
        <v>122</v>
      </c>
      <c r="E2422" s="2">
        <v>230</v>
      </c>
      <c r="F2422" s="2">
        <v>990.619</v>
      </c>
    </row>
    <row r="2423" spans="3:6" x14ac:dyDescent="0.25">
      <c r="C2423" s="2" t="s">
        <v>17504</v>
      </c>
      <c r="D2423" s="2" t="s">
        <v>122</v>
      </c>
      <c r="E2423" s="2">
        <v>75</v>
      </c>
      <c r="F2423" s="2">
        <v>1410.76</v>
      </c>
    </row>
    <row r="2424" spans="3:6" x14ac:dyDescent="0.25">
      <c r="C2424" s="2" t="s">
        <v>17505</v>
      </c>
      <c r="D2424" s="2" t="s">
        <v>122</v>
      </c>
      <c r="E2424" s="2">
        <v>130</v>
      </c>
      <c r="F2424" s="2">
        <v>2722.05</v>
      </c>
    </row>
    <row r="2425" spans="3:6" x14ac:dyDescent="0.25">
      <c r="C2425" s="2" t="s">
        <v>17506</v>
      </c>
      <c r="D2425" s="2" t="s">
        <v>122</v>
      </c>
      <c r="E2425" s="2">
        <v>11</v>
      </c>
      <c r="F2425" s="2">
        <v>231.81</v>
      </c>
    </row>
    <row r="2426" spans="3:6" x14ac:dyDescent="0.25">
      <c r="C2426" s="2" t="s">
        <v>17507</v>
      </c>
      <c r="D2426" s="2" t="s">
        <v>122</v>
      </c>
      <c r="E2426" s="2">
        <v>77</v>
      </c>
      <c r="F2426" s="2">
        <v>1572.58</v>
      </c>
    </row>
    <row r="2427" spans="3:6" x14ac:dyDescent="0.25">
      <c r="C2427" s="2" t="s">
        <v>17508</v>
      </c>
      <c r="D2427" s="2" t="s">
        <v>122</v>
      </c>
      <c r="E2427" s="2">
        <v>5</v>
      </c>
      <c r="F2427" s="2">
        <v>87.79</v>
      </c>
    </row>
    <row r="2428" spans="3:6" x14ac:dyDescent="0.25">
      <c r="C2428" s="2" t="s">
        <v>17509</v>
      </c>
      <c r="D2428" s="2" t="s">
        <v>122</v>
      </c>
      <c r="E2428" s="2">
        <v>54</v>
      </c>
      <c r="F2428" s="2">
        <v>1109.07</v>
      </c>
    </row>
    <row r="2429" spans="3:6" x14ac:dyDescent="0.25">
      <c r="C2429" s="2" t="s">
        <v>17510</v>
      </c>
      <c r="D2429" s="2" t="s">
        <v>122</v>
      </c>
      <c r="E2429" s="2">
        <v>141</v>
      </c>
      <c r="F2429" s="2">
        <v>2882.379</v>
      </c>
    </row>
    <row r="2430" spans="3:6" x14ac:dyDescent="0.25">
      <c r="C2430" s="2" t="s">
        <v>17511</v>
      </c>
      <c r="D2430" s="2" t="s">
        <v>122</v>
      </c>
      <c r="E2430" s="2">
        <v>97</v>
      </c>
      <c r="F2430" s="2">
        <v>1973.66</v>
      </c>
    </row>
    <row r="2431" spans="3:6" x14ac:dyDescent="0.25">
      <c r="C2431" s="2" t="s">
        <v>17512</v>
      </c>
      <c r="D2431" s="2" t="s">
        <v>122</v>
      </c>
      <c r="E2431" s="2">
        <v>24</v>
      </c>
      <c r="F2431" s="2">
        <v>487.05</v>
      </c>
    </row>
    <row r="2432" spans="3:6" x14ac:dyDescent="0.25">
      <c r="C2432" s="2" t="s">
        <v>17513</v>
      </c>
      <c r="D2432" s="2" t="s">
        <v>122</v>
      </c>
      <c r="E2432" s="2">
        <v>20</v>
      </c>
      <c r="F2432" s="2">
        <v>395.71</v>
      </c>
    </row>
    <row r="2433" spans="3:6" x14ac:dyDescent="0.25">
      <c r="C2433" s="2" t="s">
        <v>17514</v>
      </c>
      <c r="D2433" s="2" t="s">
        <v>122</v>
      </c>
      <c r="E2433" s="2">
        <v>141</v>
      </c>
      <c r="F2433" s="2">
        <v>2831.04</v>
      </c>
    </row>
    <row r="2434" spans="3:6" x14ac:dyDescent="0.25">
      <c r="C2434" s="2" t="s">
        <v>17515</v>
      </c>
      <c r="D2434" s="2" t="s">
        <v>122</v>
      </c>
      <c r="E2434" s="2">
        <v>72</v>
      </c>
      <c r="F2434" s="2">
        <v>2101.601</v>
      </c>
    </row>
    <row r="2435" spans="3:6" x14ac:dyDescent="0.25">
      <c r="C2435" s="2" t="s">
        <v>17516</v>
      </c>
      <c r="D2435" s="2" t="s">
        <v>122</v>
      </c>
      <c r="E2435" s="2">
        <v>101</v>
      </c>
      <c r="F2435" s="2">
        <v>2228.848</v>
      </c>
    </row>
    <row r="2436" spans="3:6" x14ac:dyDescent="0.25">
      <c r="C2436" s="2" t="s">
        <v>17517</v>
      </c>
      <c r="D2436" s="2" t="s">
        <v>122</v>
      </c>
      <c r="E2436" s="2">
        <v>72</v>
      </c>
      <c r="F2436" s="2">
        <v>1820.051</v>
      </c>
    </row>
    <row r="2437" spans="3:6" x14ac:dyDescent="0.25">
      <c r="C2437" s="2" t="s">
        <v>17518</v>
      </c>
      <c r="D2437" s="2" t="s">
        <v>122</v>
      </c>
      <c r="E2437" s="2">
        <v>102</v>
      </c>
      <c r="F2437" s="2">
        <v>2049.999</v>
      </c>
    </row>
    <row r="2438" spans="3:6" x14ac:dyDescent="0.25">
      <c r="C2438" s="2" t="s">
        <v>17519</v>
      </c>
      <c r="D2438" s="2" t="s">
        <v>122</v>
      </c>
      <c r="E2438" s="2">
        <v>102</v>
      </c>
      <c r="F2438" s="2">
        <v>1899.19</v>
      </c>
    </row>
    <row r="2439" spans="3:6" x14ac:dyDescent="0.25">
      <c r="C2439" s="2" t="s">
        <v>17520</v>
      </c>
      <c r="D2439" s="2" t="s">
        <v>122</v>
      </c>
      <c r="E2439" s="2">
        <v>37</v>
      </c>
      <c r="F2439" s="2">
        <v>725.79</v>
      </c>
    </row>
    <row r="2440" spans="3:6" x14ac:dyDescent="0.25">
      <c r="C2440" s="2" t="s">
        <v>17521</v>
      </c>
      <c r="D2440" s="2" t="s">
        <v>122</v>
      </c>
      <c r="E2440" s="2">
        <v>19</v>
      </c>
      <c r="F2440" s="2">
        <v>359.45</v>
      </c>
    </row>
    <row r="2441" spans="3:6" x14ac:dyDescent="0.25">
      <c r="C2441" s="2" t="s">
        <v>17522</v>
      </c>
      <c r="D2441" s="2" t="s">
        <v>122</v>
      </c>
      <c r="E2441" s="2">
        <v>20</v>
      </c>
      <c r="F2441" s="2">
        <f>331.33+16.45</f>
        <v>347.78</v>
      </c>
    </row>
    <row r="2442" spans="3:6" x14ac:dyDescent="0.25">
      <c r="C2442" s="2" t="s">
        <v>17523</v>
      </c>
      <c r="D2442" s="2" t="s">
        <v>122</v>
      </c>
      <c r="E2442" s="2">
        <v>17</v>
      </c>
      <c r="F2442" s="2">
        <v>226.05</v>
      </c>
    </row>
    <row r="2443" spans="3:6" x14ac:dyDescent="0.25">
      <c r="C2443" s="2" t="s">
        <v>17524</v>
      </c>
      <c r="D2443" s="2" t="s">
        <v>122</v>
      </c>
      <c r="E2443" s="2">
        <v>13</v>
      </c>
      <c r="F2443" s="2">
        <v>146.88</v>
      </c>
    </row>
    <row r="2444" spans="3:6" x14ac:dyDescent="0.25">
      <c r="C2444" s="2" t="s">
        <v>17525</v>
      </c>
      <c r="D2444" s="2" t="s">
        <v>122</v>
      </c>
      <c r="E2444" s="2">
        <v>45</v>
      </c>
      <c r="F2444" s="2">
        <v>431.071</v>
      </c>
    </row>
    <row r="2445" spans="3:6" x14ac:dyDescent="0.25">
      <c r="C2445" s="2" t="s">
        <v>17526</v>
      </c>
      <c r="D2445" s="2" t="s">
        <v>122</v>
      </c>
      <c r="E2445" s="2">
        <v>42</v>
      </c>
      <c r="F2445" s="2">
        <v>824.45</v>
      </c>
    </row>
    <row r="2446" spans="3:6" x14ac:dyDescent="0.25">
      <c r="C2446" s="2" t="s">
        <v>17527</v>
      </c>
      <c r="D2446" s="2" t="s">
        <v>122</v>
      </c>
      <c r="E2446" s="2">
        <v>80</v>
      </c>
      <c r="F2446" s="2">
        <v>1590</v>
      </c>
    </row>
    <row r="2447" spans="3:6" x14ac:dyDescent="0.25">
      <c r="C2447" s="2" t="s">
        <v>17528</v>
      </c>
      <c r="D2447" s="2" t="s">
        <v>122</v>
      </c>
      <c r="E2447" s="2">
        <v>22</v>
      </c>
      <c r="F2447" s="2">
        <v>450.62</v>
      </c>
    </row>
    <row r="2448" spans="3:6" x14ac:dyDescent="0.25">
      <c r="C2448" s="2" t="s">
        <v>17529</v>
      </c>
      <c r="D2448" s="2" t="s">
        <v>122</v>
      </c>
      <c r="E2448" s="2">
        <v>35</v>
      </c>
      <c r="F2448" s="2">
        <v>708.44</v>
      </c>
    </row>
    <row r="2449" spans="3:6" x14ac:dyDescent="0.25">
      <c r="C2449" s="2" t="s">
        <v>17530</v>
      </c>
      <c r="D2449" s="2" t="s">
        <v>122</v>
      </c>
      <c r="E2449" s="2">
        <v>106</v>
      </c>
      <c r="F2449" s="2">
        <v>2201.88</v>
      </c>
    </row>
    <row r="2450" spans="3:6" x14ac:dyDescent="0.25">
      <c r="C2450" s="2" t="s">
        <v>17531</v>
      </c>
      <c r="D2450" s="2" t="s">
        <v>122</v>
      </c>
      <c r="E2450" s="2">
        <v>86</v>
      </c>
      <c r="F2450" s="2">
        <v>1817.8</v>
      </c>
    </row>
    <row r="2451" spans="3:6" x14ac:dyDescent="0.25">
      <c r="C2451" s="2" t="s">
        <v>17532</v>
      </c>
      <c r="D2451" s="2" t="s">
        <v>122</v>
      </c>
      <c r="E2451" s="2">
        <v>55</v>
      </c>
      <c r="F2451" s="2">
        <v>1118.01</v>
      </c>
    </row>
    <row r="2452" spans="3:6" x14ac:dyDescent="0.25">
      <c r="C2452" s="2" t="s">
        <v>17533</v>
      </c>
      <c r="D2452" s="2" t="s">
        <v>122</v>
      </c>
      <c r="E2452" s="2">
        <v>141</v>
      </c>
      <c r="F2452" s="2">
        <v>2898.19</v>
      </c>
    </row>
    <row r="2453" spans="3:6" x14ac:dyDescent="0.25">
      <c r="C2453" s="2" t="s">
        <v>17534</v>
      </c>
      <c r="D2453" s="2" t="s">
        <v>122</v>
      </c>
      <c r="E2453" s="2">
        <v>90</v>
      </c>
      <c r="F2453" s="2">
        <v>1876.08</v>
      </c>
    </row>
    <row r="2454" spans="3:6" x14ac:dyDescent="0.25">
      <c r="C2454" s="2" t="s">
        <v>17535</v>
      </c>
      <c r="D2454" s="2" t="s">
        <v>122</v>
      </c>
      <c r="E2454" s="2">
        <v>51</v>
      </c>
      <c r="F2454" s="2">
        <v>1078.94</v>
      </c>
    </row>
    <row r="2455" spans="3:6" x14ac:dyDescent="0.25">
      <c r="C2455" s="2" t="s">
        <v>17536</v>
      </c>
      <c r="D2455" s="2" t="s">
        <v>122</v>
      </c>
      <c r="E2455" s="2">
        <v>91</v>
      </c>
      <c r="F2455" s="2">
        <v>1855.39</v>
      </c>
    </row>
    <row r="2456" spans="3:6" x14ac:dyDescent="0.25">
      <c r="C2456" s="2" t="s">
        <v>17537</v>
      </c>
      <c r="D2456" s="2" t="s">
        <v>122</v>
      </c>
      <c r="E2456" s="2">
        <v>50</v>
      </c>
      <c r="F2456" s="2">
        <v>1070.62</v>
      </c>
    </row>
    <row r="2457" spans="3:6" x14ac:dyDescent="0.25">
      <c r="C2457" s="2" t="s">
        <v>17538</v>
      </c>
      <c r="D2457" s="2" t="s">
        <v>122</v>
      </c>
      <c r="E2457" s="2">
        <v>58</v>
      </c>
      <c r="F2457" s="2">
        <v>1208.49</v>
      </c>
    </row>
    <row r="2458" spans="3:6" x14ac:dyDescent="0.25">
      <c r="C2458" s="2" t="s">
        <v>17539</v>
      </c>
      <c r="D2458" s="2" t="s">
        <v>122</v>
      </c>
      <c r="E2458" s="2">
        <v>43</v>
      </c>
      <c r="F2458" s="2">
        <v>885.7</v>
      </c>
    </row>
    <row r="2459" spans="3:6" x14ac:dyDescent="0.25">
      <c r="C2459" s="2" t="s">
        <v>17540</v>
      </c>
      <c r="D2459" s="2" t="s">
        <v>122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40</v>
      </c>
      <c r="C2461" s="2" t="s">
        <v>17541</v>
      </c>
      <c r="D2461" s="2" t="s">
        <v>42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17542</v>
      </c>
      <c r="D2462" s="2" t="s">
        <v>42</v>
      </c>
      <c r="E2462" s="2">
        <v>92</v>
      </c>
      <c r="F2462" s="2">
        <v>1861.57</v>
      </c>
    </row>
    <row r="2463" spans="3:6" x14ac:dyDescent="0.25">
      <c r="C2463" s="2" t="s">
        <v>17543</v>
      </c>
      <c r="D2463" s="2" t="s">
        <v>42</v>
      </c>
      <c r="E2463" s="2">
        <v>75</v>
      </c>
      <c r="F2463" s="2">
        <v>411.59</v>
      </c>
    </row>
    <row r="2464" spans="3:6" x14ac:dyDescent="0.25">
      <c r="C2464" s="2" t="s">
        <v>17544</v>
      </c>
      <c r="D2464" s="2" t="s">
        <v>42</v>
      </c>
      <c r="E2464" s="2">
        <v>133</v>
      </c>
      <c r="F2464" s="2">
        <v>2282.953</v>
      </c>
    </row>
    <row r="2465" spans="3:6" x14ac:dyDescent="0.25">
      <c r="C2465" s="2" t="s">
        <v>17545</v>
      </c>
      <c r="D2465" s="2" t="s">
        <v>42</v>
      </c>
      <c r="E2465" s="2">
        <v>141</v>
      </c>
      <c r="F2465" s="2">
        <v>2911.22</v>
      </c>
    </row>
    <row r="2466" spans="3:6" x14ac:dyDescent="0.25">
      <c r="C2466" s="2" t="s">
        <v>17546</v>
      </c>
      <c r="D2466" s="2" t="s">
        <v>42</v>
      </c>
      <c r="E2466" s="2">
        <v>141</v>
      </c>
      <c r="F2466" s="2">
        <v>2823.279</v>
      </c>
    </row>
    <row r="2467" spans="3:6" x14ac:dyDescent="0.25">
      <c r="C2467" s="2" t="s">
        <v>17547</v>
      </c>
      <c r="D2467" s="2" t="s">
        <v>42</v>
      </c>
      <c r="E2467" s="2">
        <v>143</v>
      </c>
      <c r="F2467" s="2">
        <v>2949.46</v>
      </c>
    </row>
    <row r="2468" spans="3:6" x14ac:dyDescent="0.25">
      <c r="C2468" s="2" t="s">
        <v>17548</v>
      </c>
      <c r="D2468" s="2" t="s">
        <v>42</v>
      </c>
      <c r="E2468" s="2">
        <v>143</v>
      </c>
      <c r="F2468" s="2">
        <v>2907.72</v>
      </c>
    </row>
    <row r="2469" spans="3:6" x14ac:dyDescent="0.25">
      <c r="C2469" s="2" t="s">
        <v>17549</v>
      </c>
      <c r="D2469" s="2" t="s">
        <v>42</v>
      </c>
      <c r="E2469" s="2">
        <v>52</v>
      </c>
      <c r="F2469" s="2">
        <v>1023.5</v>
      </c>
    </row>
    <row r="2470" spans="3:6" x14ac:dyDescent="0.25">
      <c r="C2470" s="2" t="s">
        <v>17550</v>
      </c>
      <c r="D2470" s="2" t="s">
        <v>42</v>
      </c>
      <c r="E2470" s="2">
        <v>35</v>
      </c>
      <c r="F2470" s="2">
        <v>646.23</v>
      </c>
    </row>
    <row r="2471" spans="3:6" x14ac:dyDescent="0.25">
      <c r="C2471" s="2" t="s">
        <v>17551</v>
      </c>
      <c r="D2471" s="2" t="s">
        <v>42</v>
      </c>
      <c r="E2471" s="2">
        <v>76</v>
      </c>
      <c r="F2471" s="2">
        <v>1513.58</v>
      </c>
    </row>
    <row r="2472" spans="3:6" x14ac:dyDescent="0.25">
      <c r="C2472" s="2" t="s">
        <v>17552</v>
      </c>
      <c r="D2472" s="2" t="s">
        <v>42</v>
      </c>
      <c r="E2472" s="2">
        <v>48</v>
      </c>
      <c r="F2472" s="2">
        <v>514.691</v>
      </c>
    </row>
    <row r="2473" spans="3:6" x14ac:dyDescent="0.25">
      <c r="C2473" s="2" t="s">
        <v>17553</v>
      </c>
      <c r="D2473" s="2" t="s">
        <v>42</v>
      </c>
      <c r="E2473" s="2">
        <v>65</v>
      </c>
      <c r="F2473" s="2">
        <v>1388.7</v>
      </c>
    </row>
    <row r="2474" spans="3:6" x14ac:dyDescent="0.25">
      <c r="C2474" s="2" t="s">
        <v>17554</v>
      </c>
      <c r="D2474" s="2" t="s">
        <v>42</v>
      </c>
      <c r="E2474" s="2">
        <v>106</v>
      </c>
      <c r="F2474" s="2">
        <v>2142.93</v>
      </c>
    </row>
    <row r="2475" spans="3:6" x14ac:dyDescent="0.25">
      <c r="C2475" s="2" t="s">
        <v>17555</v>
      </c>
      <c r="D2475" s="2" t="s">
        <v>42</v>
      </c>
      <c r="E2475" s="2">
        <v>75</v>
      </c>
      <c r="F2475" s="2">
        <v>386.03</v>
      </c>
    </row>
    <row r="2476" spans="3:6" x14ac:dyDescent="0.25">
      <c r="C2476" s="2" t="s">
        <v>17556</v>
      </c>
      <c r="D2476" s="2" t="s">
        <v>42</v>
      </c>
      <c r="E2476" s="2">
        <v>134</v>
      </c>
      <c r="F2476" s="2">
        <v>2774.989</v>
      </c>
    </row>
    <row r="2477" spans="3:6" x14ac:dyDescent="0.25">
      <c r="C2477" s="2" t="s">
        <v>17557</v>
      </c>
      <c r="D2477" s="2" t="s">
        <v>42</v>
      </c>
      <c r="E2477" s="2">
        <v>43</v>
      </c>
      <c r="F2477" s="2">
        <v>845.181</v>
      </c>
    </row>
    <row r="2478" spans="3:6" x14ac:dyDescent="0.25">
      <c r="C2478" s="2" t="s">
        <v>17558</v>
      </c>
      <c r="D2478" s="2" t="s">
        <v>42</v>
      </c>
      <c r="E2478" s="2">
        <v>20</v>
      </c>
      <c r="F2478" s="2">
        <v>103.81</v>
      </c>
    </row>
    <row r="2479" spans="3:6" x14ac:dyDescent="0.25">
      <c r="C2479" s="2" t="s">
        <v>17559</v>
      </c>
      <c r="D2479" s="2" t="s">
        <v>42</v>
      </c>
      <c r="E2479" s="2">
        <v>141</v>
      </c>
      <c r="F2479" s="2">
        <v>2604.82</v>
      </c>
    </row>
    <row r="2480" spans="3:6" x14ac:dyDescent="0.25">
      <c r="C2480" s="2" t="s">
        <v>17560</v>
      </c>
      <c r="D2480" s="2" t="s">
        <v>42</v>
      </c>
      <c r="E2480" s="2">
        <v>123</v>
      </c>
      <c r="F2480" s="2">
        <v>2470.18</v>
      </c>
    </row>
    <row r="2481" spans="3:6" x14ac:dyDescent="0.25">
      <c r="C2481" s="2" t="s">
        <v>17561</v>
      </c>
      <c r="D2481" s="2" t="s">
        <v>42</v>
      </c>
      <c r="E2481" s="2">
        <v>4</v>
      </c>
      <c r="F2481" s="2">
        <v>77.388</v>
      </c>
    </row>
    <row r="2482" spans="3:6" x14ac:dyDescent="0.25">
      <c r="C2482" s="2" t="s">
        <v>17562</v>
      </c>
      <c r="D2482" s="2" t="s">
        <v>42</v>
      </c>
      <c r="E2482" s="2">
        <v>94</v>
      </c>
      <c r="F2482" s="2">
        <v>1975.41</v>
      </c>
    </row>
    <row r="2483" spans="3:6" x14ac:dyDescent="0.25">
      <c r="C2483" s="2" t="s">
        <v>17563</v>
      </c>
      <c r="D2483" s="2" t="s">
        <v>42</v>
      </c>
      <c r="E2483" s="2">
        <v>10</v>
      </c>
      <c r="F2483" s="2">
        <v>211.28</v>
      </c>
    </row>
    <row r="2484" spans="3:6" x14ac:dyDescent="0.25">
      <c r="C2484" s="2" t="s">
        <v>17564</v>
      </c>
      <c r="D2484" s="2" t="s">
        <v>42</v>
      </c>
      <c r="E2484" s="2">
        <v>65</v>
      </c>
      <c r="F2484" s="2">
        <v>1375.83</v>
      </c>
    </row>
    <row r="2485" spans="3:6" x14ac:dyDescent="0.25">
      <c r="C2485" s="2" t="s">
        <v>17565</v>
      </c>
      <c r="D2485" s="2" t="s">
        <v>42</v>
      </c>
      <c r="E2485" s="2">
        <v>62</v>
      </c>
      <c r="F2485" s="2">
        <v>1197.052</v>
      </c>
    </row>
    <row r="2486" spans="3:6" x14ac:dyDescent="0.25">
      <c r="C2486" s="2" t="s">
        <v>17566</v>
      </c>
      <c r="D2486" s="2" t="s">
        <v>42</v>
      </c>
      <c r="E2486" s="2">
        <v>53</v>
      </c>
      <c r="F2486" s="2">
        <v>1005.47</v>
      </c>
    </row>
    <row r="2487" spans="3:6" x14ac:dyDescent="0.25">
      <c r="C2487" s="2" t="s">
        <v>17567</v>
      </c>
      <c r="D2487" s="2" t="s">
        <v>42</v>
      </c>
      <c r="E2487" s="2">
        <v>98</v>
      </c>
      <c r="F2487" s="2">
        <v>1047.155</v>
      </c>
    </row>
    <row r="2488" spans="3:6" x14ac:dyDescent="0.25">
      <c r="C2488" s="2" t="s">
        <v>17568</v>
      </c>
      <c r="D2488" s="2" t="s">
        <v>42</v>
      </c>
      <c r="E2488" s="2">
        <v>24</v>
      </c>
      <c r="F2488" s="2">
        <v>525.3</v>
      </c>
    </row>
    <row r="2489" spans="3:6" x14ac:dyDescent="0.25">
      <c r="C2489" s="2" t="s">
        <v>17569</v>
      </c>
      <c r="D2489" s="2" t="s">
        <v>42</v>
      </c>
      <c r="E2489" s="2">
        <v>117</v>
      </c>
      <c r="F2489" s="2">
        <v>2455.14</v>
      </c>
    </row>
    <row r="2490" spans="3:6" x14ac:dyDescent="0.25">
      <c r="C2490" s="2" t="s">
        <v>17570</v>
      </c>
      <c r="D2490" s="2" t="s">
        <v>42</v>
      </c>
      <c r="E2490" s="2">
        <v>102</v>
      </c>
      <c r="F2490" s="2">
        <v>2134.24</v>
      </c>
    </row>
    <row r="2491" spans="3:6" x14ac:dyDescent="0.25">
      <c r="C2491" s="2" t="s">
        <v>17571</v>
      </c>
      <c r="D2491" s="2" t="s">
        <v>42</v>
      </c>
      <c r="E2491" s="2">
        <v>143</v>
      </c>
      <c r="F2491" s="2">
        <v>2815.23</v>
      </c>
    </row>
    <row r="2492" spans="3:6" x14ac:dyDescent="0.25">
      <c r="C2492" s="2" t="s">
        <v>17572</v>
      </c>
      <c r="D2492" s="2" t="s">
        <v>42</v>
      </c>
      <c r="E2492" s="2">
        <v>106</v>
      </c>
      <c r="F2492" s="2">
        <v>2182.28</v>
      </c>
    </row>
    <row r="2493" spans="3:6" x14ac:dyDescent="0.25">
      <c r="C2493" s="2" t="s">
        <v>17573</v>
      </c>
      <c r="D2493" s="2" t="s">
        <v>42</v>
      </c>
      <c r="E2493" s="2">
        <v>19</v>
      </c>
      <c r="F2493" s="2">
        <v>348.03</v>
      </c>
    </row>
    <row r="2494" spans="3:6" x14ac:dyDescent="0.25">
      <c r="C2494" s="2" t="s">
        <v>17574</v>
      </c>
      <c r="D2494" s="2" t="s">
        <v>42</v>
      </c>
      <c r="E2494" s="2">
        <v>16</v>
      </c>
      <c r="F2494" s="2">
        <v>312.15</v>
      </c>
    </row>
    <row r="2495" spans="3:6" x14ac:dyDescent="0.25">
      <c r="C2495" s="2" t="s">
        <v>17575</v>
      </c>
      <c r="D2495" s="2" t="s">
        <v>42</v>
      </c>
      <c r="E2495" s="2">
        <v>60</v>
      </c>
      <c r="F2495" s="2">
        <v>1212.56</v>
      </c>
    </row>
    <row r="2496" spans="3:6" x14ac:dyDescent="0.25">
      <c r="C2496" s="2" t="s">
        <v>17576</v>
      </c>
      <c r="D2496" s="2" t="s">
        <v>42</v>
      </c>
      <c r="E2496" s="2">
        <v>90</v>
      </c>
      <c r="F2496" s="2">
        <v>1846.44</v>
      </c>
    </row>
    <row r="2497" spans="3:6" x14ac:dyDescent="0.25">
      <c r="C2497" s="2" t="s">
        <v>17577</v>
      </c>
      <c r="D2497" s="2" t="s">
        <v>42</v>
      </c>
      <c r="E2497" s="2">
        <v>16</v>
      </c>
      <c r="F2497" s="2">
        <v>223.3</v>
      </c>
    </row>
    <row r="2498" spans="3:6" x14ac:dyDescent="0.25">
      <c r="C2498" s="2" t="s">
        <v>17578</v>
      </c>
      <c r="D2498" s="2" t="s">
        <v>42</v>
      </c>
      <c r="E2498" s="2">
        <v>29</v>
      </c>
      <c r="F2498" s="2">
        <v>583.831</v>
      </c>
    </row>
    <row r="2499" spans="3:6" x14ac:dyDescent="0.25">
      <c r="C2499" s="2" t="s">
        <v>17579</v>
      </c>
      <c r="D2499" s="2" t="s">
        <v>42</v>
      </c>
      <c r="E2499" s="2">
        <v>12</v>
      </c>
      <c r="F2499" s="2">
        <v>196.499</v>
      </c>
    </row>
    <row r="2500" spans="3:6" x14ac:dyDescent="0.25">
      <c r="C2500" s="2" t="s">
        <v>17580</v>
      </c>
      <c r="D2500" s="2" t="s">
        <v>42</v>
      </c>
      <c r="E2500" s="2">
        <v>66</v>
      </c>
      <c r="F2500" s="2">
        <v>1327.95</v>
      </c>
    </row>
    <row r="2501" spans="3:6" x14ac:dyDescent="0.25">
      <c r="C2501" s="2" t="s">
        <v>17581</v>
      </c>
      <c r="D2501" s="2" t="s">
        <v>42</v>
      </c>
      <c r="E2501" s="2">
        <v>49</v>
      </c>
      <c r="F2501" s="2">
        <v>1047.12</v>
      </c>
    </row>
    <row r="2502" spans="3:6" x14ac:dyDescent="0.25">
      <c r="C2502" s="2" t="s">
        <v>17582</v>
      </c>
      <c r="D2502" s="2" t="s">
        <v>42</v>
      </c>
      <c r="E2502" s="2">
        <v>22</v>
      </c>
      <c r="F2502" s="2">
        <v>493.23</v>
      </c>
    </row>
    <row r="2503" spans="3:6" x14ac:dyDescent="0.25">
      <c r="C2503" s="2" t="s">
        <v>17583</v>
      </c>
      <c r="D2503" s="2" t="s">
        <v>42</v>
      </c>
      <c r="E2503" s="2">
        <v>102</v>
      </c>
      <c r="F2503" s="2">
        <v>1980.639</v>
      </c>
    </row>
    <row r="2504" spans="3:6" x14ac:dyDescent="0.25">
      <c r="C2504" s="2" t="s">
        <v>17584</v>
      </c>
      <c r="D2504" s="2" t="s">
        <v>42</v>
      </c>
      <c r="E2504" s="2">
        <v>143</v>
      </c>
      <c r="F2504" s="2">
        <v>2885.84</v>
      </c>
    </row>
    <row r="2505" spans="3:6" x14ac:dyDescent="0.25">
      <c r="C2505" s="2" t="s">
        <v>17585</v>
      </c>
      <c r="D2505" s="2" t="s">
        <v>42</v>
      </c>
      <c r="E2505" s="2">
        <v>57</v>
      </c>
      <c r="F2505" s="2">
        <v>1155.75</v>
      </c>
    </row>
    <row r="2506" spans="3:6" x14ac:dyDescent="0.25">
      <c r="C2506" s="2" t="s">
        <v>17586</v>
      </c>
      <c r="D2506" s="2" t="s">
        <v>42</v>
      </c>
      <c r="E2506" s="2">
        <v>12</v>
      </c>
      <c r="F2506" s="2">
        <v>210.09</v>
      </c>
    </row>
    <row r="2507" spans="3:6" x14ac:dyDescent="0.25">
      <c r="C2507" s="2" t="s">
        <v>17587</v>
      </c>
      <c r="D2507" s="2" t="s">
        <v>42</v>
      </c>
      <c r="E2507" s="2">
        <v>54</v>
      </c>
      <c r="F2507" s="2">
        <v>1160.73</v>
      </c>
    </row>
    <row r="2508" spans="3:6" x14ac:dyDescent="0.25">
      <c r="C2508" s="2" t="s">
        <v>17588</v>
      </c>
      <c r="D2508" s="2" t="s">
        <v>42</v>
      </c>
      <c r="E2508" s="2">
        <v>15</v>
      </c>
      <c r="F2508" s="2">
        <v>306.125</v>
      </c>
    </row>
    <row r="2509" spans="3:6" x14ac:dyDescent="0.25">
      <c r="C2509" s="2" t="s">
        <v>17589</v>
      </c>
      <c r="D2509" s="2" t="s">
        <v>42</v>
      </c>
      <c r="E2509" s="2">
        <v>69</v>
      </c>
      <c r="F2509" s="2">
        <v>1516.54</v>
      </c>
    </row>
    <row r="2510" spans="3:6" x14ac:dyDescent="0.25">
      <c r="C2510" s="2" t="s">
        <v>17590</v>
      </c>
      <c r="D2510" s="2" t="s">
        <v>42</v>
      </c>
      <c r="E2510" s="2">
        <v>85</v>
      </c>
      <c r="F2510" s="2">
        <v>1732.37</v>
      </c>
    </row>
    <row r="2511" spans="3:6" x14ac:dyDescent="0.25">
      <c r="C2511" s="2" t="s">
        <v>17591</v>
      </c>
      <c r="D2511" s="2" t="s">
        <v>42</v>
      </c>
      <c r="E2511" s="2">
        <v>31</v>
      </c>
      <c r="F2511" s="2">
        <v>636.23</v>
      </c>
    </row>
    <row r="2512" spans="3:6" x14ac:dyDescent="0.25">
      <c r="C2512" s="2" t="s">
        <v>17592</v>
      </c>
      <c r="D2512" s="2" t="s">
        <v>42</v>
      </c>
      <c r="E2512" s="2">
        <v>52</v>
      </c>
      <c r="F2512" s="2">
        <v>1044.95</v>
      </c>
    </row>
    <row r="2513" spans="3:6" x14ac:dyDescent="0.25">
      <c r="C2513" s="2" t="s">
        <v>17593</v>
      </c>
      <c r="D2513" s="2" t="s">
        <v>42</v>
      </c>
      <c r="E2513" s="2">
        <v>22</v>
      </c>
      <c r="F2513" s="2">
        <v>456.78</v>
      </c>
    </row>
    <row r="2514" spans="3:6" x14ac:dyDescent="0.25">
      <c r="C2514" s="2" t="s">
        <v>17594</v>
      </c>
      <c r="D2514" s="2" t="s">
        <v>42</v>
      </c>
      <c r="E2514" s="2">
        <v>13</v>
      </c>
      <c r="F2514" s="2">
        <v>263.54</v>
      </c>
    </row>
    <row r="2515" spans="3:6" x14ac:dyDescent="0.25">
      <c r="C2515" s="2" t="s">
        <v>17595</v>
      </c>
      <c r="D2515" s="2" t="s">
        <v>42</v>
      </c>
      <c r="E2515" s="2">
        <v>29</v>
      </c>
      <c r="F2515" s="2">
        <v>588.81</v>
      </c>
    </row>
    <row r="2516" spans="3:6" x14ac:dyDescent="0.25">
      <c r="C2516" s="2" t="s">
        <v>17596</v>
      </c>
      <c r="D2516" s="2" t="s">
        <v>42</v>
      </c>
      <c r="E2516" s="2">
        <v>119</v>
      </c>
      <c r="F2516" s="2">
        <v>2442.21</v>
      </c>
    </row>
    <row r="2517" spans="3:6" x14ac:dyDescent="0.25">
      <c r="C2517" s="2" t="s">
        <v>17597</v>
      </c>
      <c r="D2517" s="2" t="s">
        <v>42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90</v>
      </c>
      <c r="C2519" s="2" t="s">
        <v>17598</v>
      </c>
      <c r="D2519" s="2" t="s">
        <v>9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17599</v>
      </c>
      <c r="D2520" s="2" t="s">
        <v>9</v>
      </c>
      <c r="E2520" s="2">
        <v>123</v>
      </c>
      <c r="F2520" s="2">
        <v>2258.01</v>
      </c>
    </row>
    <row r="2521" spans="3:6" x14ac:dyDescent="0.25">
      <c r="C2521" s="2" t="s">
        <v>17600</v>
      </c>
      <c r="D2521" s="2" t="s">
        <v>9</v>
      </c>
      <c r="E2521" s="2">
        <v>52</v>
      </c>
      <c r="F2521" s="2">
        <v>1019.149</v>
      </c>
    </row>
    <row r="2522" spans="3:6" x14ac:dyDescent="0.25">
      <c r="C2522" s="2" t="s">
        <v>17601</v>
      </c>
      <c r="D2522" s="2" t="s">
        <v>9</v>
      </c>
      <c r="E2522" s="2">
        <v>50</v>
      </c>
      <c r="F2522" s="2">
        <v>970.3</v>
      </c>
    </row>
    <row r="2523" spans="3:6" x14ac:dyDescent="0.25">
      <c r="C2523" s="2" t="s">
        <v>17602</v>
      </c>
      <c r="D2523" s="2" t="s">
        <v>9</v>
      </c>
      <c r="E2523" s="2">
        <v>112</v>
      </c>
      <c r="F2523" s="2">
        <v>2033.079</v>
      </c>
    </row>
    <row r="2524" spans="3:6" x14ac:dyDescent="0.25">
      <c r="C2524" s="2" t="s">
        <v>17603</v>
      </c>
      <c r="D2524" s="2" t="s">
        <v>9</v>
      </c>
      <c r="E2524" s="2">
        <v>30</v>
      </c>
      <c r="F2524" s="2">
        <v>534.51</v>
      </c>
    </row>
    <row r="2525" spans="3:6" x14ac:dyDescent="0.25">
      <c r="C2525" s="2" t="s">
        <v>17604</v>
      </c>
      <c r="D2525" s="2" t="s">
        <v>9</v>
      </c>
      <c r="E2525" s="2">
        <v>6</v>
      </c>
      <c r="F2525" s="2">
        <v>32.92</v>
      </c>
    </row>
    <row r="2526" spans="3:6" x14ac:dyDescent="0.25">
      <c r="C2526" s="2" t="s">
        <v>17605</v>
      </c>
      <c r="D2526" s="2" t="s">
        <v>9</v>
      </c>
      <c r="E2526" s="2">
        <v>69</v>
      </c>
      <c r="F2526" s="2">
        <v>1272.709</v>
      </c>
    </row>
    <row r="2527" spans="3:6" x14ac:dyDescent="0.25">
      <c r="C2527" s="2" t="s">
        <v>17606</v>
      </c>
      <c r="D2527" s="2" t="s">
        <v>9</v>
      </c>
      <c r="E2527" s="2">
        <v>123</v>
      </c>
      <c r="F2527" s="2">
        <v>2599.4</v>
      </c>
    </row>
    <row r="2528" spans="3:6" x14ac:dyDescent="0.25">
      <c r="C2528" s="2" t="s">
        <v>17607</v>
      </c>
      <c r="D2528" s="2" t="s">
        <v>9</v>
      </c>
      <c r="E2528" s="2">
        <v>141</v>
      </c>
      <c r="F2528" s="2">
        <v>2949.39</v>
      </c>
    </row>
    <row r="2529" spans="3:6" x14ac:dyDescent="0.25">
      <c r="C2529" s="2" t="s">
        <v>17608</v>
      </c>
      <c r="D2529" s="2" t="s">
        <v>9</v>
      </c>
      <c r="E2529" s="2">
        <v>246</v>
      </c>
      <c r="F2529" s="2">
        <v>5185.119</v>
      </c>
    </row>
    <row r="2530" spans="3:6" x14ac:dyDescent="0.25">
      <c r="C2530" s="2" t="s">
        <v>17609</v>
      </c>
      <c r="D2530" s="2" t="s">
        <v>9</v>
      </c>
      <c r="E2530" s="2">
        <v>45</v>
      </c>
      <c r="F2530" s="2">
        <v>195.75</v>
      </c>
    </row>
    <row r="2531" spans="3:6" x14ac:dyDescent="0.25">
      <c r="C2531" s="2" t="s">
        <v>17610</v>
      </c>
      <c r="D2531" s="2" t="s">
        <v>9</v>
      </c>
      <c r="E2531" s="2">
        <v>134</v>
      </c>
      <c r="F2531" s="2">
        <v>2729.249</v>
      </c>
    </row>
    <row r="2532" spans="3:6" x14ac:dyDescent="0.25">
      <c r="C2532" s="2" t="s">
        <v>17611</v>
      </c>
      <c r="D2532" s="2" t="s">
        <v>9</v>
      </c>
      <c r="E2532" s="2">
        <v>15</v>
      </c>
      <c r="F2532" s="2">
        <v>63.91</v>
      </c>
    </row>
    <row r="2533" spans="3:6" x14ac:dyDescent="0.25">
      <c r="C2533" s="2" t="s">
        <v>17612</v>
      </c>
      <c r="D2533" s="2" t="s">
        <v>9</v>
      </c>
      <c r="E2533" s="2">
        <v>141</v>
      </c>
      <c r="F2533" s="2">
        <v>2969.85</v>
      </c>
    </row>
    <row r="2534" spans="3:6" x14ac:dyDescent="0.25">
      <c r="C2534" s="2" t="s">
        <v>17613</v>
      </c>
      <c r="D2534" s="2" t="s">
        <v>9</v>
      </c>
      <c r="E2534" s="2">
        <v>141</v>
      </c>
      <c r="F2534" s="2">
        <v>2878.62</v>
      </c>
    </row>
    <row r="2535" spans="3:6" x14ac:dyDescent="0.25">
      <c r="C2535" s="2" t="s">
        <v>17614</v>
      </c>
      <c r="D2535" s="2" t="s">
        <v>9</v>
      </c>
      <c r="E2535" s="2">
        <v>282</v>
      </c>
      <c r="F2535" s="2">
        <v>5831.24</v>
      </c>
    </row>
    <row r="2536" spans="3:6" x14ac:dyDescent="0.25">
      <c r="C2536" s="2" t="s">
        <v>17615</v>
      </c>
      <c r="D2536" s="2" t="s">
        <v>9</v>
      </c>
      <c r="E2536" s="2">
        <v>204</v>
      </c>
      <c r="F2536" s="2">
        <v>4238.12</v>
      </c>
    </row>
    <row r="2537" spans="3:6" x14ac:dyDescent="0.25">
      <c r="C2537" s="2" t="s">
        <v>17616</v>
      </c>
      <c r="D2537" s="2" t="s">
        <v>9</v>
      </c>
      <c r="E2537" s="2">
        <v>141</v>
      </c>
      <c r="F2537" s="2">
        <v>3028.49</v>
      </c>
    </row>
    <row r="2538" spans="3:6" x14ac:dyDescent="0.25">
      <c r="C2538" s="2" t="s">
        <v>17617</v>
      </c>
      <c r="D2538" s="2" t="s">
        <v>9</v>
      </c>
      <c r="E2538" s="2">
        <v>141</v>
      </c>
      <c r="F2538" s="2">
        <v>2931.62</v>
      </c>
    </row>
    <row r="2539" spans="3:6" x14ac:dyDescent="0.25">
      <c r="C2539" s="2" t="s">
        <v>17618</v>
      </c>
      <c r="D2539" s="2" t="s">
        <v>9</v>
      </c>
      <c r="E2539" s="2">
        <v>243</v>
      </c>
      <c r="F2539" s="2">
        <v>5062.73</v>
      </c>
    </row>
    <row r="2540" spans="3:6" x14ac:dyDescent="0.25">
      <c r="C2540" s="2" t="s">
        <v>17619</v>
      </c>
      <c r="D2540" s="2" t="s">
        <v>9</v>
      </c>
      <c r="E2540" s="2">
        <v>141</v>
      </c>
      <c r="F2540" s="2">
        <v>2890</v>
      </c>
    </row>
    <row r="2541" spans="3:6" x14ac:dyDescent="0.25">
      <c r="C2541" s="2" t="s">
        <v>17620</v>
      </c>
      <c r="D2541" s="2" t="s">
        <v>9</v>
      </c>
      <c r="E2541" s="2">
        <v>100</v>
      </c>
      <c r="F2541" s="2">
        <v>1973.13</v>
      </c>
    </row>
    <row r="2542" spans="3:6" x14ac:dyDescent="0.25">
      <c r="C2542" s="2" t="s">
        <v>17621</v>
      </c>
      <c r="D2542" s="2" t="s">
        <v>9</v>
      </c>
      <c r="E2542" s="2">
        <v>41</v>
      </c>
      <c r="F2542" s="2">
        <v>819.09</v>
      </c>
    </row>
    <row r="2543" spans="3:6" x14ac:dyDescent="0.25">
      <c r="C2543" s="2" t="s">
        <v>17622</v>
      </c>
      <c r="D2543" s="2" t="s">
        <v>9</v>
      </c>
      <c r="E2543" s="2">
        <v>90</v>
      </c>
      <c r="F2543" s="2">
        <v>389.64</v>
      </c>
    </row>
    <row r="2544" spans="3:6" x14ac:dyDescent="0.25">
      <c r="C2544" s="2" t="s">
        <v>17623</v>
      </c>
      <c r="D2544" s="2" t="s">
        <v>9</v>
      </c>
      <c r="E2544" s="2">
        <v>72</v>
      </c>
      <c r="F2544" s="2">
        <v>1503.59</v>
      </c>
    </row>
    <row r="2545" spans="3:6" x14ac:dyDescent="0.25">
      <c r="C2545" s="2" t="s">
        <v>17624</v>
      </c>
      <c r="D2545" s="2" t="s">
        <v>9</v>
      </c>
      <c r="E2545" s="2">
        <v>69</v>
      </c>
      <c r="F2545" s="2">
        <v>1491.61</v>
      </c>
    </row>
    <row r="2546" spans="3:6" x14ac:dyDescent="0.25">
      <c r="C2546" s="2" t="s">
        <v>17625</v>
      </c>
      <c r="D2546" s="2" t="s">
        <v>9</v>
      </c>
      <c r="E2546" s="2">
        <v>119</v>
      </c>
      <c r="F2546" s="2">
        <v>2212.46</v>
      </c>
    </row>
    <row r="2547" spans="3:6" x14ac:dyDescent="0.25">
      <c r="C2547" s="2" t="s">
        <v>17626</v>
      </c>
      <c r="D2547" s="2" t="s">
        <v>9</v>
      </c>
      <c r="E2547" s="2">
        <v>22</v>
      </c>
      <c r="F2547" s="2">
        <v>384.48</v>
      </c>
    </row>
    <row r="2548" spans="3:6" x14ac:dyDescent="0.25">
      <c r="C2548" s="2" t="s">
        <v>17627</v>
      </c>
      <c r="D2548" s="2" t="s">
        <v>9</v>
      </c>
      <c r="E2548" s="2">
        <v>45</v>
      </c>
      <c r="F2548" s="2">
        <v>196.39</v>
      </c>
    </row>
    <row r="2549" spans="3:6" x14ac:dyDescent="0.25">
      <c r="C2549" s="2" t="s">
        <v>17628</v>
      </c>
      <c r="D2549" s="2" t="s">
        <v>9</v>
      </c>
      <c r="E2549" s="2">
        <v>141</v>
      </c>
      <c r="F2549" s="2">
        <v>2939.34</v>
      </c>
    </row>
    <row r="2550" spans="3:6" x14ac:dyDescent="0.25">
      <c r="C2550" s="2" t="s">
        <v>17629</v>
      </c>
      <c r="D2550" s="2" t="s">
        <v>9</v>
      </c>
      <c r="E2550" s="2">
        <v>93</v>
      </c>
      <c r="F2550" s="2">
        <v>1977.36</v>
      </c>
    </row>
    <row r="2551" spans="3:6" x14ac:dyDescent="0.25">
      <c r="C2551" s="2" t="s">
        <v>17630</v>
      </c>
      <c r="D2551" s="2" t="s">
        <v>9</v>
      </c>
      <c r="E2551" s="2">
        <v>48</v>
      </c>
      <c r="F2551" s="2">
        <v>939.94</v>
      </c>
    </row>
    <row r="2552" spans="3:6" x14ac:dyDescent="0.25">
      <c r="C2552" s="2" t="s">
        <v>17631</v>
      </c>
      <c r="D2552" s="2" t="s">
        <v>9</v>
      </c>
      <c r="E2552" s="2">
        <v>141</v>
      </c>
      <c r="F2552" s="2">
        <v>2812.96</v>
      </c>
    </row>
    <row r="2553" spans="3:6" x14ac:dyDescent="0.25">
      <c r="C2553" s="2" t="s">
        <v>17632</v>
      </c>
      <c r="D2553" s="2" t="s">
        <v>9</v>
      </c>
      <c r="E2553" s="2">
        <v>70</v>
      </c>
      <c r="F2553" s="2">
        <v>1339.84</v>
      </c>
    </row>
    <row r="2554" spans="3:6" x14ac:dyDescent="0.25">
      <c r="C2554" s="2" t="s">
        <v>17633</v>
      </c>
      <c r="D2554" s="2" t="s">
        <v>9</v>
      </c>
      <c r="E2554" s="2">
        <v>64</v>
      </c>
      <c r="F2554" s="2">
        <v>1203.99</v>
      </c>
    </row>
    <row r="2555" spans="3:6" x14ac:dyDescent="0.25">
      <c r="C2555" s="2" t="s">
        <v>17634</v>
      </c>
      <c r="D2555" s="2" t="s">
        <v>9</v>
      </c>
      <c r="E2555" s="2">
        <v>7</v>
      </c>
      <c r="F2555" s="2">
        <v>130.72</v>
      </c>
    </row>
    <row r="2556" spans="3:6" x14ac:dyDescent="0.25">
      <c r="C2556" s="2" t="s">
        <v>17635</v>
      </c>
      <c r="D2556" s="2" t="s">
        <v>9</v>
      </c>
      <c r="E2556" s="2">
        <v>79</v>
      </c>
      <c r="F2556" s="2">
        <v>1609.87</v>
      </c>
    </row>
    <row r="2557" spans="3:6" x14ac:dyDescent="0.25">
      <c r="C2557" s="2" t="s">
        <v>17636</v>
      </c>
      <c r="D2557" s="2" t="s">
        <v>9</v>
      </c>
      <c r="E2557" s="2">
        <v>57</v>
      </c>
      <c r="F2557" s="2">
        <v>1167.94</v>
      </c>
    </row>
    <row r="2558" spans="3:6" x14ac:dyDescent="0.25">
      <c r="C2558" s="2" t="s">
        <v>17637</v>
      </c>
      <c r="D2558" s="2" t="s">
        <v>9</v>
      </c>
      <c r="E2558" s="2">
        <v>48</v>
      </c>
      <c r="F2558" s="2">
        <v>958.779</v>
      </c>
    </row>
    <row r="2559" spans="3:6" x14ac:dyDescent="0.25">
      <c r="C2559" s="2" t="s">
        <v>17638</v>
      </c>
      <c r="D2559" s="2" t="s">
        <v>9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17639</v>
      </c>
      <c r="C2561" s="2" t="s">
        <v>17640</v>
      </c>
      <c r="D2561" s="2" t="s">
        <v>12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17641</v>
      </c>
      <c r="D2562" s="2" t="s">
        <v>12</v>
      </c>
      <c r="E2562" s="2">
        <v>95</v>
      </c>
      <c r="F2562" s="2">
        <v>1989.99</v>
      </c>
    </row>
    <row r="2563" spans="3:6" x14ac:dyDescent="0.25">
      <c r="C2563" s="2" t="s">
        <v>17642</v>
      </c>
      <c r="D2563" s="2" t="s">
        <v>12</v>
      </c>
      <c r="E2563" s="2">
        <v>90</v>
      </c>
      <c r="F2563" s="2">
        <v>1924.03</v>
      </c>
    </row>
    <row r="2564" spans="3:6" x14ac:dyDescent="0.25">
      <c r="C2564" s="2" t="s">
        <v>17643</v>
      </c>
      <c r="D2564" s="2" t="s">
        <v>12</v>
      </c>
      <c r="E2564" s="2">
        <v>134</v>
      </c>
      <c r="F2564" s="2">
        <v>2815.41</v>
      </c>
    </row>
    <row r="2565" spans="3:6" x14ac:dyDescent="0.25">
      <c r="C2565" s="2" t="s">
        <v>17644</v>
      </c>
      <c r="D2565" s="2" t="s">
        <v>12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12462</v>
      </c>
      <c r="C2567" s="2" t="s">
        <v>17645</v>
      </c>
      <c r="D2567" s="2" t="s">
        <v>20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17646</v>
      </c>
      <c r="D2568" s="2" t="s">
        <v>20</v>
      </c>
      <c r="E2568" s="2">
        <v>270</v>
      </c>
      <c r="F2568" s="2">
        <v>5213.488</v>
      </c>
    </row>
    <row r="2569" spans="3:6" x14ac:dyDescent="0.25">
      <c r="C2569" s="2" t="s">
        <v>17647</v>
      </c>
      <c r="D2569" s="2" t="s">
        <v>20</v>
      </c>
      <c r="E2569" s="2">
        <v>228</v>
      </c>
      <c r="F2569" s="2">
        <v>4426.706</v>
      </c>
    </row>
    <row r="2570" spans="3:6" x14ac:dyDescent="0.25">
      <c r="C2570" s="2" t="s">
        <v>17648</v>
      </c>
      <c r="D2570" s="2" t="s">
        <v>20</v>
      </c>
      <c r="E2570" s="2">
        <v>284</v>
      </c>
      <c r="F2570" s="2">
        <v>5574.219</v>
      </c>
    </row>
    <row r="2571" spans="3:6" x14ac:dyDescent="0.25">
      <c r="C2571" s="2" t="s">
        <v>17649</v>
      </c>
      <c r="D2571" s="2" t="s">
        <v>20</v>
      </c>
      <c r="E2571" s="2">
        <v>284</v>
      </c>
      <c r="F2571" s="2">
        <v>5591.04</v>
      </c>
    </row>
    <row r="2572" spans="3:6" x14ac:dyDescent="0.25">
      <c r="C2572" s="2" t="s">
        <v>17650</v>
      </c>
      <c r="D2572" s="2" t="s">
        <v>20</v>
      </c>
      <c r="E2572" s="2">
        <v>262</v>
      </c>
      <c r="F2572" s="2">
        <v>5093.839</v>
      </c>
    </row>
    <row r="2573" spans="3:6" x14ac:dyDescent="0.25">
      <c r="C2573" s="2" t="s">
        <v>17651</v>
      </c>
      <c r="D2573" s="2" t="s">
        <v>20</v>
      </c>
      <c r="E2573" s="2">
        <v>284</v>
      </c>
      <c r="F2573" s="2">
        <v>5538.855</v>
      </c>
    </row>
    <row r="2574" spans="3:6" x14ac:dyDescent="0.25">
      <c r="C2574" s="2" t="s">
        <v>17652</v>
      </c>
      <c r="D2574" s="2" t="s">
        <v>20</v>
      </c>
      <c r="E2574" s="2">
        <v>180</v>
      </c>
      <c r="F2574" s="2">
        <v>2855.231</v>
      </c>
    </row>
    <row r="2575" spans="3:6" x14ac:dyDescent="0.25">
      <c r="C2575" s="2" t="s">
        <v>17653</v>
      </c>
      <c r="D2575" s="2" t="s">
        <v>20</v>
      </c>
      <c r="E2575" s="2">
        <v>195</v>
      </c>
      <c r="F2575" s="2">
        <v>3773.959</v>
      </c>
    </row>
    <row r="2576" spans="3:6" x14ac:dyDescent="0.25">
      <c r="C2576" s="2" t="s">
        <v>17654</v>
      </c>
      <c r="D2576" s="2" t="s">
        <v>20</v>
      </c>
      <c r="E2576" s="2">
        <v>220</v>
      </c>
      <c r="F2576" s="2">
        <v>4138.911</v>
      </c>
    </row>
    <row r="2577" spans="3:6" x14ac:dyDescent="0.25">
      <c r="C2577" s="2" t="s">
        <v>17655</v>
      </c>
      <c r="D2577" s="2" t="s">
        <v>20</v>
      </c>
      <c r="E2577" s="2">
        <v>310</v>
      </c>
      <c r="F2577" s="2">
        <v>6080.719</v>
      </c>
    </row>
    <row r="2578" spans="3:6" x14ac:dyDescent="0.25">
      <c r="C2578" s="2" t="s">
        <v>17656</v>
      </c>
      <c r="D2578" s="2" t="s">
        <v>20</v>
      </c>
      <c r="E2578" s="2">
        <v>340</v>
      </c>
      <c r="F2578" s="2">
        <v>6523.858</v>
      </c>
    </row>
    <row r="2579" spans="3:6" x14ac:dyDescent="0.25">
      <c r="C2579" s="2" t="s">
        <v>17657</v>
      </c>
      <c r="D2579" s="2" t="s">
        <v>20</v>
      </c>
      <c r="E2579" s="2">
        <v>284</v>
      </c>
      <c r="F2579" s="2">
        <v>5495.372</v>
      </c>
    </row>
    <row r="2580" spans="3:6" x14ac:dyDescent="0.25">
      <c r="C2580" s="2" t="s">
        <v>17658</v>
      </c>
      <c r="D2580" s="2" t="s">
        <v>20</v>
      </c>
      <c r="E2580" s="2">
        <v>356</v>
      </c>
      <c r="F2580" s="2">
        <v>7505.83</v>
      </c>
    </row>
    <row r="2581" spans="3:6" x14ac:dyDescent="0.25">
      <c r="C2581" s="2" t="s">
        <v>17659</v>
      </c>
      <c r="D2581" s="2" t="s">
        <v>20</v>
      </c>
      <c r="E2581" s="2">
        <v>305</v>
      </c>
      <c r="F2581" s="2">
        <v>5793.41</v>
      </c>
    </row>
    <row r="2582" spans="3:6" x14ac:dyDescent="0.25">
      <c r="C2582" s="2" t="s">
        <v>17660</v>
      </c>
      <c r="D2582" s="2" t="s">
        <v>20</v>
      </c>
      <c r="E2582" s="2">
        <v>305</v>
      </c>
      <c r="F2582" s="2">
        <v>5887.119</v>
      </c>
    </row>
    <row r="2583" spans="3:6" x14ac:dyDescent="0.25">
      <c r="C2583" s="2" t="s">
        <v>17661</v>
      </c>
      <c r="D2583" s="2" t="s">
        <v>20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32</v>
      </c>
      <c r="C2585" s="2" t="s">
        <v>17662</v>
      </c>
      <c r="D2585" s="2" t="s">
        <v>20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17663</v>
      </c>
      <c r="D2586" s="2" t="s">
        <v>20</v>
      </c>
      <c r="E2586" s="2">
        <v>210</v>
      </c>
      <c r="F2586" s="2">
        <v>4162.73</v>
      </c>
    </row>
    <row r="2587" spans="3:6" x14ac:dyDescent="0.25">
      <c r="C2587" s="2" t="s">
        <v>17664</v>
      </c>
      <c r="D2587" s="2" t="s">
        <v>20</v>
      </c>
      <c r="E2587" s="2">
        <v>344</v>
      </c>
      <c r="F2587" s="2">
        <v>6971.58</v>
      </c>
    </row>
    <row r="2588" spans="3:6" x14ac:dyDescent="0.25">
      <c r="C2588" s="2" t="s">
        <v>17665</v>
      </c>
      <c r="D2588" s="2" t="s">
        <v>20</v>
      </c>
      <c r="E2588" s="2">
        <v>282</v>
      </c>
      <c r="F2588" s="2">
        <v>5024.476</v>
      </c>
    </row>
    <row r="2589" spans="3:6" x14ac:dyDescent="0.25">
      <c r="C2589" s="2" t="s">
        <v>17666</v>
      </c>
      <c r="D2589" s="2" t="s">
        <v>20</v>
      </c>
      <c r="E2589" s="2">
        <v>233</v>
      </c>
      <c r="F2589" s="2">
        <v>4897.279</v>
      </c>
    </row>
    <row r="2590" spans="3:6" x14ac:dyDescent="0.25">
      <c r="C2590" s="2" t="s">
        <v>17667</v>
      </c>
      <c r="D2590" s="2" t="s">
        <v>20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7022</v>
      </c>
      <c r="C2592" s="2" t="s">
        <v>17668</v>
      </c>
      <c r="D2592" s="2" t="s">
        <v>20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17669</v>
      </c>
      <c r="D2593" s="2" t="s">
        <v>20</v>
      </c>
      <c r="E2593" s="2">
        <v>356</v>
      </c>
      <c r="F2593" s="2">
        <v>6754.888</v>
      </c>
    </row>
    <row r="2594" spans="3:6" x14ac:dyDescent="0.25">
      <c r="C2594" s="2" t="s">
        <v>17670</v>
      </c>
      <c r="D2594" s="2" t="s">
        <v>20</v>
      </c>
      <c r="E2594" s="2">
        <v>173</v>
      </c>
      <c r="F2594" s="2">
        <v>3350.82</v>
      </c>
    </row>
    <row r="2595" spans="3:6" x14ac:dyDescent="0.25">
      <c r="C2595" s="2" t="s">
        <v>17671</v>
      </c>
      <c r="D2595" s="2" t="s">
        <v>20</v>
      </c>
      <c r="E2595" s="2">
        <v>261</v>
      </c>
      <c r="F2595" s="2">
        <v>5032.28</v>
      </c>
    </row>
    <row r="2596" spans="3:6" x14ac:dyDescent="0.25">
      <c r="C2596" s="2" t="s">
        <v>17672</v>
      </c>
      <c r="D2596" s="2" t="s">
        <v>20</v>
      </c>
      <c r="E2596" s="2">
        <v>105</v>
      </c>
      <c r="F2596" s="2">
        <v>1943.596</v>
      </c>
    </row>
    <row r="2597" spans="3:6" x14ac:dyDescent="0.25">
      <c r="C2597" s="2" t="s">
        <v>17673</v>
      </c>
      <c r="D2597" s="2" t="s">
        <v>20</v>
      </c>
      <c r="E2597" s="2">
        <v>163</v>
      </c>
      <c r="F2597" s="2">
        <v>3107.91</v>
      </c>
    </row>
    <row r="2598" spans="3:6" x14ac:dyDescent="0.25">
      <c r="C2598" s="2" t="s">
        <v>17674</v>
      </c>
      <c r="D2598" s="2" t="s">
        <v>20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2736</v>
      </c>
      <c r="C2600" s="2" t="s">
        <v>17675</v>
      </c>
      <c r="D2600" s="2" t="s">
        <v>342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17676</v>
      </c>
      <c r="D2601" s="2" t="s">
        <v>342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2738</v>
      </c>
      <c r="C2603" s="2" t="s">
        <v>17677</v>
      </c>
      <c r="D2603" s="2" t="s">
        <v>20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17678</v>
      </c>
      <c r="D2604" s="2" t="s">
        <v>20</v>
      </c>
      <c r="E2604" s="2">
        <v>149</v>
      </c>
      <c r="F2604" s="2">
        <v>3493.17</v>
      </c>
    </row>
    <row r="2605" spans="3:6" x14ac:dyDescent="0.25">
      <c r="C2605" s="2" t="s">
        <v>17679</v>
      </c>
      <c r="D2605" s="2" t="s">
        <v>20</v>
      </c>
      <c r="E2605" s="2">
        <v>149</v>
      </c>
      <c r="F2605" s="2">
        <v>3009.489</v>
      </c>
    </row>
    <row r="2606" spans="3:6" x14ac:dyDescent="0.25">
      <c r="C2606" s="2" t="s">
        <v>17680</v>
      </c>
      <c r="D2606" s="2" t="s">
        <v>20</v>
      </c>
      <c r="E2606" s="2">
        <v>149</v>
      </c>
      <c r="F2606" s="2">
        <v>3821.01</v>
      </c>
    </row>
    <row r="2607" spans="3:6" x14ac:dyDescent="0.25">
      <c r="C2607" s="2" t="s">
        <v>17681</v>
      </c>
      <c r="D2607" s="2" t="s">
        <v>20</v>
      </c>
      <c r="E2607" s="2">
        <v>149</v>
      </c>
      <c r="F2607" s="2">
        <v>3072.26</v>
      </c>
    </row>
    <row r="2608" spans="3:6" x14ac:dyDescent="0.25">
      <c r="C2608" s="2" t="s">
        <v>17682</v>
      </c>
      <c r="D2608" s="2" t="s">
        <v>20</v>
      </c>
      <c r="E2608" s="2">
        <v>149</v>
      </c>
      <c r="F2608" s="2">
        <v>3111.22</v>
      </c>
    </row>
    <row r="2609" spans="3:6" x14ac:dyDescent="0.25">
      <c r="C2609" s="2" t="s">
        <v>17683</v>
      </c>
      <c r="D2609" s="2" t="s">
        <v>20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324</v>
      </c>
      <c r="C2611" s="2" t="s">
        <v>17684</v>
      </c>
      <c r="D2611" s="2" t="s">
        <v>27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17685</v>
      </c>
      <c r="D2612" s="2" t="s">
        <v>27</v>
      </c>
      <c r="E2612" s="2">
        <v>38</v>
      </c>
      <c r="F2612" s="2">
        <v>706.919</v>
      </c>
    </row>
    <row r="2613" spans="3:6" x14ac:dyDescent="0.25">
      <c r="C2613" s="2" t="s">
        <v>17686</v>
      </c>
      <c r="D2613" s="2" t="s">
        <v>27</v>
      </c>
      <c r="E2613" s="2">
        <v>61</v>
      </c>
      <c r="F2613" s="2">
        <v>1212.859</v>
      </c>
    </row>
    <row r="2614" spans="3:6" x14ac:dyDescent="0.25">
      <c r="C2614" s="2" t="s">
        <v>17687</v>
      </c>
      <c r="D2614" s="2" t="s">
        <v>27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5175</v>
      </c>
      <c r="C2616" s="2" t="s">
        <v>17688</v>
      </c>
      <c r="D2616" s="2" t="s">
        <v>122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17689</v>
      </c>
      <c r="D2617" s="2" t="s">
        <v>122</v>
      </c>
      <c r="E2617" s="2">
        <v>59</v>
      </c>
      <c r="F2617" s="2">
        <v>1241.93</v>
      </c>
    </row>
    <row r="2618" spans="3:6" x14ac:dyDescent="0.25">
      <c r="C2618" s="2" t="s">
        <v>17690</v>
      </c>
      <c r="D2618" s="2" t="s">
        <v>122</v>
      </c>
      <c r="E2618" s="2">
        <v>40</v>
      </c>
      <c r="F2618" s="2">
        <v>758.429</v>
      </c>
    </row>
    <row r="2619" spans="3:6" x14ac:dyDescent="0.25">
      <c r="C2619" s="2" t="s">
        <v>17691</v>
      </c>
      <c r="D2619" s="2" t="s">
        <v>122</v>
      </c>
      <c r="E2619" s="2">
        <v>6</v>
      </c>
      <c r="F2619" s="2">
        <v>68.662</v>
      </c>
    </row>
    <row r="2620" spans="3:6" x14ac:dyDescent="0.25">
      <c r="C2620" s="2" t="s">
        <v>17692</v>
      </c>
      <c r="D2620" s="2" t="s">
        <v>122</v>
      </c>
      <c r="E2620" s="2">
        <v>16</v>
      </c>
      <c r="F2620" s="2">
        <v>306.09</v>
      </c>
    </row>
    <row r="2621" spans="3:6" x14ac:dyDescent="0.25">
      <c r="C2621" s="2" t="s">
        <v>17693</v>
      </c>
      <c r="D2621" s="2" t="s">
        <v>122</v>
      </c>
      <c r="E2621" s="2">
        <v>36</v>
      </c>
      <c r="F2621" s="2">
        <v>358.034</v>
      </c>
    </row>
    <row r="2622" spans="3:6" x14ac:dyDescent="0.25">
      <c r="C2622" s="2" t="s">
        <v>17694</v>
      </c>
      <c r="D2622" s="2" t="s">
        <v>122</v>
      </c>
      <c r="E2622" s="2">
        <v>30</v>
      </c>
      <c r="F2622" s="2">
        <v>591.1</v>
      </c>
    </row>
    <row r="2623" spans="3:6" x14ac:dyDescent="0.25">
      <c r="C2623" s="2" t="s">
        <v>17695</v>
      </c>
      <c r="D2623" s="2" t="s">
        <v>122</v>
      </c>
      <c r="E2623" s="2">
        <v>40</v>
      </c>
      <c r="F2623" s="2">
        <v>779.86</v>
      </c>
    </row>
    <row r="2624" spans="3:6" x14ac:dyDescent="0.25">
      <c r="C2624" s="2" t="s">
        <v>17696</v>
      </c>
      <c r="D2624" s="2" t="s">
        <v>122</v>
      </c>
      <c r="E2624" s="2">
        <v>21</v>
      </c>
      <c r="F2624" s="2">
        <v>430.7</v>
      </c>
    </row>
    <row r="2625" spans="3:6" x14ac:dyDescent="0.25">
      <c r="C2625" s="2" t="s">
        <v>17697</v>
      </c>
      <c r="D2625" s="2" t="s">
        <v>122</v>
      </c>
      <c r="E2625" s="2">
        <v>141</v>
      </c>
      <c r="F2625" s="2">
        <v>2736.25</v>
      </c>
    </row>
    <row r="2626" spans="3:6" x14ac:dyDescent="0.25">
      <c r="C2626" s="2" t="s">
        <v>17698</v>
      </c>
      <c r="D2626" s="2" t="s">
        <v>122</v>
      </c>
      <c r="E2626" s="2">
        <v>32</v>
      </c>
      <c r="F2626" s="2">
        <v>641.05</v>
      </c>
    </row>
    <row r="2627" spans="3:6" x14ac:dyDescent="0.25">
      <c r="C2627" s="2" t="s">
        <v>17699</v>
      </c>
      <c r="D2627" s="2" t="s">
        <v>122</v>
      </c>
      <c r="E2627" s="2">
        <v>9</v>
      </c>
      <c r="F2627" s="2">
        <v>157.73</v>
      </c>
    </row>
    <row r="2628" spans="3:6" x14ac:dyDescent="0.25">
      <c r="C2628" s="2" t="s">
        <v>17700</v>
      </c>
      <c r="D2628" s="2" t="s">
        <v>122</v>
      </c>
      <c r="E2628" s="2">
        <v>10</v>
      </c>
      <c r="F2628" s="2">
        <v>102.2</v>
      </c>
    </row>
    <row r="2629" spans="3:6" x14ac:dyDescent="0.25">
      <c r="C2629" s="2" t="s">
        <v>17701</v>
      </c>
      <c r="D2629" s="2" t="s">
        <v>122</v>
      </c>
      <c r="E2629" s="2">
        <v>11</v>
      </c>
      <c r="F2629" s="2">
        <v>201.35</v>
      </c>
    </row>
    <row r="2630" spans="3:6" x14ac:dyDescent="0.25">
      <c r="C2630" s="2" t="s">
        <v>17702</v>
      </c>
      <c r="D2630" s="2" t="s">
        <v>122</v>
      </c>
      <c r="E2630" s="2">
        <v>11</v>
      </c>
      <c r="F2630" s="2">
        <v>202.1</v>
      </c>
    </row>
    <row r="2631" spans="3:6" x14ac:dyDescent="0.25">
      <c r="C2631" s="2" t="s">
        <v>17703</v>
      </c>
      <c r="D2631" s="2" t="s">
        <v>122</v>
      </c>
      <c r="E2631" s="2">
        <v>32</v>
      </c>
      <c r="F2631" s="2">
        <v>657.65</v>
      </c>
    </row>
    <row r="2632" spans="3:6" x14ac:dyDescent="0.25">
      <c r="C2632" s="2" t="s">
        <v>17704</v>
      </c>
      <c r="D2632" s="2" t="s">
        <v>122</v>
      </c>
      <c r="E2632" s="2">
        <v>62</v>
      </c>
      <c r="F2632" s="2">
        <v>2210.548</v>
      </c>
    </row>
    <row r="2633" spans="3:6" x14ac:dyDescent="0.25">
      <c r="C2633" s="2" t="s">
        <v>17705</v>
      </c>
      <c r="D2633" s="2" t="s">
        <v>122</v>
      </c>
      <c r="E2633" s="2">
        <v>62</v>
      </c>
      <c r="F2633" s="2">
        <v>2230.099</v>
      </c>
    </row>
    <row r="2634" spans="3:6" x14ac:dyDescent="0.25">
      <c r="C2634" s="2" t="s">
        <v>17706</v>
      </c>
      <c r="D2634" s="2" t="s">
        <v>122</v>
      </c>
      <c r="E2634" s="2">
        <v>141</v>
      </c>
      <c r="F2634" s="2">
        <v>2944.529</v>
      </c>
    </row>
    <row r="2635" spans="3:6" x14ac:dyDescent="0.25">
      <c r="C2635" s="2" t="s">
        <v>17707</v>
      </c>
      <c r="D2635" s="2" t="s">
        <v>122</v>
      </c>
      <c r="E2635" s="2">
        <v>67</v>
      </c>
      <c r="F2635" s="2">
        <v>1413.89</v>
      </c>
    </row>
    <row r="2636" spans="3:6" x14ac:dyDescent="0.25">
      <c r="C2636" s="2" t="s">
        <v>17708</v>
      </c>
      <c r="D2636" s="2" t="s">
        <v>122</v>
      </c>
      <c r="E2636" s="2">
        <v>74</v>
      </c>
      <c r="F2636" s="2">
        <v>1508.46</v>
      </c>
    </row>
    <row r="2637" spans="3:6" x14ac:dyDescent="0.25">
      <c r="C2637" s="2" t="s">
        <v>17709</v>
      </c>
      <c r="D2637" s="2" t="s">
        <v>122</v>
      </c>
      <c r="E2637" s="2">
        <v>11</v>
      </c>
      <c r="F2637" s="2">
        <v>181.78</v>
      </c>
    </row>
    <row r="2638" spans="3:6" x14ac:dyDescent="0.25">
      <c r="C2638" s="2" t="s">
        <v>17710</v>
      </c>
      <c r="D2638" s="2" t="s">
        <v>122</v>
      </c>
      <c r="E2638" s="2">
        <v>110</v>
      </c>
      <c r="F2638" s="2">
        <v>932.868</v>
      </c>
    </row>
    <row r="2639" spans="3:6" x14ac:dyDescent="0.25">
      <c r="C2639" s="2" t="s">
        <v>17711</v>
      </c>
      <c r="D2639" s="2" t="s">
        <v>122</v>
      </c>
      <c r="E2639" s="2">
        <v>141</v>
      </c>
      <c r="F2639" s="2">
        <v>2921.93</v>
      </c>
    </row>
    <row r="2640" spans="3:6" x14ac:dyDescent="0.25">
      <c r="C2640" s="2" t="s">
        <v>17712</v>
      </c>
      <c r="D2640" s="2" t="s">
        <v>122</v>
      </c>
      <c r="E2640" s="2">
        <v>34</v>
      </c>
      <c r="F2640" s="2">
        <v>697.6</v>
      </c>
    </row>
    <row r="2641" spans="3:6" x14ac:dyDescent="0.25">
      <c r="C2641" s="2" t="s">
        <v>17713</v>
      </c>
      <c r="D2641" s="2" t="s">
        <v>122</v>
      </c>
      <c r="E2641" s="2">
        <v>22</v>
      </c>
      <c r="F2641" s="2">
        <v>444.48</v>
      </c>
    </row>
    <row r="2642" spans="3:6" x14ac:dyDescent="0.25">
      <c r="C2642" s="2" t="s">
        <v>17714</v>
      </c>
      <c r="D2642" s="2" t="s">
        <v>122</v>
      </c>
      <c r="E2642" s="2">
        <v>17</v>
      </c>
      <c r="F2642" s="2">
        <v>333.87</v>
      </c>
    </row>
    <row r="2643" spans="3:6" x14ac:dyDescent="0.25">
      <c r="C2643" s="2" t="s">
        <v>17715</v>
      </c>
      <c r="D2643" s="2" t="s">
        <v>122</v>
      </c>
      <c r="E2643" s="2">
        <v>29</v>
      </c>
      <c r="F2643" s="2">
        <v>603.3</v>
      </c>
    </row>
    <row r="2644" spans="3:6" x14ac:dyDescent="0.25">
      <c r="C2644" s="2" t="s">
        <v>17716</v>
      </c>
      <c r="D2644" s="2" t="s">
        <v>122</v>
      </c>
      <c r="E2644" s="2">
        <v>228</v>
      </c>
      <c r="F2644" s="2">
        <f>555.229+427</f>
        <v>982.229</v>
      </c>
    </row>
    <row r="2645" spans="3:6" x14ac:dyDescent="0.25">
      <c r="C2645" s="2" t="s">
        <v>17717</v>
      </c>
      <c r="D2645" s="2" t="s">
        <v>122</v>
      </c>
      <c r="E2645" s="2">
        <v>61</v>
      </c>
      <c r="F2645" s="2">
        <v>1274.89</v>
      </c>
    </row>
    <row r="2646" spans="3:6" x14ac:dyDescent="0.25">
      <c r="C2646" s="2" t="s">
        <v>17718</v>
      </c>
      <c r="D2646" s="2" t="s">
        <v>122</v>
      </c>
      <c r="E2646" s="2">
        <v>60</v>
      </c>
      <c r="F2646" s="2">
        <v>1167.39</v>
      </c>
    </row>
    <row r="2647" spans="3:6" x14ac:dyDescent="0.25">
      <c r="C2647" s="2" t="s">
        <v>17719</v>
      </c>
      <c r="D2647" s="2" t="s">
        <v>122</v>
      </c>
      <c r="E2647" s="2">
        <v>33</v>
      </c>
      <c r="F2647" s="2">
        <v>683.92</v>
      </c>
    </row>
    <row r="2648" spans="3:6" x14ac:dyDescent="0.25">
      <c r="C2648" s="2" t="s">
        <v>17720</v>
      </c>
      <c r="D2648" s="2" t="s">
        <v>122</v>
      </c>
      <c r="E2648" s="2">
        <v>71</v>
      </c>
      <c r="F2648" s="2">
        <v>1370.58</v>
      </c>
    </row>
    <row r="2649" spans="3:6" x14ac:dyDescent="0.25">
      <c r="C2649" s="2" t="s">
        <v>17721</v>
      </c>
      <c r="D2649" s="2" t="s">
        <v>122</v>
      </c>
      <c r="E2649" s="2">
        <v>30</v>
      </c>
      <c r="F2649" s="2">
        <v>621.22</v>
      </c>
    </row>
    <row r="2650" spans="3:6" x14ac:dyDescent="0.25">
      <c r="C2650" s="2" t="s">
        <v>17722</v>
      </c>
      <c r="D2650" s="2" t="s">
        <v>122</v>
      </c>
      <c r="E2650" s="2">
        <v>141</v>
      </c>
      <c r="F2650" s="2">
        <v>2924.95</v>
      </c>
    </row>
    <row r="2651" spans="3:6" x14ac:dyDescent="0.25">
      <c r="C2651" s="2" t="s">
        <v>17723</v>
      </c>
      <c r="D2651" s="2" t="s">
        <v>122</v>
      </c>
      <c r="E2651" s="2">
        <v>141</v>
      </c>
      <c r="F2651" s="2">
        <v>2883.19</v>
      </c>
    </row>
    <row r="2652" spans="3:6" x14ac:dyDescent="0.25">
      <c r="C2652" s="2" t="s">
        <v>17724</v>
      </c>
      <c r="D2652" s="2" t="s">
        <v>122</v>
      </c>
      <c r="E2652" s="2">
        <v>102</v>
      </c>
      <c r="F2652" s="2">
        <v>2119.51</v>
      </c>
    </row>
    <row r="2653" spans="3:6" x14ac:dyDescent="0.25">
      <c r="C2653" s="2" t="s">
        <v>17725</v>
      </c>
      <c r="D2653" s="2" t="s">
        <v>122</v>
      </c>
      <c r="E2653" s="2">
        <v>50</v>
      </c>
      <c r="F2653" s="2">
        <v>1043.51</v>
      </c>
    </row>
    <row r="2654" spans="3:6" x14ac:dyDescent="0.25">
      <c r="C2654" s="2" t="s">
        <v>17726</v>
      </c>
      <c r="D2654" s="2" t="s">
        <v>122</v>
      </c>
      <c r="E2654" s="2">
        <v>38</v>
      </c>
      <c r="F2654" s="2">
        <v>795.11</v>
      </c>
    </row>
    <row r="2655" spans="3:6" x14ac:dyDescent="0.25">
      <c r="C2655" s="2" t="s">
        <v>17727</v>
      </c>
      <c r="D2655" s="2" t="s">
        <v>122</v>
      </c>
      <c r="E2655" s="2">
        <v>14</v>
      </c>
      <c r="F2655" s="2">
        <v>314.15</v>
      </c>
    </row>
    <row r="2656" spans="3:6" x14ac:dyDescent="0.25">
      <c r="C2656" s="2" t="s">
        <v>17728</v>
      </c>
      <c r="D2656" s="2" t="s">
        <v>122</v>
      </c>
      <c r="E2656" s="2">
        <v>30</v>
      </c>
      <c r="F2656" s="2">
        <v>644.43</v>
      </c>
    </row>
    <row r="2657" spans="3:6" x14ac:dyDescent="0.25">
      <c r="C2657" s="2" t="s">
        <v>17729</v>
      </c>
      <c r="D2657" s="2" t="s">
        <v>122</v>
      </c>
      <c r="E2657" s="2">
        <v>45</v>
      </c>
      <c r="F2657" s="2">
        <v>889.05</v>
      </c>
    </row>
    <row r="2658" spans="3:6" x14ac:dyDescent="0.25">
      <c r="C2658" s="2" t="s">
        <v>17730</v>
      </c>
      <c r="D2658" s="2" t="s">
        <v>122</v>
      </c>
      <c r="E2658" s="2">
        <v>141</v>
      </c>
      <c r="F2658" s="2">
        <v>2828.65</v>
      </c>
    </row>
    <row r="2659" spans="3:6" x14ac:dyDescent="0.25">
      <c r="C2659" s="2" t="s">
        <v>17731</v>
      </c>
      <c r="D2659" s="2" t="s">
        <v>122</v>
      </c>
      <c r="E2659" s="2">
        <v>90</v>
      </c>
      <c r="F2659" s="2">
        <v>1848.762</v>
      </c>
    </row>
    <row r="2660" spans="3:6" x14ac:dyDescent="0.25">
      <c r="C2660" s="2" t="s">
        <v>17732</v>
      </c>
      <c r="D2660" s="2" t="s">
        <v>122</v>
      </c>
      <c r="E2660" s="2">
        <v>51</v>
      </c>
      <c r="F2660" s="2">
        <v>1040.56</v>
      </c>
    </row>
    <row r="2661" spans="3:6" x14ac:dyDescent="0.25">
      <c r="C2661" s="2" t="s">
        <v>17733</v>
      </c>
      <c r="D2661" s="2" t="s">
        <v>122</v>
      </c>
      <c r="E2661" s="2">
        <v>107</v>
      </c>
      <c r="F2661" s="2">
        <v>2272.97</v>
      </c>
    </row>
    <row r="2662" spans="3:6" x14ac:dyDescent="0.25">
      <c r="C2662" s="2" t="s">
        <v>17734</v>
      </c>
      <c r="D2662" s="2" t="s">
        <v>122</v>
      </c>
      <c r="E2662" s="2">
        <v>34</v>
      </c>
      <c r="F2662" s="2">
        <v>688.2</v>
      </c>
    </row>
    <row r="2663" spans="3:6" x14ac:dyDescent="0.25">
      <c r="C2663" s="2" t="s">
        <v>17735</v>
      </c>
      <c r="D2663" s="2" t="s">
        <v>122</v>
      </c>
      <c r="E2663" s="2">
        <v>57</v>
      </c>
      <c r="F2663" s="2">
        <v>1169.95</v>
      </c>
    </row>
    <row r="2664" spans="3:6" x14ac:dyDescent="0.25">
      <c r="C2664" s="2" t="s">
        <v>17736</v>
      </c>
      <c r="D2664" s="2" t="s">
        <v>122</v>
      </c>
      <c r="E2664" s="2">
        <v>37</v>
      </c>
      <c r="F2664" s="2">
        <v>748.94</v>
      </c>
    </row>
    <row r="2665" spans="3:6" x14ac:dyDescent="0.25">
      <c r="C2665" s="2" t="s">
        <v>17737</v>
      </c>
      <c r="D2665" s="2" t="s">
        <v>122</v>
      </c>
      <c r="E2665" s="2">
        <v>22</v>
      </c>
      <c r="F2665" s="2">
        <v>452.03</v>
      </c>
    </row>
    <row r="2666" spans="3:6" x14ac:dyDescent="0.25">
      <c r="C2666" s="2" t="s">
        <v>17738</v>
      </c>
      <c r="D2666" s="2" t="s">
        <v>122</v>
      </c>
      <c r="E2666" s="2">
        <v>25</v>
      </c>
      <c r="F2666" s="2">
        <v>550.85</v>
      </c>
    </row>
    <row r="2667" spans="3:6" x14ac:dyDescent="0.25">
      <c r="C2667" s="2" t="s">
        <v>17739</v>
      </c>
      <c r="D2667" s="2" t="s">
        <v>122</v>
      </c>
      <c r="E2667" s="2">
        <v>88</v>
      </c>
      <c r="F2667" s="2">
        <v>1736.64</v>
      </c>
    </row>
    <row r="2668" spans="3:6" x14ac:dyDescent="0.25">
      <c r="C2668" s="2" t="s">
        <v>17740</v>
      </c>
      <c r="D2668" s="2" t="s">
        <v>122</v>
      </c>
      <c r="E2668" s="2">
        <v>53</v>
      </c>
      <c r="F2668" s="2">
        <v>1096.99</v>
      </c>
    </row>
    <row r="2669" spans="3:6" x14ac:dyDescent="0.25">
      <c r="C2669" s="2" t="s">
        <v>17741</v>
      </c>
      <c r="D2669" s="2" t="s">
        <v>122</v>
      </c>
      <c r="E2669" s="2">
        <v>51</v>
      </c>
      <c r="F2669" s="2">
        <v>1026.039</v>
      </c>
    </row>
    <row r="2670" spans="3:6" x14ac:dyDescent="0.25">
      <c r="C2670" s="2" t="s">
        <v>17742</v>
      </c>
      <c r="D2670" s="2" t="s">
        <v>122</v>
      </c>
      <c r="E2670" s="2">
        <v>29</v>
      </c>
      <c r="F2670" s="2">
        <v>590.3</v>
      </c>
    </row>
    <row r="2671" spans="3:6" x14ac:dyDescent="0.25">
      <c r="C2671" s="2" t="s">
        <v>17743</v>
      </c>
      <c r="D2671" s="2" t="s">
        <v>122</v>
      </c>
      <c r="E2671" s="2">
        <v>44</v>
      </c>
      <c r="F2671" s="2">
        <v>873.27</v>
      </c>
    </row>
    <row r="2672" spans="3:6" x14ac:dyDescent="0.25">
      <c r="C2672" s="2" t="s">
        <v>17744</v>
      </c>
      <c r="D2672" s="2" t="s">
        <v>122</v>
      </c>
      <c r="E2672" s="2">
        <v>17</v>
      </c>
      <c r="F2672" s="2">
        <v>343.43</v>
      </c>
    </row>
    <row r="2673" spans="3:6" x14ac:dyDescent="0.25">
      <c r="C2673" s="2" t="s">
        <v>17745</v>
      </c>
      <c r="D2673" s="2" t="s">
        <v>122</v>
      </c>
      <c r="E2673" s="2">
        <v>83</v>
      </c>
      <c r="F2673" s="2">
        <v>1720.38</v>
      </c>
    </row>
    <row r="2674" spans="3:6" x14ac:dyDescent="0.25">
      <c r="C2674" s="2" t="s">
        <v>17746</v>
      </c>
      <c r="D2674" s="2" t="s">
        <v>122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10</v>
      </c>
      <c r="C2676" s="2" t="s">
        <v>17747</v>
      </c>
      <c r="D2676" s="2" t="s">
        <v>12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17748</v>
      </c>
      <c r="D2677" s="2" t="s">
        <v>12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503</v>
      </c>
      <c r="C2679" s="2" t="s">
        <v>17749</v>
      </c>
      <c r="D2679" s="2" t="s">
        <v>42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17750</v>
      </c>
      <c r="C2681" s="2" t="s">
        <v>17751</v>
      </c>
      <c r="D2681" s="2" t="s">
        <v>342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17752</v>
      </c>
      <c r="D2682" s="2" t="s">
        <v>214</v>
      </c>
      <c r="E2682" s="2">
        <v>105</v>
      </c>
      <c r="F2682" s="2">
        <v>1726.71</v>
      </c>
    </row>
    <row r="2683" spans="3:6" x14ac:dyDescent="0.25">
      <c r="C2683" s="2" t="s">
        <v>17753</v>
      </c>
      <c r="D2683" s="2" t="s">
        <v>214</v>
      </c>
      <c r="E2683" s="2">
        <v>156</v>
      </c>
      <c r="F2683" s="2">
        <v>2615.61</v>
      </c>
    </row>
    <row r="2684" spans="3:6" x14ac:dyDescent="0.25">
      <c r="C2684" s="2" t="s">
        <v>17754</v>
      </c>
      <c r="D2684" s="2" t="s">
        <v>216</v>
      </c>
      <c r="E2684" s="2">
        <v>148</v>
      </c>
      <c r="F2684" s="2">
        <v>2514.139</v>
      </c>
    </row>
    <row r="2685" spans="3:6" x14ac:dyDescent="0.25">
      <c r="C2685" s="2" t="s">
        <v>17755</v>
      </c>
      <c r="D2685" s="2" t="s">
        <v>204</v>
      </c>
      <c r="E2685" s="2">
        <v>105</v>
      </c>
      <c r="F2685" s="2">
        <v>1747.168</v>
      </c>
    </row>
    <row r="2686" spans="3:6" x14ac:dyDescent="0.25">
      <c r="C2686" s="2" t="s">
        <v>17756</v>
      </c>
      <c r="D2686" s="2" t="s">
        <v>204</v>
      </c>
      <c r="E2686" s="2">
        <v>105</v>
      </c>
      <c r="F2686" s="2">
        <v>1954.02</v>
      </c>
    </row>
    <row r="2687" spans="3:6" x14ac:dyDescent="0.25">
      <c r="C2687" s="2" t="s">
        <v>17757</v>
      </c>
      <c r="D2687" s="2" t="s">
        <v>297</v>
      </c>
      <c r="E2687" s="2">
        <v>156</v>
      </c>
      <c r="F2687" s="2">
        <v>3015.648</v>
      </c>
    </row>
    <row r="2688" spans="3:6" x14ac:dyDescent="0.25">
      <c r="C2688" s="2" t="s">
        <v>17758</v>
      </c>
      <c r="D2688" s="2" t="s">
        <v>214</v>
      </c>
      <c r="E2688" s="2">
        <v>156</v>
      </c>
      <c r="F2688" s="2">
        <v>2740.329</v>
      </c>
    </row>
    <row r="2689" spans="3:6" x14ac:dyDescent="0.25">
      <c r="C2689" s="2" t="s">
        <v>17759</v>
      </c>
      <c r="D2689" s="2" t="s">
        <v>297</v>
      </c>
      <c r="E2689" s="2">
        <v>156</v>
      </c>
      <c r="F2689" s="2">
        <v>3061.929</v>
      </c>
    </row>
    <row r="2691" spans="3:7" x14ac:dyDescent="0.25">
      <c r="C2691" s="2" t="s">
        <v>17760</v>
      </c>
      <c r="D2691" s="2" t="s">
        <v>204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17761</v>
      </c>
      <c r="D2692" s="2" t="s">
        <v>204</v>
      </c>
      <c r="E2692" s="2">
        <v>40</v>
      </c>
      <c r="F2692" s="2">
        <v>744</v>
      </c>
    </row>
    <row r="2693" spans="3:6" x14ac:dyDescent="0.25">
      <c r="C2693" s="2" t="s">
        <v>17762</v>
      </c>
      <c r="D2693" s="2" t="s">
        <v>204</v>
      </c>
      <c r="E2693" s="2">
        <v>68</v>
      </c>
      <c r="F2693" s="2">
        <v>1357.04</v>
      </c>
    </row>
    <row r="2694" spans="3:6" x14ac:dyDescent="0.25">
      <c r="C2694" s="2" t="s">
        <v>17763</v>
      </c>
      <c r="D2694" s="2" t="s">
        <v>204</v>
      </c>
      <c r="E2694" s="2">
        <v>26</v>
      </c>
      <c r="F2694" s="2">
        <v>518.098</v>
      </c>
    </row>
    <row r="2695" spans="3:6" x14ac:dyDescent="0.25">
      <c r="C2695" s="2" t="s">
        <v>17764</v>
      </c>
      <c r="D2695" s="2" t="s">
        <v>204</v>
      </c>
      <c r="E2695" s="2">
        <v>134</v>
      </c>
      <c r="F2695" s="2">
        <v>2655.04</v>
      </c>
    </row>
    <row r="2696" spans="3:6" x14ac:dyDescent="0.25">
      <c r="C2696" s="2" t="s">
        <v>17765</v>
      </c>
      <c r="D2696" s="2" t="s">
        <v>204</v>
      </c>
      <c r="E2696" s="2">
        <v>105</v>
      </c>
      <c r="F2696" s="2">
        <v>800</v>
      </c>
    </row>
    <row r="2697" spans="3:6" x14ac:dyDescent="0.25">
      <c r="C2697" s="2" t="s">
        <v>17766</v>
      </c>
      <c r="D2697" s="2" t="s">
        <v>204</v>
      </c>
      <c r="E2697" s="2">
        <v>150</v>
      </c>
      <c r="F2697" s="2">
        <v>800</v>
      </c>
    </row>
    <row r="2698" spans="3:6" x14ac:dyDescent="0.25">
      <c r="C2698" s="2" t="s">
        <v>17767</v>
      </c>
      <c r="D2698" s="2" t="s">
        <v>204</v>
      </c>
      <c r="E2698" s="2">
        <v>36</v>
      </c>
      <c r="F2698" s="2">
        <v>705.22</v>
      </c>
    </row>
    <row r="2699" spans="3:6" x14ac:dyDescent="0.25">
      <c r="C2699" s="2" t="s">
        <v>17768</v>
      </c>
      <c r="D2699" s="2" t="s">
        <v>214</v>
      </c>
      <c r="E2699" s="2">
        <v>156</v>
      </c>
      <c r="F2699" s="2">
        <v>3092.34</v>
      </c>
    </row>
    <row r="2700" spans="3:6" x14ac:dyDescent="0.25">
      <c r="C2700" s="2" t="s">
        <v>17769</v>
      </c>
      <c r="D2700" s="2" t="s">
        <v>216</v>
      </c>
      <c r="E2700" s="2">
        <v>134</v>
      </c>
      <c r="F2700" s="2">
        <v>2711.32</v>
      </c>
    </row>
    <row r="2701" spans="3:6" x14ac:dyDescent="0.25">
      <c r="C2701" s="2" t="s">
        <v>17770</v>
      </c>
      <c r="D2701" s="2" t="s">
        <v>216</v>
      </c>
      <c r="E2701" s="2">
        <v>95</v>
      </c>
      <c r="F2701" s="2">
        <v>1940.609</v>
      </c>
    </row>
    <row r="2702" spans="3:6" x14ac:dyDescent="0.25">
      <c r="C2702" s="2" t="s">
        <v>17771</v>
      </c>
      <c r="D2702" s="2" t="s">
        <v>216</v>
      </c>
      <c r="E2702" s="2">
        <v>56</v>
      </c>
      <c r="F2702" s="2">
        <v>1106.75</v>
      </c>
    </row>
    <row r="2703" spans="3:6" x14ac:dyDescent="0.25">
      <c r="C2703" s="2" t="s">
        <v>17772</v>
      </c>
      <c r="D2703" s="2" t="s">
        <v>216</v>
      </c>
      <c r="E2703" s="2">
        <v>52</v>
      </c>
      <c r="F2703" s="2">
        <v>933.7</v>
      </c>
    </row>
    <row r="2704" spans="3:6" x14ac:dyDescent="0.25">
      <c r="C2704" s="2" t="s">
        <v>17773</v>
      </c>
      <c r="D2704" s="2" t="s">
        <v>347</v>
      </c>
      <c r="E2704" s="2">
        <v>100</v>
      </c>
      <c r="F2704" s="2">
        <v>1915.5</v>
      </c>
    </row>
    <row r="2705" spans="3:6" x14ac:dyDescent="0.25">
      <c r="C2705" s="2" t="s">
        <v>17774</v>
      </c>
      <c r="D2705" s="2" t="s">
        <v>347</v>
      </c>
      <c r="E2705" s="2">
        <v>13</v>
      </c>
      <c r="F2705" s="2">
        <v>255.77</v>
      </c>
    </row>
    <row r="2706" spans="3:6" x14ac:dyDescent="0.25">
      <c r="C2706" s="2" t="s">
        <v>17775</v>
      </c>
      <c r="D2706" s="2" t="s">
        <v>347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13576</v>
      </c>
      <c r="C2708" s="2" t="s">
        <v>17776</v>
      </c>
      <c r="D2708" s="2" t="s">
        <v>1288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17777</v>
      </c>
      <c r="D2709" s="2" t="s">
        <v>1288</v>
      </c>
      <c r="E2709" s="2">
        <v>47</v>
      </c>
      <c r="F2709" s="2">
        <v>1599.18</v>
      </c>
    </row>
    <row r="2710" spans="3:6" x14ac:dyDescent="0.25">
      <c r="C2710" s="2" t="s">
        <v>17778</v>
      </c>
      <c r="D2710" s="2" t="s">
        <v>1288</v>
      </c>
      <c r="E2710" s="2">
        <v>105</v>
      </c>
      <c r="F2710" s="2">
        <v>2044.96</v>
      </c>
    </row>
    <row r="2711" spans="3:6" x14ac:dyDescent="0.25">
      <c r="C2711" s="2" t="s">
        <v>17779</v>
      </c>
      <c r="D2711" s="2" t="s">
        <v>1288</v>
      </c>
      <c r="E2711" s="2">
        <v>18</v>
      </c>
      <c r="F2711" s="2">
        <v>616.9</v>
      </c>
    </row>
    <row r="2712" spans="3:6" x14ac:dyDescent="0.25">
      <c r="C2712" s="2" t="s">
        <v>17780</v>
      </c>
      <c r="D2712" s="2" t="s">
        <v>1288</v>
      </c>
      <c r="E2712" s="2">
        <v>67</v>
      </c>
      <c r="F2712" s="2">
        <v>1297.82</v>
      </c>
    </row>
    <row r="2713" spans="3:6" x14ac:dyDescent="0.25">
      <c r="C2713" s="2" t="s">
        <v>17781</v>
      </c>
      <c r="D2713" s="2" t="s">
        <v>1288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172</v>
      </c>
      <c r="C2715" s="2" t="s">
        <v>17782</v>
      </c>
      <c r="D2715" s="2" t="s">
        <v>9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17783</v>
      </c>
      <c r="D2716" s="2" t="s">
        <v>9</v>
      </c>
      <c r="E2716" s="2">
        <v>123</v>
      </c>
      <c r="F2716" s="2">
        <v>2549.91</v>
      </c>
    </row>
    <row r="2717" spans="3:6" x14ac:dyDescent="0.25">
      <c r="C2717" s="2" t="s">
        <v>17784</v>
      </c>
      <c r="D2717" s="2" t="s">
        <v>9</v>
      </c>
      <c r="E2717" s="2">
        <v>102</v>
      </c>
      <c r="F2717" s="2">
        <v>2093.51</v>
      </c>
    </row>
    <row r="2718" spans="3:6" x14ac:dyDescent="0.25">
      <c r="C2718" s="2" t="s">
        <v>17785</v>
      </c>
      <c r="D2718" s="2" t="s">
        <v>9</v>
      </c>
      <c r="E2718" s="2">
        <v>28</v>
      </c>
      <c r="F2718" s="2">
        <v>545.99</v>
      </c>
    </row>
    <row r="2719" spans="3:6" x14ac:dyDescent="0.25">
      <c r="C2719" s="2" t="s">
        <v>17786</v>
      </c>
      <c r="D2719" s="2" t="s">
        <v>9</v>
      </c>
      <c r="E2719" s="2">
        <v>95</v>
      </c>
      <c r="F2719" s="2">
        <v>1828.11</v>
      </c>
    </row>
    <row r="2720" spans="3:6" x14ac:dyDescent="0.25">
      <c r="C2720" s="2" t="s">
        <v>17787</v>
      </c>
      <c r="D2720" s="2" t="s">
        <v>9</v>
      </c>
      <c r="E2720" s="2">
        <v>246</v>
      </c>
      <c r="F2720" s="2">
        <v>4988.049</v>
      </c>
    </row>
    <row r="2721" spans="3:6" x14ac:dyDescent="0.25">
      <c r="C2721" s="2" t="s">
        <v>17788</v>
      </c>
      <c r="D2721" s="2" t="s">
        <v>9</v>
      </c>
      <c r="E2721" s="2">
        <v>141</v>
      </c>
      <c r="F2721" s="2">
        <v>2460.368</v>
      </c>
    </row>
    <row r="2722" spans="3:6" x14ac:dyDescent="0.25">
      <c r="C2722" s="2" t="s">
        <v>17789</v>
      </c>
      <c r="D2722" s="2" t="s">
        <v>9</v>
      </c>
      <c r="E2722" s="2">
        <v>65</v>
      </c>
      <c r="F2722" s="2">
        <v>276.38</v>
      </c>
    </row>
    <row r="2723" spans="3:6" x14ac:dyDescent="0.25">
      <c r="C2723" s="2" t="s">
        <v>17790</v>
      </c>
      <c r="D2723" s="2" t="s">
        <v>9</v>
      </c>
      <c r="E2723" s="2">
        <v>100</v>
      </c>
      <c r="F2723" s="2">
        <v>1996.959</v>
      </c>
    </row>
    <row r="2724" spans="3:6" x14ac:dyDescent="0.25">
      <c r="C2724" s="2" t="s">
        <v>17791</v>
      </c>
      <c r="D2724" s="2" t="s">
        <v>9</v>
      </c>
      <c r="E2724" s="2">
        <v>41</v>
      </c>
      <c r="F2724" s="2">
        <v>883.71</v>
      </c>
    </row>
    <row r="2725" spans="3:6" x14ac:dyDescent="0.25">
      <c r="C2725" s="2" t="s">
        <v>17792</v>
      </c>
      <c r="D2725" s="2" t="s">
        <v>9</v>
      </c>
      <c r="E2725" s="2">
        <v>141</v>
      </c>
      <c r="F2725" s="2">
        <v>2904.65</v>
      </c>
    </row>
    <row r="2726" spans="3:6" x14ac:dyDescent="0.25">
      <c r="C2726" s="2" t="s">
        <v>17793</v>
      </c>
      <c r="D2726" s="2" t="s">
        <v>9</v>
      </c>
      <c r="E2726" s="2">
        <v>85</v>
      </c>
      <c r="F2726" s="2">
        <v>1658.37</v>
      </c>
    </row>
    <row r="2727" spans="3:6" x14ac:dyDescent="0.25">
      <c r="C2727" s="2" t="s">
        <v>17794</v>
      </c>
      <c r="D2727" s="2" t="s">
        <v>9</v>
      </c>
      <c r="E2727" s="2">
        <v>17</v>
      </c>
      <c r="F2727" s="2">
        <v>341.09</v>
      </c>
    </row>
    <row r="2728" spans="3:6" x14ac:dyDescent="0.25">
      <c r="C2728" s="2" t="s">
        <v>17795</v>
      </c>
      <c r="D2728" s="2" t="s">
        <v>9</v>
      </c>
      <c r="E2728" s="2">
        <v>9</v>
      </c>
      <c r="F2728" s="2">
        <v>39.28</v>
      </c>
    </row>
    <row r="2729" spans="3:6" x14ac:dyDescent="0.25">
      <c r="C2729" s="2" t="s">
        <v>17796</v>
      </c>
      <c r="D2729" s="2" t="s">
        <v>9</v>
      </c>
      <c r="E2729" s="2">
        <v>141</v>
      </c>
      <c r="F2729" s="2">
        <v>2894.73</v>
      </c>
    </row>
    <row r="2730" spans="3:6" x14ac:dyDescent="0.25">
      <c r="C2730" s="2" t="s">
        <v>17797</v>
      </c>
      <c r="D2730" s="2" t="s">
        <v>9</v>
      </c>
      <c r="E2730" s="2">
        <v>62</v>
      </c>
      <c r="F2730" s="2">
        <v>1199.77</v>
      </c>
    </row>
    <row r="2731" spans="3:6" x14ac:dyDescent="0.25">
      <c r="C2731" s="2" t="s">
        <v>17798</v>
      </c>
      <c r="D2731" s="2" t="s">
        <v>9</v>
      </c>
      <c r="E2731" s="2">
        <v>64</v>
      </c>
      <c r="F2731" s="2">
        <v>1362.63</v>
      </c>
    </row>
    <row r="2732" spans="3:6" x14ac:dyDescent="0.25">
      <c r="C2732" s="2" t="s">
        <v>17799</v>
      </c>
      <c r="D2732" s="2" t="s">
        <v>9</v>
      </c>
      <c r="E2732" s="2">
        <v>137</v>
      </c>
      <c r="F2732" s="2">
        <v>2898.92</v>
      </c>
    </row>
    <row r="2733" spans="3:6" x14ac:dyDescent="0.25">
      <c r="C2733" s="2" t="s">
        <v>17800</v>
      </c>
      <c r="D2733" s="2" t="s">
        <v>9</v>
      </c>
      <c r="E2733" s="2">
        <v>137</v>
      </c>
      <c r="F2733" s="2">
        <v>2884.8</v>
      </c>
    </row>
    <row r="2734" spans="3:6" x14ac:dyDescent="0.25">
      <c r="C2734" s="2" t="s">
        <v>17801</v>
      </c>
      <c r="D2734" s="2" t="s">
        <v>9</v>
      </c>
      <c r="E2734" s="2">
        <v>70</v>
      </c>
      <c r="F2734" s="2">
        <v>1358.49</v>
      </c>
    </row>
    <row r="2735" spans="3:6" x14ac:dyDescent="0.25">
      <c r="C2735" s="2" t="s">
        <v>17802</v>
      </c>
      <c r="D2735" s="2" t="s">
        <v>9</v>
      </c>
      <c r="E2735" s="2">
        <v>282</v>
      </c>
      <c r="F2735" s="2">
        <v>5396.917</v>
      </c>
    </row>
    <row r="2736" spans="3:6" x14ac:dyDescent="0.25">
      <c r="C2736" s="2" t="s">
        <v>17803</v>
      </c>
      <c r="D2736" s="2" t="s">
        <v>9</v>
      </c>
      <c r="E2736" s="2">
        <v>237</v>
      </c>
      <c r="F2736" s="2">
        <v>5102.73</v>
      </c>
    </row>
    <row r="2737" spans="3:6" x14ac:dyDescent="0.25">
      <c r="C2737" s="2" t="s">
        <v>17804</v>
      </c>
      <c r="D2737" s="2" t="s">
        <v>9</v>
      </c>
      <c r="E2737" s="2">
        <v>150</v>
      </c>
      <c r="F2737" s="2">
        <v>3119.53</v>
      </c>
    </row>
    <row r="2738" spans="3:6" x14ac:dyDescent="0.25">
      <c r="C2738" s="2" t="s">
        <v>17805</v>
      </c>
      <c r="D2738" s="2" t="s">
        <v>9</v>
      </c>
      <c r="E2738" s="2">
        <v>87</v>
      </c>
      <c r="F2738" s="2">
        <v>1882.38</v>
      </c>
    </row>
    <row r="2739" spans="3:6" x14ac:dyDescent="0.25">
      <c r="C2739" s="2" t="s">
        <v>17806</v>
      </c>
      <c r="D2739" s="2" t="s">
        <v>9</v>
      </c>
      <c r="E2739" s="2">
        <v>18</v>
      </c>
      <c r="F2739" s="2">
        <v>345.679</v>
      </c>
    </row>
    <row r="2740" spans="3:6" x14ac:dyDescent="0.25">
      <c r="C2740" s="2" t="s">
        <v>17807</v>
      </c>
      <c r="D2740" s="2" t="s">
        <v>9</v>
      </c>
      <c r="E2740" s="2">
        <v>106</v>
      </c>
      <c r="F2740" s="2">
        <v>2074.56</v>
      </c>
    </row>
    <row r="2741" spans="3:6" x14ac:dyDescent="0.25">
      <c r="C2741" s="2" t="s">
        <v>17808</v>
      </c>
      <c r="D2741" s="2" t="s">
        <v>9</v>
      </c>
      <c r="E2741" s="2">
        <v>17</v>
      </c>
      <c r="F2741" s="2">
        <v>336.319</v>
      </c>
    </row>
    <row r="2742" spans="3:6" x14ac:dyDescent="0.25">
      <c r="C2742" s="2" t="s">
        <v>17809</v>
      </c>
      <c r="D2742" s="2" t="s">
        <v>9</v>
      </c>
      <c r="E2742" s="2">
        <v>107</v>
      </c>
      <c r="F2742" s="2">
        <v>2027.1</v>
      </c>
    </row>
    <row r="2743" spans="3:6" x14ac:dyDescent="0.25">
      <c r="C2743" s="2" t="s">
        <v>17810</v>
      </c>
      <c r="D2743" s="2" t="s">
        <v>9</v>
      </c>
      <c r="E2743" s="2">
        <v>32</v>
      </c>
      <c r="F2743" s="2">
        <v>600.68</v>
      </c>
    </row>
    <row r="2744" spans="3:6" x14ac:dyDescent="0.25">
      <c r="C2744" s="2" t="s">
        <v>17811</v>
      </c>
      <c r="D2744" s="2" t="s">
        <v>9</v>
      </c>
      <c r="E2744" s="2">
        <v>65</v>
      </c>
      <c r="F2744" s="2">
        <v>1272.36</v>
      </c>
    </row>
    <row r="2745" spans="3:6" x14ac:dyDescent="0.25">
      <c r="C2745" s="2" t="s">
        <v>17812</v>
      </c>
      <c r="D2745" s="2" t="s">
        <v>9</v>
      </c>
      <c r="E2745" s="2">
        <v>65</v>
      </c>
      <c r="F2745" s="2">
        <v>1279.729</v>
      </c>
    </row>
    <row r="2746" spans="3:6" x14ac:dyDescent="0.25">
      <c r="C2746" s="2" t="s">
        <v>17813</v>
      </c>
      <c r="D2746" s="2" t="s">
        <v>9</v>
      </c>
      <c r="E2746" s="2">
        <v>107</v>
      </c>
      <c r="F2746" s="2">
        <v>2164.89</v>
      </c>
    </row>
    <row r="2747" spans="3:6" x14ac:dyDescent="0.25">
      <c r="C2747" s="2" t="s">
        <v>17814</v>
      </c>
      <c r="D2747" s="2" t="s">
        <v>9</v>
      </c>
      <c r="E2747" s="2">
        <v>32</v>
      </c>
      <c r="F2747" s="2">
        <v>668.44</v>
      </c>
    </row>
    <row r="2748" spans="3:6" x14ac:dyDescent="0.25">
      <c r="C2748" s="2" t="s">
        <v>17815</v>
      </c>
      <c r="D2748" s="2" t="s">
        <v>9</v>
      </c>
      <c r="E2748" s="2">
        <v>137</v>
      </c>
      <c r="F2748" s="2">
        <v>2961.97</v>
      </c>
    </row>
    <row r="2749" spans="3:6" x14ac:dyDescent="0.25">
      <c r="C2749" s="2" t="s">
        <v>17816</v>
      </c>
      <c r="D2749" s="2" t="s">
        <v>9</v>
      </c>
      <c r="E2749" s="2">
        <v>100</v>
      </c>
      <c r="F2749" s="2">
        <v>1923.33</v>
      </c>
    </row>
    <row r="2750" spans="3:6" x14ac:dyDescent="0.25">
      <c r="C2750" s="2" t="s">
        <v>17817</v>
      </c>
      <c r="D2750" s="2" t="s">
        <v>9</v>
      </c>
      <c r="E2750" s="2">
        <v>39</v>
      </c>
      <c r="F2750" s="2">
        <v>762.24</v>
      </c>
    </row>
    <row r="2751" spans="3:6" x14ac:dyDescent="0.25">
      <c r="C2751" s="2" t="s">
        <v>17818</v>
      </c>
      <c r="D2751" s="2" t="s">
        <v>9</v>
      </c>
      <c r="E2751" s="2">
        <v>63</v>
      </c>
      <c r="F2751" s="2">
        <v>1236.88</v>
      </c>
    </row>
    <row r="2752" spans="3:6" x14ac:dyDescent="0.25">
      <c r="C2752" s="2" t="s">
        <v>17819</v>
      </c>
      <c r="D2752" s="2" t="s">
        <v>9</v>
      </c>
      <c r="E2752" s="2">
        <v>46</v>
      </c>
      <c r="F2752" s="2">
        <v>951.29</v>
      </c>
    </row>
    <row r="2753" spans="3:6" x14ac:dyDescent="0.25">
      <c r="C2753" s="2" t="s">
        <v>17820</v>
      </c>
      <c r="D2753" s="2" t="s">
        <v>9</v>
      </c>
      <c r="E2753" s="2">
        <v>10</v>
      </c>
      <c r="F2753" s="2">
        <v>201.09</v>
      </c>
    </row>
    <row r="2754" spans="3:6" x14ac:dyDescent="0.25">
      <c r="C2754" s="2" t="s">
        <v>17821</v>
      </c>
      <c r="D2754" s="2" t="s">
        <v>9</v>
      </c>
      <c r="E2754" s="2">
        <v>8</v>
      </c>
      <c r="F2754" s="2">
        <v>149.68</v>
      </c>
    </row>
    <row r="2755" spans="3:6" x14ac:dyDescent="0.25">
      <c r="C2755" s="2" t="s">
        <v>17822</v>
      </c>
      <c r="D2755" s="2" t="s">
        <v>9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183</v>
      </c>
      <c r="C2757" s="2" t="s">
        <v>17823</v>
      </c>
      <c r="D2757" s="2" t="s">
        <v>122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17824</v>
      </c>
      <c r="D2758" s="2" t="s">
        <v>122</v>
      </c>
      <c r="E2758" s="2">
        <v>92</v>
      </c>
      <c r="F2758" s="2">
        <v>2189.596</v>
      </c>
    </row>
    <row r="2759" spans="3:6" x14ac:dyDescent="0.25">
      <c r="C2759" s="2" t="s">
        <v>17825</v>
      </c>
      <c r="D2759" s="2" t="s">
        <v>122</v>
      </c>
      <c r="E2759" s="2">
        <v>67</v>
      </c>
      <c r="F2759" s="2">
        <v>1723.08</v>
      </c>
    </row>
    <row r="2760" spans="3:6" x14ac:dyDescent="0.25">
      <c r="C2760" s="2" t="s">
        <v>17826</v>
      </c>
      <c r="D2760" s="2" t="s">
        <v>122</v>
      </c>
      <c r="E2760" s="2">
        <v>102</v>
      </c>
      <c r="F2760" s="2">
        <v>2076.17</v>
      </c>
    </row>
    <row r="2761" spans="3:6" x14ac:dyDescent="0.25">
      <c r="C2761" s="2" t="s">
        <v>17827</v>
      </c>
      <c r="D2761" s="2" t="s">
        <v>122</v>
      </c>
      <c r="E2761" s="2">
        <v>102</v>
      </c>
      <c r="F2761" s="2">
        <v>2184.33</v>
      </c>
    </row>
    <row r="2762" spans="3:6" x14ac:dyDescent="0.25">
      <c r="C2762" s="2" t="s">
        <v>17828</v>
      </c>
      <c r="D2762" s="2" t="s">
        <v>122</v>
      </c>
      <c r="E2762" s="2">
        <v>48</v>
      </c>
      <c r="F2762" s="2">
        <v>966.3</v>
      </c>
    </row>
    <row r="2763" spans="3:6" x14ac:dyDescent="0.25">
      <c r="C2763" s="2" t="s">
        <v>17829</v>
      </c>
      <c r="D2763" s="2" t="s">
        <v>122</v>
      </c>
      <c r="E2763" s="2">
        <v>27</v>
      </c>
      <c r="F2763" s="2">
        <v>235.844</v>
      </c>
    </row>
    <row r="2764" spans="3:6" x14ac:dyDescent="0.25">
      <c r="C2764" s="2" t="s">
        <v>17830</v>
      </c>
      <c r="D2764" s="2" t="s">
        <v>122</v>
      </c>
      <c r="E2764" s="2">
        <v>18</v>
      </c>
      <c r="F2764" s="2">
        <v>343.75</v>
      </c>
    </row>
    <row r="2765" spans="3:6" x14ac:dyDescent="0.25">
      <c r="C2765" s="2" t="s">
        <v>17831</v>
      </c>
      <c r="D2765" s="2" t="s">
        <v>122</v>
      </c>
      <c r="E2765" s="2">
        <v>91</v>
      </c>
      <c r="F2765" s="2">
        <v>2484.583</v>
      </c>
    </row>
    <row r="2766" spans="3:6" x14ac:dyDescent="0.25">
      <c r="C2766" s="2" t="s">
        <v>17832</v>
      </c>
      <c r="D2766" s="2" t="s">
        <v>122</v>
      </c>
      <c r="E2766" s="2">
        <v>82</v>
      </c>
      <c r="F2766" s="2">
        <v>2301.17</v>
      </c>
    </row>
    <row r="2767" spans="3:6" x14ac:dyDescent="0.25">
      <c r="C2767" s="2" t="s">
        <v>17833</v>
      </c>
      <c r="D2767" s="2" t="s">
        <v>122</v>
      </c>
      <c r="E2767" s="2">
        <v>40</v>
      </c>
      <c r="F2767" s="2">
        <v>782.19</v>
      </c>
    </row>
    <row r="2768" spans="3:6" x14ac:dyDescent="0.25">
      <c r="C2768" s="2" t="s">
        <v>17834</v>
      </c>
      <c r="D2768" s="2" t="s">
        <v>122</v>
      </c>
      <c r="E2768" s="2">
        <v>40</v>
      </c>
      <c r="F2768" s="2">
        <v>774.43</v>
      </c>
    </row>
    <row r="2769" spans="3:6" x14ac:dyDescent="0.25">
      <c r="C2769" s="2" t="s">
        <v>17835</v>
      </c>
      <c r="D2769" s="2" t="s">
        <v>122</v>
      </c>
      <c r="E2769" s="2">
        <v>22</v>
      </c>
      <c r="F2769" s="2">
        <v>463.37</v>
      </c>
    </row>
    <row r="2770" spans="3:6" x14ac:dyDescent="0.25">
      <c r="C2770" s="2" t="s">
        <v>17836</v>
      </c>
      <c r="D2770" s="2" t="s">
        <v>122</v>
      </c>
      <c r="E2770" s="2">
        <v>170</v>
      </c>
      <c r="F2770" s="2">
        <v>728.618</v>
      </c>
    </row>
    <row r="2771" spans="3:6" x14ac:dyDescent="0.25">
      <c r="C2771" s="2" t="s">
        <v>17837</v>
      </c>
      <c r="D2771" s="2" t="s">
        <v>122</v>
      </c>
      <c r="E2771" s="2">
        <v>102</v>
      </c>
      <c r="F2771" s="2">
        <v>2096.59</v>
      </c>
    </row>
    <row r="2772" spans="3:6" x14ac:dyDescent="0.25">
      <c r="C2772" s="2" t="s">
        <v>17838</v>
      </c>
      <c r="D2772" s="2" t="s">
        <v>122</v>
      </c>
      <c r="E2772" s="2">
        <v>121</v>
      </c>
      <c r="F2772" s="2">
        <v>2518.19</v>
      </c>
    </row>
    <row r="2773" spans="3:6" x14ac:dyDescent="0.25">
      <c r="C2773" s="2" t="s">
        <v>17839</v>
      </c>
      <c r="D2773" s="2" t="s">
        <v>122</v>
      </c>
      <c r="E2773" s="2">
        <v>100</v>
      </c>
      <c r="F2773" s="2">
        <v>1998.819</v>
      </c>
    </row>
    <row r="2774" spans="3:6" x14ac:dyDescent="0.25">
      <c r="C2774" s="2" t="s">
        <v>17840</v>
      </c>
      <c r="D2774" s="2" t="s">
        <v>122</v>
      </c>
      <c r="E2774" s="2">
        <v>21</v>
      </c>
      <c r="F2774" s="2">
        <v>411.14</v>
      </c>
    </row>
    <row r="2775" spans="3:6" x14ac:dyDescent="0.25">
      <c r="C2775" s="2" t="s">
        <v>17841</v>
      </c>
      <c r="D2775" s="2" t="s">
        <v>122</v>
      </c>
      <c r="E2775" s="2">
        <v>40</v>
      </c>
      <c r="F2775" s="2">
        <v>781.65</v>
      </c>
    </row>
    <row r="2776" spans="3:6" x14ac:dyDescent="0.25">
      <c r="C2776" s="2" t="s">
        <v>17842</v>
      </c>
      <c r="D2776" s="2" t="s">
        <v>122</v>
      </c>
      <c r="E2776" s="2">
        <v>35</v>
      </c>
      <c r="F2776" s="2">
        <v>736.03</v>
      </c>
    </row>
    <row r="2777" spans="3:6" x14ac:dyDescent="0.25">
      <c r="C2777" s="2" t="s">
        <v>17843</v>
      </c>
      <c r="D2777" s="2" t="s">
        <v>122</v>
      </c>
      <c r="E2777" s="2">
        <v>69</v>
      </c>
      <c r="F2777" s="2">
        <v>1415.799</v>
      </c>
    </row>
    <row r="2778" spans="3:6" x14ac:dyDescent="0.25">
      <c r="C2778" s="2" t="s">
        <v>17844</v>
      </c>
      <c r="D2778" s="2" t="s">
        <v>122</v>
      </c>
      <c r="E2778" s="2">
        <v>40</v>
      </c>
      <c r="F2778" s="2">
        <v>848.4</v>
      </c>
    </row>
    <row r="2779" spans="3:6" x14ac:dyDescent="0.25">
      <c r="C2779" s="2" t="s">
        <v>17845</v>
      </c>
      <c r="D2779" s="2" t="s">
        <v>122</v>
      </c>
      <c r="E2779" s="2">
        <v>32</v>
      </c>
      <c r="F2779" s="2">
        <v>692.2</v>
      </c>
    </row>
    <row r="2780" spans="3:6" x14ac:dyDescent="0.25">
      <c r="C2780" s="2" t="s">
        <v>17846</v>
      </c>
      <c r="D2780" s="2" t="s">
        <v>122</v>
      </c>
      <c r="E2780" s="2">
        <v>62</v>
      </c>
      <c r="F2780" s="2">
        <v>1332.86</v>
      </c>
    </row>
    <row r="2781" spans="3:6" x14ac:dyDescent="0.25">
      <c r="C2781" s="2" t="s">
        <v>17847</v>
      </c>
      <c r="D2781" s="2" t="s">
        <v>122</v>
      </c>
      <c r="E2781" s="2">
        <v>37</v>
      </c>
      <c r="F2781" s="2">
        <v>769.86</v>
      </c>
    </row>
    <row r="2782" spans="3:6" x14ac:dyDescent="0.25">
      <c r="C2782" s="2" t="s">
        <v>17848</v>
      </c>
      <c r="D2782" s="2" t="s">
        <v>122</v>
      </c>
      <c r="E2782" s="2">
        <v>42</v>
      </c>
      <c r="F2782" s="2">
        <v>882.07</v>
      </c>
    </row>
    <row r="2783" spans="3:6" x14ac:dyDescent="0.25">
      <c r="C2783" s="2" t="s">
        <v>17849</v>
      </c>
      <c r="D2783" s="2" t="s">
        <v>122</v>
      </c>
      <c r="E2783" s="2">
        <v>39</v>
      </c>
      <c r="F2783" s="2">
        <v>798.78</v>
      </c>
    </row>
    <row r="2784" spans="3:6" x14ac:dyDescent="0.25">
      <c r="C2784" s="2" t="s">
        <v>17850</v>
      </c>
      <c r="D2784" s="2" t="s">
        <v>122</v>
      </c>
      <c r="E2784" s="2">
        <v>55</v>
      </c>
      <c r="F2784" s="2">
        <v>1178.47</v>
      </c>
    </row>
    <row r="2785" spans="3:6" x14ac:dyDescent="0.25">
      <c r="C2785" s="2" t="s">
        <v>17851</v>
      </c>
      <c r="D2785" s="2" t="s">
        <v>122</v>
      </c>
      <c r="E2785" s="2">
        <v>14</v>
      </c>
      <c r="F2785" s="2">
        <v>280.3</v>
      </c>
    </row>
    <row r="2786" spans="3:6" x14ac:dyDescent="0.25">
      <c r="C2786" s="2" t="s">
        <v>17852</v>
      </c>
      <c r="D2786" s="2" t="s">
        <v>122</v>
      </c>
      <c r="E2786" s="2">
        <v>33</v>
      </c>
      <c r="F2786" s="2">
        <v>666.99</v>
      </c>
    </row>
    <row r="2787" spans="3:6" x14ac:dyDescent="0.25">
      <c r="C2787" s="2" t="s">
        <v>17853</v>
      </c>
      <c r="D2787" s="2" t="s">
        <v>122</v>
      </c>
      <c r="E2787" s="2">
        <v>80</v>
      </c>
      <c r="F2787" s="2">
        <v>1659.47</v>
      </c>
    </row>
    <row r="2788" spans="3:6" x14ac:dyDescent="0.25">
      <c r="C2788" s="2" t="s">
        <v>17854</v>
      </c>
      <c r="D2788" s="2" t="s">
        <v>122</v>
      </c>
      <c r="E2788" s="2">
        <v>61</v>
      </c>
      <c r="F2788" s="2">
        <v>1241.56</v>
      </c>
    </row>
    <row r="2789" spans="3:6" x14ac:dyDescent="0.25">
      <c r="C2789" s="2" t="s">
        <v>17855</v>
      </c>
      <c r="D2789" s="2" t="s">
        <v>122</v>
      </c>
      <c r="E2789" s="2">
        <v>63</v>
      </c>
      <c r="F2789" s="2">
        <v>1309.35</v>
      </c>
    </row>
    <row r="2790" spans="3:6" x14ac:dyDescent="0.25">
      <c r="C2790" s="2" t="s">
        <v>17856</v>
      </c>
      <c r="D2790" s="2" t="s">
        <v>122</v>
      </c>
      <c r="E2790" s="2">
        <v>42</v>
      </c>
      <c r="F2790" s="2">
        <v>898.7</v>
      </c>
    </row>
    <row r="2791" spans="3:6" x14ac:dyDescent="0.25">
      <c r="C2791" s="2" t="s">
        <v>17857</v>
      </c>
      <c r="D2791" s="2" t="s">
        <v>122</v>
      </c>
      <c r="E2791" s="2">
        <v>23</v>
      </c>
      <c r="F2791" s="2">
        <v>490.38</v>
      </c>
    </row>
    <row r="2792" spans="3:6" x14ac:dyDescent="0.25">
      <c r="C2792" s="2" t="s">
        <v>17858</v>
      </c>
      <c r="D2792" s="2" t="s">
        <v>122</v>
      </c>
      <c r="E2792" s="2">
        <v>13</v>
      </c>
      <c r="F2792" s="2">
        <v>263.8</v>
      </c>
    </row>
    <row r="2793" spans="3:6" x14ac:dyDescent="0.25">
      <c r="C2793" s="2" t="s">
        <v>17859</v>
      </c>
      <c r="D2793" s="2" t="s">
        <v>122</v>
      </c>
      <c r="E2793" s="2">
        <v>27</v>
      </c>
      <c r="F2793" s="2">
        <v>543.36</v>
      </c>
    </row>
    <row r="2794" spans="3:6" x14ac:dyDescent="0.25">
      <c r="C2794" s="2" t="s">
        <v>17860</v>
      </c>
      <c r="D2794" s="2" t="s">
        <v>122</v>
      </c>
      <c r="E2794" s="2">
        <v>21</v>
      </c>
      <c r="F2794" s="2">
        <v>429.71</v>
      </c>
    </row>
    <row r="2795" spans="3:6" x14ac:dyDescent="0.25">
      <c r="C2795" s="2" t="s">
        <v>17861</v>
      </c>
      <c r="D2795" s="2" t="s">
        <v>122</v>
      </c>
      <c r="E2795" s="2">
        <v>23</v>
      </c>
      <c r="F2795" s="2">
        <v>490.33</v>
      </c>
    </row>
    <row r="2796" spans="3:6" x14ac:dyDescent="0.25">
      <c r="C2796" s="2" t="s">
        <v>17862</v>
      </c>
      <c r="D2796" s="2" t="s">
        <v>122</v>
      </c>
      <c r="E2796" s="2">
        <v>26</v>
      </c>
      <c r="F2796" s="2">
        <v>564.2</v>
      </c>
    </row>
    <row r="2797" spans="3:6" x14ac:dyDescent="0.25">
      <c r="C2797" s="2" t="s">
        <v>17863</v>
      </c>
      <c r="D2797" s="2" t="s">
        <v>122</v>
      </c>
      <c r="E2797" s="2">
        <v>44</v>
      </c>
      <c r="F2797" s="2">
        <v>834.329</v>
      </c>
    </row>
    <row r="2798" spans="3:6" x14ac:dyDescent="0.25">
      <c r="C2798" s="2" t="s">
        <v>17864</v>
      </c>
      <c r="D2798" s="2" t="s">
        <v>122</v>
      </c>
      <c r="E2798" s="2">
        <v>71</v>
      </c>
      <c r="F2798" s="2">
        <v>1969.75</v>
      </c>
    </row>
    <row r="2799" spans="3:6" x14ac:dyDescent="0.25">
      <c r="C2799" s="2" t="s">
        <v>17865</v>
      </c>
      <c r="D2799" s="2" t="s">
        <v>122</v>
      </c>
      <c r="E2799" s="2">
        <v>48</v>
      </c>
      <c r="F2799" s="2">
        <v>1365.86</v>
      </c>
    </row>
    <row r="2800" spans="3:6" x14ac:dyDescent="0.25">
      <c r="C2800" s="2" t="s">
        <v>17866</v>
      </c>
      <c r="D2800" s="2" t="s">
        <v>122</v>
      </c>
      <c r="E2800" s="2">
        <v>16</v>
      </c>
      <c r="F2800" s="2">
        <v>327.87</v>
      </c>
    </row>
    <row r="2801" spans="3:6" x14ac:dyDescent="0.25">
      <c r="C2801" s="2" t="s">
        <v>17867</v>
      </c>
      <c r="D2801" s="2" t="s">
        <v>122</v>
      </c>
      <c r="E2801" s="2">
        <v>17</v>
      </c>
      <c r="F2801" s="2">
        <v>365.64</v>
      </c>
    </row>
    <row r="2802" spans="3:6" x14ac:dyDescent="0.25">
      <c r="C2802" s="2" t="s">
        <v>17868</v>
      </c>
      <c r="D2802" s="2" t="s">
        <v>122</v>
      </c>
      <c r="E2802" s="2">
        <v>12</v>
      </c>
      <c r="F2802" s="2">
        <v>257.84</v>
      </c>
    </row>
    <row r="2803" spans="3:6" x14ac:dyDescent="0.25">
      <c r="C2803" s="2" t="s">
        <v>17869</v>
      </c>
      <c r="D2803" s="2" t="s">
        <v>122</v>
      </c>
      <c r="E2803" s="2">
        <v>85</v>
      </c>
      <c r="F2803" s="2">
        <v>1867.119</v>
      </c>
    </row>
    <row r="2804" spans="3:6" x14ac:dyDescent="0.25">
      <c r="C2804" s="2" t="s">
        <v>17870</v>
      </c>
      <c r="D2804" s="2" t="s">
        <v>122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12270</v>
      </c>
      <c r="C2806" s="2" t="s">
        <v>17871</v>
      </c>
      <c r="D2806" s="2" t="s">
        <v>12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17872</v>
      </c>
      <c r="D2807" s="2" t="s">
        <v>12</v>
      </c>
      <c r="E2807" s="2">
        <v>142</v>
      </c>
      <c r="F2807" s="2">
        <v>2744.204</v>
      </c>
    </row>
    <row r="2808" spans="3:6" x14ac:dyDescent="0.25">
      <c r="C2808" s="2" t="s">
        <v>17873</v>
      </c>
      <c r="D2808" s="2" t="s">
        <v>12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2097</v>
      </c>
      <c r="C2810" s="2" t="s">
        <v>17874</v>
      </c>
      <c r="D2810" s="2" t="s">
        <v>27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17875</v>
      </c>
      <c r="D2811" s="2" t="s">
        <v>27</v>
      </c>
      <c r="E2811" s="2">
        <v>88</v>
      </c>
      <c r="F2811" s="2">
        <v>1767.76</v>
      </c>
    </row>
    <row r="2812" spans="3:6" x14ac:dyDescent="0.25">
      <c r="C2812" s="2" t="s">
        <v>17876</v>
      </c>
      <c r="D2812" s="2" t="s">
        <v>27</v>
      </c>
      <c r="E2812" s="2">
        <v>18</v>
      </c>
      <c r="F2812" s="2">
        <v>402.22</v>
      </c>
    </row>
    <row r="2813" spans="3:6" x14ac:dyDescent="0.25">
      <c r="C2813" s="2" t="s">
        <v>17877</v>
      </c>
      <c r="D2813" s="2" t="s">
        <v>27</v>
      </c>
      <c r="E2813" s="2">
        <v>45</v>
      </c>
      <c r="F2813" s="2">
        <v>816.53</v>
      </c>
    </row>
    <row r="2814" spans="3:6" x14ac:dyDescent="0.25">
      <c r="C2814" s="2" t="s">
        <v>17878</v>
      </c>
      <c r="D2814" s="2" t="s">
        <v>27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2196</v>
      </c>
      <c r="C2816" s="2" t="s">
        <v>17879</v>
      </c>
      <c r="D2816" s="2" t="s">
        <v>9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17880</v>
      </c>
      <c r="D2817" s="2" t="s">
        <v>9</v>
      </c>
      <c r="E2817" s="2">
        <v>300</v>
      </c>
      <c r="F2817" s="2">
        <v>6279.66</v>
      </c>
    </row>
    <row r="2818" spans="3:6" x14ac:dyDescent="0.25">
      <c r="C2818" s="2" t="s">
        <v>17881</v>
      </c>
      <c r="D2818" s="2" t="s">
        <v>9</v>
      </c>
      <c r="E2818" s="2">
        <v>84</v>
      </c>
      <c r="F2818" s="2">
        <v>1707.53</v>
      </c>
    </row>
    <row r="2819" spans="3:6" x14ac:dyDescent="0.25">
      <c r="C2819" s="2" t="s">
        <v>17882</v>
      </c>
      <c r="D2819" s="2" t="s">
        <v>9</v>
      </c>
      <c r="E2819" s="2">
        <v>137</v>
      </c>
      <c r="F2819" s="2">
        <v>2675.05</v>
      </c>
    </row>
    <row r="2820" spans="3:6" x14ac:dyDescent="0.25">
      <c r="C2820" s="2" t="s">
        <v>17883</v>
      </c>
      <c r="D2820" s="2" t="s">
        <v>9</v>
      </c>
      <c r="E2820" s="2">
        <v>121</v>
      </c>
      <c r="F2820" s="2">
        <v>2411.93</v>
      </c>
    </row>
    <row r="2821" spans="3:6" x14ac:dyDescent="0.25">
      <c r="C2821" s="2" t="s">
        <v>17884</v>
      </c>
      <c r="D2821" s="2" t="s">
        <v>9</v>
      </c>
      <c r="E2821" s="2">
        <v>49</v>
      </c>
      <c r="F2821" s="2">
        <v>723.14</v>
      </c>
    </row>
    <row r="2822" spans="3:6" x14ac:dyDescent="0.25">
      <c r="C2822" s="2" t="s">
        <v>17885</v>
      </c>
      <c r="D2822" s="2" t="s">
        <v>9</v>
      </c>
      <c r="E2822" s="2">
        <v>33</v>
      </c>
      <c r="F2822" s="2">
        <v>651.51</v>
      </c>
    </row>
    <row r="2823" spans="3:6" x14ac:dyDescent="0.25">
      <c r="C2823" s="2" t="s">
        <v>17886</v>
      </c>
      <c r="D2823" s="2" t="s">
        <v>9</v>
      </c>
      <c r="E2823" s="2">
        <v>24</v>
      </c>
      <c r="F2823" s="2">
        <v>419.72</v>
      </c>
    </row>
    <row r="2824" spans="3:6" x14ac:dyDescent="0.25">
      <c r="C2824" s="2" t="s">
        <v>17887</v>
      </c>
      <c r="D2824" s="2" t="s">
        <v>9</v>
      </c>
      <c r="E2824" s="2">
        <v>15</v>
      </c>
      <c r="F2824" s="2">
        <v>288.18</v>
      </c>
    </row>
    <row r="2825" spans="3:6" x14ac:dyDescent="0.25">
      <c r="C2825" s="2" t="s">
        <v>17888</v>
      </c>
      <c r="D2825" s="2" t="s">
        <v>9</v>
      </c>
      <c r="E2825" s="2">
        <v>133</v>
      </c>
      <c r="F2825" s="2">
        <v>2575.749</v>
      </c>
    </row>
    <row r="2826" spans="3:6" x14ac:dyDescent="0.25">
      <c r="C2826" s="2" t="s">
        <v>17889</v>
      </c>
      <c r="D2826" s="2" t="s">
        <v>9</v>
      </c>
      <c r="E2826" s="2">
        <v>139</v>
      </c>
      <c r="F2826" s="2">
        <v>2619.789</v>
      </c>
    </row>
    <row r="2827" spans="3:6" x14ac:dyDescent="0.25">
      <c r="C2827" s="2" t="s">
        <v>17890</v>
      </c>
      <c r="D2827" s="2" t="s">
        <v>9</v>
      </c>
      <c r="E2827" s="2">
        <v>53</v>
      </c>
      <c r="F2827" s="2">
        <v>1083.75</v>
      </c>
    </row>
    <row r="2828" spans="3:6" x14ac:dyDescent="0.25">
      <c r="C2828" s="2" t="s">
        <v>17891</v>
      </c>
      <c r="D2828" s="2" t="s">
        <v>9</v>
      </c>
      <c r="E2828" s="2">
        <v>68</v>
      </c>
      <c r="F2828" s="2">
        <v>1330.02</v>
      </c>
    </row>
    <row r="2829" spans="3:6" x14ac:dyDescent="0.25">
      <c r="C2829" s="2" t="s">
        <v>17892</v>
      </c>
      <c r="D2829" s="2" t="s">
        <v>9</v>
      </c>
      <c r="E2829" s="2">
        <v>70</v>
      </c>
      <c r="F2829" s="2">
        <v>1378.57</v>
      </c>
    </row>
    <row r="2830" spans="3:6" x14ac:dyDescent="0.25">
      <c r="C2830" s="2" t="s">
        <v>17893</v>
      </c>
      <c r="D2830" s="2" t="s">
        <v>9</v>
      </c>
      <c r="E2830" s="2">
        <v>139</v>
      </c>
      <c r="F2830" s="2">
        <v>2794.57</v>
      </c>
    </row>
    <row r="2831" spans="3:6" x14ac:dyDescent="0.25">
      <c r="C2831" s="2" t="s">
        <v>17894</v>
      </c>
      <c r="D2831" s="2" t="s">
        <v>9</v>
      </c>
      <c r="E2831" s="2">
        <v>100</v>
      </c>
      <c r="F2831" s="2">
        <v>2054.789</v>
      </c>
    </row>
    <row r="2832" spans="3:6" x14ac:dyDescent="0.25">
      <c r="C2832" s="2" t="s">
        <v>17895</v>
      </c>
      <c r="D2832" s="2" t="s">
        <v>9</v>
      </c>
      <c r="E2832" s="2">
        <v>39</v>
      </c>
      <c r="F2832" s="2">
        <v>779.19</v>
      </c>
    </row>
    <row r="2833" spans="3:6" x14ac:dyDescent="0.25">
      <c r="C2833" s="2" t="s">
        <v>17896</v>
      </c>
      <c r="D2833" s="2" t="s">
        <v>9</v>
      </c>
      <c r="E2833" s="2">
        <v>55</v>
      </c>
      <c r="F2833" s="2">
        <v>1074.92</v>
      </c>
    </row>
    <row r="2834" spans="3:6" x14ac:dyDescent="0.25">
      <c r="C2834" s="2" t="s">
        <v>17897</v>
      </c>
      <c r="D2834" s="2" t="s">
        <v>9</v>
      </c>
      <c r="E2834" s="2">
        <v>45</v>
      </c>
      <c r="F2834" s="2">
        <v>884.129</v>
      </c>
    </row>
    <row r="2835" spans="3:6" x14ac:dyDescent="0.25">
      <c r="C2835" s="2" t="s">
        <v>17898</v>
      </c>
      <c r="D2835" s="2" t="s">
        <v>9</v>
      </c>
      <c r="E2835" s="2">
        <v>102</v>
      </c>
      <c r="F2835" s="2">
        <v>1975.22</v>
      </c>
    </row>
    <row r="2836" spans="3:6" x14ac:dyDescent="0.25">
      <c r="C2836" s="2" t="s">
        <v>17899</v>
      </c>
      <c r="D2836" s="2" t="s">
        <v>9</v>
      </c>
      <c r="E2836" s="2">
        <v>15</v>
      </c>
      <c r="F2836" s="2">
        <v>293.87</v>
      </c>
    </row>
    <row r="2837" spans="3:6" x14ac:dyDescent="0.25">
      <c r="C2837" s="2" t="s">
        <v>17900</v>
      </c>
      <c r="D2837" s="2" t="s">
        <v>9</v>
      </c>
      <c r="E2837" s="2">
        <v>24</v>
      </c>
      <c r="F2837" s="2">
        <v>309.7</v>
      </c>
    </row>
    <row r="2838" spans="3:6" x14ac:dyDescent="0.25">
      <c r="C2838" s="2" t="s">
        <v>17901</v>
      </c>
      <c r="D2838" s="2" t="s">
        <v>9</v>
      </c>
      <c r="E2838" s="2">
        <v>160</v>
      </c>
      <c r="F2838" s="2">
        <v>2977.22</v>
      </c>
    </row>
    <row r="2839" spans="3:6" x14ac:dyDescent="0.25">
      <c r="C2839" s="2" t="s">
        <v>17902</v>
      </c>
      <c r="D2839" s="2" t="s">
        <v>9</v>
      </c>
      <c r="E2839" s="2">
        <v>72</v>
      </c>
      <c r="F2839" s="2">
        <v>1520.3</v>
      </c>
    </row>
    <row r="2840" spans="3:6" x14ac:dyDescent="0.25">
      <c r="C2840" s="2" t="s">
        <v>17903</v>
      </c>
      <c r="D2840" s="2" t="s">
        <v>9</v>
      </c>
      <c r="E2840" s="2">
        <v>24</v>
      </c>
      <c r="F2840" s="2">
        <v>474.81</v>
      </c>
    </row>
    <row r="2841" spans="3:6" x14ac:dyDescent="0.25">
      <c r="C2841" s="2" t="s">
        <v>17904</v>
      </c>
      <c r="D2841" s="2" t="s">
        <v>9</v>
      </c>
      <c r="E2841" s="2">
        <v>22</v>
      </c>
      <c r="F2841" s="2">
        <v>433.8</v>
      </c>
    </row>
    <row r="2842" spans="3:6" x14ac:dyDescent="0.25">
      <c r="C2842" s="2" t="s">
        <v>17905</v>
      </c>
      <c r="D2842" s="2" t="s">
        <v>9</v>
      </c>
      <c r="E2842" s="2">
        <v>102</v>
      </c>
      <c r="F2842" s="2">
        <v>1981.75</v>
      </c>
    </row>
    <row r="2843" spans="3:6" x14ac:dyDescent="0.25">
      <c r="C2843" s="2" t="s">
        <v>17906</v>
      </c>
      <c r="D2843" s="2" t="s">
        <v>9</v>
      </c>
      <c r="E2843" s="2">
        <v>37</v>
      </c>
      <c r="F2843" s="2">
        <v>755.68</v>
      </c>
    </row>
    <row r="2844" spans="3:6" x14ac:dyDescent="0.25">
      <c r="C2844" s="2" t="s">
        <v>17907</v>
      </c>
      <c r="D2844" s="2" t="s">
        <v>9</v>
      </c>
      <c r="E2844" s="2">
        <v>100</v>
      </c>
      <c r="F2844" s="2">
        <v>2089.79</v>
      </c>
    </row>
    <row r="2845" spans="3:6" x14ac:dyDescent="0.25">
      <c r="C2845" s="2" t="s">
        <v>17908</v>
      </c>
      <c r="D2845" s="2" t="s">
        <v>9</v>
      </c>
      <c r="E2845" s="2">
        <v>121</v>
      </c>
      <c r="F2845" s="2">
        <v>2339.839</v>
      </c>
    </row>
    <row r="2846" spans="3:6" x14ac:dyDescent="0.25">
      <c r="C2846" s="2" t="s">
        <v>17909</v>
      </c>
      <c r="D2846" s="2" t="s">
        <v>9</v>
      </c>
      <c r="E2846" s="2">
        <v>29</v>
      </c>
      <c r="F2846" s="2">
        <v>559.5</v>
      </c>
    </row>
    <row r="2847" spans="3:6" x14ac:dyDescent="0.25">
      <c r="C2847" s="2" t="s">
        <v>17910</v>
      </c>
      <c r="D2847" s="2" t="s">
        <v>9</v>
      </c>
      <c r="E2847" s="2">
        <v>111</v>
      </c>
      <c r="F2847" s="2">
        <v>2095.72</v>
      </c>
    </row>
    <row r="2848" spans="3:6" x14ac:dyDescent="0.25">
      <c r="C2848" s="2" t="s">
        <v>17911</v>
      </c>
      <c r="D2848" s="2" t="s">
        <v>9</v>
      </c>
      <c r="E2848" s="2">
        <v>19</v>
      </c>
      <c r="F2848" s="2">
        <v>373.35</v>
      </c>
    </row>
    <row r="2849" spans="3:6" x14ac:dyDescent="0.25">
      <c r="C2849" s="2" t="s">
        <v>17912</v>
      </c>
      <c r="D2849" s="2" t="s">
        <v>9</v>
      </c>
      <c r="E2849" s="2">
        <v>106</v>
      </c>
      <c r="F2849" s="2">
        <v>1384.115</v>
      </c>
    </row>
    <row r="2850" spans="3:6" x14ac:dyDescent="0.25">
      <c r="C2850" s="2" t="s">
        <v>17913</v>
      </c>
      <c r="D2850" s="2" t="s">
        <v>9</v>
      </c>
      <c r="E2850" s="2">
        <v>120</v>
      </c>
      <c r="F2850" s="2">
        <v>1933.546</v>
      </c>
    </row>
    <row r="2851" spans="3:6" x14ac:dyDescent="0.25">
      <c r="C2851" s="2" t="s">
        <v>17914</v>
      </c>
      <c r="D2851" s="2" t="s">
        <v>9</v>
      </c>
      <c r="E2851" s="2">
        <v>72</v>
      </c>
      <c r="F2851" s="2">
        <v>2135.98</v>
      </c>
    </row>
    <row r="2852" spans="3:6" x14ac:dyDescent="0.25">
      <c r="C2852" s="2" t="s">
        <v>17915</v>
      </c>
      <c r="D2852" s="2" t="s">
        <v>9</v>
      </c>
      <c r="E2852" s="2">
        <v>139</v>
      </c>
      <c r="F2852" s="2">
        <v>2884.21</v>
      </c>
    </row>
    <row r="2853" spans="3:6" x14ac:dyDescent="0.25">
      <c r="C2853" s="2" t="s">
        <v>17916</v>
      </c>
      <c r="D2853" s="2" t="s">
        <v>9</v>
      </c>
      <c r="E2853" s="2">
        <v>89</v>
      </c>
      <c r="F2853" s="2">
        <v>1764.789</v>
      </c>
    </row>
    <row r="2854" spans="3:6" x14ac:dyDescent="0.25">
      <c r="C2854" s="2" t="s">
        <v>17917</v>
      </c>
      <c r="D2854" s="2" t="s">
        <v>9</v>
      </c>
      <c r="E2854" s="2">
        <v>51</v>
      </c>
      <c r="F2854" s="2">
        <v>1033.27</v>
      </c>
    </row>
    <row r="2855" spans="3:6" x14ac:dyDescent="0.25">
      <c r="C2855" s="2" t="s">
        <v>17918</v>
      </c>
      <c r="D2855" s="2" t="s">
        <v>9</v>
      </c>
      <c r="E2855" s="2">
        <v>117</v>
      </c>
      <c r="F2855" s="2">
        <v>2325.969</v>
      </c>
    </row>
    <row r="2856" spans="3:6" x14ac:dyDescent="0.25">
      <c r="C2856" s="2" t="s">
        <v>17919</v>
      </c>
      <c r="D2856" s="2" t="s">
        <v>9</v>
      </c>
      <c r="E2856" s="2">
        <v>23</v>
      </c>
      <c r="F2856" s="2">
        <v>459.69</v>
      </c>
    </row>
    <row r="2857" spans="3:6" x14ac:dyDescent="0.25">
      <c r="C2857" s="2" t="s">
        <v>17920</v>
      </c>
      <c r="D2857" s="2" t="s">
        <v>9</v>
      </c>
      <c r="E2857" s="2">
        <v>73</v>
      </c>
      <c r="F2857" s="2">
        <v>1322.853</v>
      </c>
    </row>
    <row r="2858" spans="3:6" x14ac:dyDescent="0.25">
      <c r="C2858" s="2" t="s">
        <v>17921</v>
      </c>
      <c r="D2858" s="2" t="s">
        <v>9</v>
      </c>
      <c r="E2858" s="2">
        <v>21</v>
      </c>
      <c r="F2858" s="2">
        <v>340.19</v>
      </c>
    </row>
    <row r="2859" spans="3:6" x14ac:dyDescent="0.25">
      <c r="C2859" s="2" t="s">
        <v>17922</v>
      </c>
      <c r="D2859" s="2" t="s">
        <v>9</v>
      </c>
      <c r="E2859" s="2">
        <v>21</v>
      </c>
      <c r="F2859" s="2">
        <v>355.43</v>
      </c>
    </row>
    <row r="2860" spans="3:6" x14ac:dyDescent="0.25">
      <c r="C2860" s="2" t="s">
        <v>17923</v>
      </c>
      <c r="D2860" s="2" t="s">
        <v>9</v>
      </c>
      <c r="E2860" s="2">
        <v>26</v>
      </c>
      <c r="F2860" s="2">
        <v>441.58</v>
      </c>
    </row>
    <row r="2861" spans="3:6" x14ac:dyDescent="0.25">
      <c r="C2861" s="2" t="s">
        <v>17924</v>
      </c>
      <c r="D2861" s="2" t="s">
        <v>9</v>
      </c>
      <c r="E2861" s="2">
        <v>51</v>
      </c>
      <c r="F2861" s="2">
        <v>834.82</v>
      </c>
    </row>
    <row r="2862" spans="3:6" x14ac:dyDescent="0.25">
      <c r="C2862" s="2" t="s">
        <v>17925</v>
      </c>
      <c r="D2862" s="2" t="s">
        <v>9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120</v>
      </c>
      <c r="C2864" s="2" t="s">
        <v>17926</v>
      </c>
      <c r="D2864" s="2" t="s">
        <v>122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17927</v>
      </c>
      <c r="D2865" s="2" t="s">
        <v>122</v>
      </c>
      <c r="E2865" s="2">
        <v>111</v>
      </c>
      <c r="F2865" s="2">
        <v>2076.627</v>
      </c>
    </row>
    <row r="2866" spans="3:6" x14ac:dyDescent="0.25">
      <c r="C2866" s="2" t="s">
        <v>17928</v>
      </c>
      <c r="D2866" s="2" t="s">
        <v>122</v>
      </c>
      <c r="E2866" s="2">
        <v>72</v>
      </c>
      <c r="F2866" s="2">
        <v>2043.94</v>
      </c>
    </row>
    <row r="2867" spans="3:6" x14ac:dyDescent="0.25">
      <c r="C2867" s="2" t="s">
        <v>17929</v>
      </c>
      <c r="D2867" s="2" t="s">
        <v>122</v>
      </c>
      <c r="E2867" s="2">
        <v>141</v>
      </c>
      <c r="F2867" s="2">
        <v>2988.51</v>
      </c>
    </row>
    <row r="2868" spans="3:6" x14ac:dyDescent="0.25">
      <c r="C2868" s="2" t="s">
        <v>17930</v>
      </c>
      <c r="D2868" s="2" t="s">
        <v>122</v>
      </c>
      <c r="E2868" s="2">
        <v>141</v>
      </c>
      <c r="F2868" s="2">
        <v>2872.77</v>
      </c>
    </row>
    <row r="2869" spans="3:6" x14ac:dyDescent="0.25">
      <c r="C2869" s="2" t="s">
        <v>17931</v>
      </c>
      <c r="D2869" s="2" t="s">
        <v>122</v>
      </c>
      <c r="E2869" s="2">
        <v>141</v>
      </c>
      <c r="F2869" s="2">
        <v>2919.61</v>
      </c>
    </row>
    <row r="2870" spans="3:6" x14ac:dyDescent="0.25">
      <c r="C2870" s="2" t="s">
        <v>17932</v>
      </c>
      <c r="D2870" s="2" t="s">
        <v>122</v>
      </c>
      <c r="E2870" s="2">
        <v>66</v>
      </c>
      <c r="F2870" s="2">
        <v>1318.95</v>
      </c>
    </row>
    <row r="2871" spans="3:6" x14ac:dyDescent="0.25">
      <c r="C2871" s="2" t="s">
        <v>17933</v>
      </c>
      <c r="D2871" s="2" t="s">
        <v>122</v>
      </c>
      <c r="E2871" s="2">
        <v>36</v>
      </c>
      <c r="F2871" s="2">
        <v>720.39</v>
      </c>
    </row>
    <row r="2872" spans="3:6" x14ac:dyDescent="0.25">
      <c r="C2872" s="2" t="s">
        <v>17934</v>
      </c>
      <c r="D2872" s="2" t="s">
        <v>122</v>
      </c>
      <c r="E2872" s="2">
        <v>61</v>
      </c>
      <c r="F2872" s="2">
        <v>1206.88</v>
      </c>
    </row>
    <row r="2873" spans="3:6" x14ac:dyDescent="0.25">
      <c r="C2873" s="2" t="s">
        <v>17935</v>
      </c>
      <c r="D2873" s="2" t="s">
        <v>122</v>
      </c>
      <c r="E2873" s="2">
        <v>62</v>
      </c>
      <c r="F2873" s="2">
        <v>1152.96</v>
      </c>
    </row>
    <row r="2874" spans="3:6" x14ac:dyDescent="0.25">
      <c r="C2874" s="2" t="s">
        <v>17936</v>
      </c>
      <c r="D2874" s="2" t="s">
        <v>122</v>
      </c>
      <c r="E2874" s="2">
        <v>60</v>
      </c>
      <c r="F2874" s="2">
        <v>1209.91</v>
      </c>
    </row>
    <row r="2875" spans="3:6" x14ac:dyDescent="0.25">
      <c r="C2875" s="2" t="s">
        <v>17937</v>
      </c>
      <c r="D2875" s="2" t="s">
        <v>122</v>
      </c>
      <c r="E2875" s="2">
        <v>63</v>
      </c>
      <c r="F2875" s="2">
        <v>1215.259</v>
      </c>
    </row>
    <row r="2876" spans="3:6" x14ac:dyDescent="0.25">
      <c r="C2876" s="2" t="s">
        <v>17938</v>
      </c>
      <c r="D2876" s="2" t="s">
        <v>122</v>
      </c>
      <c r="E2876" s="2">
        <v>34</v>
      </c>
      <c r="F2876" s="2">
        <v>674.06</v>
      </c>
    </row>
    <row r="2877" spans="3:6" x14ac:dyDescent="0.25">
      <c r="C2877" s="2" t="s">
        <v>17939</v>
      </c>
      <c r="D2877" s="2" t="s">
        <v>122</v>
      </c>
      <c r="E2877" s="2">
        <v>50</v>
      </c>
      <c r="F2877" s="2">
        <v>972.91</v>
      </c>
    </row>
    <row r="2878" spans="3:6" x14ac:dyDescent="0.25">
      <c r="C2878" s="2" t="s">
        <v>17940</v>
      </c>
      <c r="D2878" s="2" t="s">
        <v>122</v>
      </c>
      <c r="E2878" s="2">
        <v>37</v>
      </c>
      <c r="F2878" s="2">
        <v>730.3</v>
      </c>
    </row>
    <row r="2879" spans="3:6" x14ac:dyDescent="0.25">
      <c r="C2879" s="2" t="s">
        <v>17941</v>
      </c>
      <c r="D2879" s="2" t="s">
        <v>122</v>
      </c>
      <c r="E2879" s="2">
        <v>46</v>
      </c>
      <c r="F2879" s="2">
        <v>909.23</v>
      </c>
    </row>
    <row r="2880" spans="3:6" x14ac:dyDescent="0.25">
      <c r="C2880" s="2" t="s">
        <v>17942</v>
      </c>
      <c r="D2880" s="2" t="s">
        <v>122</v>
      </c>
      <c r="E2880" s="2">
        <v>17</v>
      </c>
      <c r="F2880" s="2">
        <v>318.08</v>
      </c>
    </row>
    <row r="2881" spans="3:6" x14ac:dyDescent="0.25">
      <c r="C2881" s="2" t="s">
        <v>17943</v>
      </c>
      <c r="D2881" s="2" t="s">
        <v>122</v>
      </c>
      <c r="E2881" s="2">
        <v>23</v>
      </c>
      <c r="F2881" s="2">
        <v>493.14</v>
      </c>
    </row>
    <row r="2882" spans="3:6" x14ac:dyDescent="0.25">
      <c r="C2882" s="2" t="s">
        <v>17944</v>
      </c>
      <c r="D2882" s="2" t="s">
        <v>122</v>
      </c>
      <c r="E2882" s="2">
        <v>20</v>
      </c>
      <c r="F2882" s="2">
        <v>395.95</v>
      </c>
    </row>
    <row r="2883" spans="3:6" x14ac:dyDescent="0.25">
      <c r="C2883" s="2" t="s">
        <v>17945</v>
      </c>
      <c r="D2883" s="2" t="s">
        <v>122</v>
      </c>
      <c r="E2883" s="2">
        <v>15</v>
      </c>
      <c r="F2883" s="2">
        <v>318.1</v>
      </c>
    </row>
    <row r="2884" spans="3:6" x14ac:dyDescent="0.25">
      <c r="C2884" s="2" t="s">
        <v>17946</v>
      </c>
      <c r="D2884" s="2" t="s">
        <v>122</v>
      </c>
      <c r="E2884" s="2">
        <v>54</v>
      </c>
      <c r="F2884" s="2">
        <v>1099.8</v>
      </c>
    </row>
    <row r="2885" spans="3:6" x14ac:dyDescent="0.25">
      <c r="C2885" s="2" t="s">
        <v>17947</v>
      </c>
      <c r="D2885" s="2" t="s">
        <v>122</v>
      </c>
      <c r="E2885" s="2">
        <v>48</v>
      </c>
      <c r="F2885" s="2">
        <v>1029.54</v>
      </c>
    </row>
    <row r="2886" spans="3:6" x14ac:dyDescent="0.25">
      <c r="C2886" s="2" t="s">
        <v>17948</v>
      </c>
      <c r="D2886" s="2" t="s">
        <v>122</v>
      </c>
      <c r="E2886" s="2">
        <v>75</v>
      </c>
      <c r="F2886" s="2">
        <v>1485.5</v>
      </c>
    </row>
    <row r="2887" spans="3:6" x14ac:dyDescent="0.25">
      <c r="C2887" s="2" t="s">
        <v>17949</v>
      </c>
      <c r="D2887" s="2" t="s">
        <v>122</v>
      </c>
      <c r="E2887" s="2">
        <v>200</v>
      </c>
      <c r="F2887" s="2">
        <v>877.879</v>
      </c>
    </row>
    <row r="2888" spans="3:6" x14ac:dyDescent="0.25">
      <c r="C2888" s="2" t="s">
        <v>17950</v>
      </c>
      <c r="D2888" s="2" t="s">
        <v>122</v>
      </c>
      <c r="E2888" s="2">
        <v>100</v>
      </c>
      <c r="F2888" s="2">
        <v>2101.1</v>
      </c>
    </row>
    <row r="2889" spans="3:6" x14ac:dyDescent="0.25">
      <c r="C2889" s="2" t="s">
        <v>17951</v>
      </c>
      <c r="D2889" s="2" t="s">
        <v>122</v>
      </c>
      <c r="E2889" s="2">
        <v>26</v>
      </c>
      <c r="F2889" s="2">
        <v>576.36</v>
      </c>
    </row>
    <row r="2890" spans="3:6" x14ac:dyDescent="0.25">
      <c r="C2890" s="2" t="s">
        <v>17952</v>
      </c>
      <c r="D2890" s="2" t="s">
        <v>122</v>
      </c>
      <c r="E2890" s="2">
        <v>76</v>
      </c>
      <c r="F2890" s="2">
        <v>1606.97</v>
      </c>
    </row>
    <row r="2891" spans="3:6" x14ac:dyDescent="0.25">
      <c r="C2891" s="2" t="s">
        <v>17953</v>
      </c>
      <c r="D2891" s="2" t="s">
        <v>122</v>
      </c>
      <c r="E2891" s="2">
        <v>83</v>
      </c>
      <c r="F2891" s="2">
        <v>1646.8</v>
      </c>
    </row>
    <row r="2892" spans="3:6" x14ac:dyDescent="0.25">
      <c r="C2892" s="2" t="s">
        <v>17954</v>
      </c>
      <c r="D2892" s="2" t="s">
        <v>122</v>
      </c>
      <c r="E2892" s="2">
        <v>19</v>
      </c>
      <c r="F2892" s="2">
        <v>413.49</v>
      </c>
    </row>
    <row r="2893" spans="3:6" x14ac:dyDescent="0.25">
      <c r="C2893" s="2" t="s">
        <v>17955</v>
      </c>
      <c r="D2893" s="2" t="s">
        <v>122</v>
      </c>
      <c r="E2893" s="2">
        <v>92</v>
      </c>
      <c r="F2893" s="2">
        <v>1867.68</v>
      </c>
    </row>
    <row r="2894" spans="3:6" x14ac:dyDescent="0.25">
      <c r="C2894" s="2" t="s">
        <v>17956</v>
      </c>
      <c r="D2894" s="2" t="s">
        <v>122</v>
      </c>
      <c r="E2894" s="2">
        <v>33</v>
      </c>
      <c r="F2894" s="2">
        <v>671.46</v>
      </c>
    </row>
    <row r="2895" spans="3:6" x14ac:dyDescent="0.25">
      <c r="C2895" s="2" t="s">
        <v>17957</v>
      </c>
      <c r="D2895" s="2" t="s">
        <v>122</v>
      </c>
      <c r="E2895" s="2">
        <v>16</v>
      </c>
      <c r="F2895" s="2">
        <v>339.32</v>
      </c>
    </row>
    <row r="2896" spans="3:6" x14ac:dyDescent="0.25">
      <c r="C2896" s="2" t="s">
        <v>17958</v>
      </c>
      <c r="D2896" s="2" t="s">
        <v>122</v>
      </c>
      <c r="E2896" s="2">
        <v>61</v>
      </c>
      <c r="F2896" s="2">
        <v>1186.43</v>
      </c>
    </row>
    <row r="2897" spans="3:6" x14ac:dyDescent="0.25">
      <c r="C2897" s="2" t="s">
        <v>17959</v>
      </c>
      <c r="D2897" s="2" t="s">
        <v>122</v>
      </c>
      <c r="E2897" s="2">
        <v>66</v>
      </c>
      <c r="F2897" s="2">
        <v>1296.59</v>
      </c>
    </row>
    <row r="2898" spans="3:6" x14ac:dyDescent="0.25">
      <c r="C2898" s="2" t="s">
        <v>17960</v>
      </c>
      <c r="D2898" s="2" t="s">
        <v>122</v>
      </c>
      <c r="E2898" s="2">
        <v>14</v>
      </c>
      <c r="F2898" s="2">
        <v>280.37</v>
      </c>
    </row>
    <row r="2899" spans="3:6" x14ac:dyDescent="0.25">
      <c r="C2899" s="2" t="s">
        <v>17961</v>
      </c>
      <c r="D2899" s="2" t="s">
        <v>122</v>
      </c>
      <c r="E2899" s="2">
        <v>31</v>
      </c>
      <c r="F2899" s="2">
        <v>624.31</v>
      </c>
    </row>
    <row r="2900" spans="3:6" x14ac:dyDescent="0.25">
      <c r="C2900" s="2" t="s">
        <v>17962</v>
      </c>
      <c r="D2900" s="2" t="s">
        <v>122</v>
      </c>
      <c r="E2900" s="2">
        <v>17</v>
      </c>
      <c r="F2900" s="2">
        <v>330.56</v>
      </c>
    </row>
    <row r="2901" spans="3:6" x14ac:dyDescent="0.25">
      <c r="C2901" s="2" t="s">
        <v>17963</v>
      </c>
      <c r="D2901" s="2" t="s">
        <v>122</v>
      </c>
      <c r="E2901" s="2">
        <v>45</v>
      </c>
      <c r="F2901" s="2">
        <v>927.11</v>
      </c>
    </row>
    <row r="2902" spans="3:6" x14ac:dyDescent="0.25">
      <c r="C2902" s="2" t="s">
        <v>17964</v>
      </c>
      <c r="D2902" s="2" t="s">
        <v>122</v>
      </c>
      <c r="E2902" s="2">
        <v>48</v>
      </c>
      <c r="F2902" s="2">
        <v>957.62</v>
      </c>
    </row>
    <row r="2903" spans="3:6" x14ac:dyDescent="0.25">
      <c r="C2903" s="2" t="s">
        <v>17965</v>
      </c>
      <c r="D2903" s="2" t="s">
        <v>122</v>
      </c>
      <c r="E2903" s="2">
        <v>27</v>
      </c>
      <c r="F2903" s="2">
        <v>538.93</v>
      </c>
    </row>
    <row r="2904" spans="3:6" x14ac:dyDescent="0.25">
      <c r="C2904" s="2" t="s">
        <v>17966</v>
      </c>
      <c r="D2904" s="2" t="s">
        <v>122</v>
      </c>
      <c r="E2904" s="2">
        <v>52</v>
      </c>
      <c r="F2904" s="2">
        <v>1038.81</v>
      </c>
    </row>
    <row r="2905" spans="3:6" x14ac:dyDescent="0.25">
      <c r="C2905" s="2" t="s">
        <v>17967</v>
      </c>
      <c r="D2905" s="2" t="s">
        <v>122</v>
      </c>
      <c r="E2905" s="2">
        <v>28</v>
      </c>
      <c r="F2905" s="2">
        <v>561.709</v>
      </c>
    </row>
    <row r="2906" spans="3:6" x14ac:dyDescent="0.25">
      <c r="C2906" s="2" t="s">
        <v>17968</v>
      </c>
      <c r="D2906" s="2" t="s">
        <v>122</v>
      </c>
      <c r="E2906" s="2">
        <v>23</v>
      </c>
      <c r="F2906" s="2">
        <v>465.173</v>
      </c>
    </row>
    <row r="2907" spans="3:6" x14ac:dyDescent="0.25">
      <c r="C2907" s="2" t="s">
        <v>17969</v>
      </c>
      <c r="D2907" s="2" t="s">
        <v>122</v>
      </c>
      <c r="E2907" s="2">
        <v>11</v>
      </c>
      <c r="F2907" s="2">
        <v>222.36</v>
      </c>
    </row>
    <row r="2908" spans="3:6" x14ac:dyDescent="0.25">
      <c r="C2908" s="2" t="s">
        <v>17970</v>
      </c>
      <c r="D2908" s="2" t="s">
        <v>122</v>
      </c>
      <c r="E2908" s="2">
        <v>47</v>
      </c>
      <c r="F2908" s="2">
        <v>959.41</v>
      </c>
    </row>
    <row r="2909" spans="3:6" x14ac:dyDescent="0.25">
      <c r="C2909" s="2" t="s">
        <v>17971</v>
      </c>
      <c r="D2909" s="2" t="s">
        <v>122</v>
      </c>
      <c r="E2909" s="2">
        <v>25</v>
      </c>
      <c r="F2909" s="2">
        <v>496.21</v>
      </c>
    </row>
    <row r="2910" spans="3:6" x14ac:dyDescent="0.25">
      <c r="C2910" s="2" t="s">
        <v>17972</v>
      </c>
      <c r="D2910" s="2" t="s">
        <v>122</v>
      </c>
      <c r="E2910" s="2">
        <v>24</v>
      </c>
      <c r="F2910" s="2">
        <v>466.19</v>
      </c>
    </row>
    <row r="2911" spans="3:6" x14ac:dyDescent="0.25">
      <c r="C2911" s="2" t="s">
        <v>17973</v>
      </c>
      <c r="D2911" s="2" t="s">
        <v>122</v>
      </c>
      <c r="E2911" s="2">
        <v>19</v>
      </c>
      <c r="F2911" s="2">
        <v>366.21</v>
      </c>
    </row>
    <row r="2912" spans="3:6" x14ac:dyDescent="0.25">
      <c r="C2912" s="2" t="s">
        <v>17974</v>
      </c>
      <c r="D2912" s="2" t="s">
        <v>122</v>
      </c>
      <c r="E2912" s="2">
        <v>13</v>
      </c>
      <c r="F2912" s="2">
        <v>245.37</v>
      </c>
    </row>
    <row r="2913" spans="3:6" x14ac:dyDescent="0.25">
      <c r="C2913" s="2" t="s">
        <v>17975</v>
      </c>
      <c r="D2913" s="2" t="s">
        <v>122</v>
      </c>
      <c r="E2913" s="2">
        <v>13</v>
      </c>
      <c r="F2913" s="2">
        <v>268.61</v>
      </c>
    </row>
    <row r="2914" spans="3:6" x14ac:dyDescent="0.25">
      <c r="C2914" s="2" t="s">
        <v>17976</v>
      </c>
      <c r="D2914" s="2" t="s">
        <v>122</v>
      </c>
      <c r="E2914" s="2">
        <v>121</v>
      </c>
      <c r="F2914" s="2">
        <v>1235.689</v>
      </c>
    </row>
    <row r="2915" spans="3:6" x14ac:dyDescent="0.25">
      <c r="C2915" s="2" t="s">
        <v>17977</v>
      </c>
      <c r="D2915" s="2" t="s">
        <v>122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90</v>
      </c>
      <c r="C2917" s="2" t="s">
        <v>17978</v>
      </c>
      <c r="D2917" s="2" t="s">
        <v>42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17979</v>
      </c>
      <c r="D2918" s="2" t="s">
        <v>42</v>
      </c>
      <c r="E2918" s="2">
        <v>30</v>
      </c>
      <c r="F2918" s="2">
        <v>157.18</v>
      </c>
    </row>
    <row r="2919" spans="3:6" x14ac:dyDescent="0.25">
      <c r="C2919" s="2" t="s">
        <v>17980</v>
      </c>
      <c r="D2919" s="2" t="s">
        <v>42</v>
      </c>
      <c r="E2919" s="2">
        <v>12</v>
      </c>
      <c r="F2919" s="2">
        <v>208.93</v>
      </c>
    </row>
    <row r="2920" spans="3:6" x14ac:dyDescent="0.25">
      <c r="C2920" s="2" t="s">
        <v>17981</v>
      </c>
      <c r="D2920" s="2" t="s">
        <v>42</v>
      </c>
      <c r="E2920" s="2">
        <v>35</v>
      </c>
      <c r="F2920" s="2">
        <v>696.431</v>
      </c>
    </row>
    <row r="2921" spans="3:6" x14ac:dyDescent="0.25">
      <c r="C2921" s="2" t="s">
        <v>17982</v>
      </c>
      <c r="D2921" s="2" t="s">
        <v>42</v>
      </c>
      <c r="E2921" s="2">
        <v>51</v>
      </c>
      <c r="F2921" s="2">
        <v>1141.54</v>
      </c>
    </row>
    <row r="2922" spans="3:6" x14ac:dyDescent="0.25">
      <c r="C2922" s="2" t="s">
        <v>17983</v>
      </c>
      <c r="D2922" s="2" t="s">
        <v>42</v>
      </c>
      <c r="E2922" s="2">
        <v>129</v>
      </c>
      <c r="F2922" s="2">
        <v>2753.96</v>
      </c>
    </row>
    <row r="2923" spans="3:6" x14ac:dyDescent="0.25">
      <c r="C2923" s="2" t="s">
        <v>17984</v>
      </c>
      <c r="D2923" s="2" t="s">
        <v>42</v>
      </c>
      <c r="E2923" s="2">
        <v>17</v>
      </c>
      <c r="F2923" s="2">
        <v>302.13</v>
      </c>
    </row>
    <row r="2924" spans="3:6" x14ac:dyDescent="0.25">
      <c r="C2924" s="2" t="s">
        <v>17985</v>
      </c>
      <c r="D2924" s="2" t="s">
        <v>42</v>
      </c>
      <c r="E2924" s="2">
        <v>21</v>
      </c>
      <c r="F2924" s="2">
        <v>448.63</v>
      </c>
    </row>
    <row r="2925" spans="3:6" x14ac:dyDescent="0.25">
      <c r="C2925" s="2" t="s">
        <v>17986</v>
      </c>
      <c r="D2925" s="2" t="s">
        <v>42</v>
      </c>
      <c r="E2925" s="2">
        <v>113</v>
      </c>
      <c r="F2925" s="2">
        <v>2303.69</v>
      </c>
    </row>
    <row r="2926" spans="3:6" x14ac:dyDescent="0.25">
      <c r="C2926" s="2" t="s">
        <v>17987</v>
      </c>
      <c r="D2926" s="2" t="s">
        <v>42</v>
      </c>
      <c r="E2926" s="2">
        <v>121</v>
      </c>
      <c r="F2926" s="2">
        <v>1449.227</v>
      </c>
    </row>
    <row r="2927" spans="3:6" x14ac:dyDescent="0.25">
      <c r="C2927" s="2" t="s">
        <v>17988</v>
      </c>
      <c r="D2927" s="2" t="s">
        <v>42</v>
      </c>
      <c r="E2927" s="2">
        <v>106</v>
      </c>
      <c r="F2927" s="2">
        <v>1983.677</v>
      </c>
    </row>
    <row r="2928" spans="3:6" x14ac:dyDescent="0.25">
      <c r="C2928" s="2" t="s">
        <v>17989</v>
      </c>
      <c r="D2928" s="2" t="s">
        <v>42</v>
      </c>
      <c r="E2928" s="2">
        <v>92</v>
      </c>
      <c r="F2928" s="2">
        <v>1858.279</v>
      </c>
    </row>
    <row r="2929" spans="3:6" x14ac:dyDescent="0.25">
      <c r="C2929" s="2" t="s">
        <v>17990</v>
      </c>
      <c r="D2929" s="2" t="s">
        <v>42</v>
      </c>
      <c r="E2929" s="2">
        <v>34</v>
      </c>
      <c r="F2929" s="2">
        <v>694.4</v>
      </c>
    </row>
    <row r="2930" spans="3:6" x14ac:dyDescent="0.25">
      <c r="C2930" s="2" t="s">
        <v>17991</v>
      </c>
      <c r="D2930" s="2" t="s">
        <v>42</v>
      </c>
      <c r="E2930" s="2">
        <v>141</v>
      </c>
      <c r="F2930" s="2">
        <v>2733.62</v>
      </c>
    </row>
    <row r="2931" spans="3:6" x14ac:dyDescent="0.25">
      <c r="C2931" s="2" t="s">
        <v>17992</v>
      </c>
      <c r="D2931" s="2" t="s">
        <v>42</v>
      </c>
      <c r="E2931" s="2">
        <v>15</v>
      </c>
      <c r="F2931" s="2">
        <v>243.67</v>
      </c>
    </row>
    <row r="2932" spans="3:6" x14ac:dyDescent="0.25">
      <c r="C2932" s="2" t="s">
        <v>17993</v>
      </c>
      <c r="D2932" s="2" t="s">
        <v>42</v>
      </c>
      <c r="E2932" s="2">
        <v>60</v>
      </c>
      <c r="F2932" s="2">
        <v>1197.958</v>
      </c>
    </row>
    <row r="2933" spans="3:6" x14ac:dyDescent="0.25">
      <c r="C2933" s="2" t="s">
        <v>17994</v>
      </c>
      <c r="D2933" s="2" t="s">
        <v>42</v>
      </c>
      <c r="E2933" s="2">
        <v>81</v>
      </c>
      <c r="F2933" s="2">
        <v>1818.55</v>
      </c>
    </row>
    <row r="2934" spans="3:6" x14ac:dyDescent="0.25">
      <c r="C2934" s="2" t="s">
        <v>17995</v>
      </c>
      <c r="D2934" s="2" t="s">
        <v>42</v>
      </c>
      <c r="E2934" s="2">
        <v>49</v>
      </c>
      <c r="F2934" s="2">
        <v>473.621</v>
      </c>
    </row>
    <row r="2935" spans="3:6" x14ac:dyDescent="0.25">
      <c r="C2935" s="2" t="s">
        <v>17996</v>
      </c>
      <c r="D2935" s="2" t="s">
        <v>42</v>
      </c>
      <c r="E2935" s="2">
        <v>46</v>
      </c>
      <c r="F2935" s="2">
        <v>825.87</v>
      </c>
    </row>
    <row r="2936" spans="3:6" x14ac:dyDescent="0.25">
      <c r="C2936" s="2" t="s">
        <v>17997</v>
      </c>
      <c r="D2936" s="2" t="s">
        <v>42</v>
      </c>
      <c r="E2936" s="2">
        <v>20</v>
      </c>
      <c r="F2936" s="2">
        <v>101.64</v>
      </c>
    </row>
    <row r="2937" spans="3:6" x14ac:dyDescent="0.25">
      <c r="C2937" s="2" t="s">
        <v>17998</v>
      </c>
      <c r="D2937" s="2" t="s">
        <v>42</v>
      </c>
      <c r="E2937" s="2">
        <v>77</v>
      </c>
      <c r="F2937" s="2">
        <v>1523.46</v>
      </c>
    </row>
    <row r="2938" spans="3:6" x14ac:dyDescent="0.25">
      <c r="C2938" s="2" t="s">
        <v>17999</v>
      </c>
      <c r="D2938" s="2" t="s">
        <v>42</v>
      </c>
      <c r="E2938" s="2">
        <v>44</v>
      </c>
      <c r="F2938" s="2">
        <v>915.29</v>
      </c>
    </row>
    <row r="2939" spans="3:6" x14ac:dyDescent="0.25">
      <c r="C2939" s="2" t="s">
        <v>18000</v>
      </c>
      <c r="D2939" s="2" t="s">
        <v>42</v>
      </c>
      <c r="E2939" s="2">
        <v>100</v>
      </c>
      <c r="F2939" s="2">
        <v>2018.05</v>
      </c>
    </row>
    <row r="2940" spans="3:6" x14ac:dyDescent="0.25">
      <c r="C2940" s="2" t="s">
        <v>18001</v>
      </c>
      <c r="D2940" s="2" t="s">
        <v>42</v>
      </c>
      <c r="E2940" s="2">
        <v>75</v>
      </c>
      <c r="F2940" s="2">
        <v>389.13</v>
      </c>
    </row>
    <row r="2941" spans="3:6" x14ac:dyDescent="0.25">
      <c r="C2941" s="2" t="s">
        <v>18002</v>
      </c>
      <c r="D2941" s="2" t="s">
        <v>42</v>
      </c>
      <c r="E2941" s="2">
        <v>141</v>
      </c>
      <c r="F2941" s="2">
        <v>2860.699</v>
      </c>
    </row>
    <row r="2942" spans="3:6" x14ac:dyDescent="0.25">
      <c r="C2942" s="2" t="s">
        <v>18003</v>
      </c>
      <c r="D2942" s="2" t="s">
        <v>42</v>
      </c>
      <c r="E2942" s="2">
        <v>141</v>
      </c>
      <c r="F2942" s="2">
        <v>2878.62</v>
      </c>
    </row>
    <row r="2943" spans="3:6" x14ac:dyDescent="0.25">
      <c r="C2943" s="2" t="s">
        <v>18004</v>
      </c>
      <c r="D2943" s="2" t="s">
        <v>42</v>
      </c>
      <c r="E2943" s="2">
        <v>121</v>
      </c>
      <c r="F2943" s="2">
        <v>2253.61</v>
      </c>
    </row>
    <row r="2944" spans="3:6" x14ac:dyDescent="0.25">
      <c r="C2944" s="2" t="s">
        <v>18005</v>
      </c>
      <c r="D2944" s="2" t="s">
        <v>42</v>
      </c>
      <c r="E2944" s="2">
        <v>12</v>
      </c>
      <c r="F2944" s="2">
        <v>186.5</v>
      </c>
    </row>
    <row r="2945" spans="3:6" x14ac:dyDescent="0.25">
      <c r="C2945" s="2" t="s">
        <v>18006</v>
      </c>
      <c r="D2945" s="2" t="s">
        <v>42</v>
      </c>
      <c r="E2945" s="2">
        <v>79</v>
      </c>
      <c r="F2945" s="2">
        <v>1595.154</v>
      </c>
    </row>
    <row r="2946" spans="3:6" x14ac:dyDescent="0.25">
      <c r="C2946" s="2" t="s">
        <v>18007</v>
      </c>
      <c r="D2946" s="2" t="s">
        <v>42</v>
      </c>
      <c r="E2946" s="2">
        <v>89</v>
      </c>
      <c r="F2946" s="2">
        <v>1851.089</v>
      </c>
    </row>
    <row r="2947" spans="3:6" x14ac:dyDescent="0.25">
      <c r="C2947" s="2" t="s">
        <v>18008</v>
      </c>
      <c r="D2947" s="2" t="s">
        <v>42</v>
      </c>
      <c r="E2947" s="2">
        <v>10</v>
      </c>
      <c r="F2947" s="2">
        <v>198.57</v>
      </c>
    </row>
    <row r="2948" spans="3:6" x14ac:dyDescent="0.25">
      <c r="C2948" s="2" t="s">
        <v>18009</v>
      </c>
      <c r="D2948" s="2" t="s">
        <v>42</v>
      </c>
      <c r="E2948" s="2">
        <v>65</v>
      </c>
      <c r="F2948" s="2">
        <v>1339.76</v>
      </c>
    </row>
    <row r="2949" spans="3:6" x14ac:dyDescent="0.25">
      <c r="C2949" s="2" t="s">
        <v>18010</v>
      </c>
      <c r="D2949" s="2" t="s">
        <v>42</v>
      </c>
      <c r="E2949" s="2">
        <v>141</v>
      </c>
      <c r="F2949" s="2">
        <v>2859.98</v>
      </c>
    </row>
    <row r="2950" spans="3:6" x14ac:dyDescent="0.25">
      <c r="C2950" s="2" t="s">
        <v>18011</v>
      </c>
      <c r="D2950" s="2" t="s">
        <v>42</v>
      </c>
      <c r="E2950" s="2">
        <v>104</v>
      </c>
      <c r="F2950" s="2">
        <v>2133.232</v>
      </c>
    </row>
    <row r="2951" spans="3:6" x14ac:dyDescent="0.25">
      <c r="C2951" s="2" t="s">
        <v>18012</v>
      </c>
      <c r="D2951" s="2" t="s">
        <v>42</v>
      </c>
      <c r="E2951" s="2">
        <v>141</v>
      </c>
      <c r="F2951" s="2">
        <v>2889.793</v>
      </c>
    </row>
    <row r="2952" spans="3:6" x14ac:dyDescent="0.25">
      <c r="C2952" s="2" t="s">
        <v>18013</v>
      </c>
      <c r="D2952" s="2" t="s">
        <v>42</v>
      </c>
      <c r="E2952" s="2">
        <v>75</v>
      </c>
      <c r="F2952" s="2">
        <v>392.237</v>
      </c>
    </row>
    <row r="2953" spans="3:6" x14ac:dyDescent="0.25">
      <c r="C2953" s="2" t="s">
        <v>18014</v>
      </c>
      <c r="D2953" s="2" t="s">
        <v>42</v>
      </c>
      <c r="E2953" s="2">
        <v>141</v>
      </c>
      <c r="F2953" s="2">
        <v>419.828</v>
      </c>
    </row>
    <row r="2954" spans="3:6" x14ac:dyDescent="0.25">
      <c r="C2954" s="2" t="s">
        <v>18015</v>
      </c>
      <c r="D2954" s="2" t="s">
        <v>42</v>
      </c>
      <c r="E2954" s="2">
        <v>21</v>
      </c>
      <c r="F2954" s="2">
        <v>424</v>
      </c>
    </row>
    <row r="2955" spans="3:6" x14ac:dyDescent="0.25">
      <c r="C2955" s="2" t="s">
        <v>18016</v>
      </c>
      <c r="D2955" s="2" t="s">
        <v>42</v>
      </c>
      <c r="E2955" s="2">
        <v>32</v>
      </c>
      <c r="F2955" s="2">
        <v>626.73</v>
      </c>
    </row>
    <row r="2956" spans="3:6" x14ac:dyDescent="0.25">
      <c r="C2956" s="2" t="s">
        <v>18017</v>
      </c>
      <c r="D2956" s="2" t="s">
        <v>42</v>
      </c>
      <c r="E2956" s="2">
        <v>28</v>
      </c>
      <c r="F2956" s="2">
        <v>579.58</v>
      </c>
    </row>
    <row r="2957" spans="3:6" x14ac:dyDescent="0.25">
      <c r="C2957" s="2" t="s">
        <v>18018</v>
      </c>
      <c r="D2957" s="2" t="s">
        <v>42</v>
      </c>
      <c r="E2957" s="2">
        <v>33</v>
      </c>
      <c r="F2957" s="2">
        <v>308.778</v>
      </c>
    </row>
    <row r="2958" spans="3:6" x14ac:dyDescent="0.25">
      <c r="C2958" s="2" t="s">
        <v>18019</v>
      </c>
      <c r="D2958" s="2" t="s">
        <v>42</v>
      </c>
      <c r="E2958" s="2">
        <v>82</v>
      </c>
      <c r="F2958" s="2">
        <v>1778.06</v>
      </c>
    </row>
    <row r="2959" spans="3:6" x14ac:dyDescent="0.25">
      <c r="C2959" s="2" t="s">
        <v>18020</v>
      </c>
      <c r="D2959" s="2" t="s">
        <v>42</v>
      </c>
      <c r="E2959" s="2">
        <v>40</v>
      </c>
      <c r="F2959" s="2">
        <v>819.889</v>
      </c>
    </row>
    <row r="2960" spans="3:6" x14ac:dyDescent="0.25">
      <c r="C2960" s="2" t="s">
        <v>18021</v>
      </c>
      <c r="D2960" s="2" t="s">
        <v>42</v>
      </c>
      <c r="E2960" s="2">
        <v>8</v>
      </c>
      <c r="F2960" s="2">
        <v>168.67</v>
      </c>
    </row>
    <row r="2961" spans="3:6" x14ac:dyDescent="0.25">
      <c r="C2961" s="2" t="s">
        <v>18022</v>
      </c>
      <c r="D2961" s="2" t="s">
        <v>42</v>
      </c>
      <c r="E2961" s="2">
        <v>89</v>
      </c>
      <c r="F2961" s="2">
        <v>1835.956</v>
      </c>
    </row>
    <row r="2962" spans="3:6" x14ac:dyDescent="0.25">
      <c r="C2962" s="2" t="s">
        <v>18023</v>
      </c>
      <c r="D2962" s="2" t="s">
        <v>42</v>
      </c>
      <c r="E2962" s="2">
        <v>6</v>
      </c>
      <c r="F2962" s="2">
        <v>118.11</v>
      </c>
    </row>
    <row r="2963" spans="3:6" x14ac:dyDescent="0.25">
      <c r="C2963" s="2" t="s">
        <v>18024</v>
      </c>
      <c r="D2963" s="2" t="s">
        <v>42</v>
      </c>
      <c r="E2963" s="2">
        <v>42</v>
      </c>
      <c r="F2963" s="2">
        <v>840.9</v>
      </c>
    </row>
    <row r="2964" spans="3:6" x14ac:dyDescent="0.25">
      <c r="C2964" s="2" t="s">
        <v>18025</v>
      </c>
      <c r="D2964" s="2" t="s">
        <v>42</v>
      </c>
      <c r="E2964" s="2">
        <v>93</v>
      </c>
      <c r="F2964" s="2">
        <v>1943.737</v>
      </c>
    </row>
    <row r="2965" spans="3:6" x14ac:dyDescent="0.25">
      <c r="C2965" s="2" t="s">
        <v>18026</v>
      </c>
      <c r="D2965" s="2" t="s">
        <v>42</v>
      </c>
      <c r="E2965" s="2">
        <v>26</v>
      </c>
      <c r="F2965" s="2">
        <v>535.12</v>
      </c>
    </row>
    <row r="2966" spans="3:6" x14ac:dyDescent="0.25">
      <c r="C2966" s="2" t="s">
        <v>18027</v>
      </c>
      <c r="D2966" s="2" t="s">
        <v>42</v>
      </c>
      <c r="E2966" s="2">
        <v>141</v>
      </c>
      <c r="F2966" s="2">
        <v>2853.65</v>
      </c>
    </row>
    <row r="2967" spans="3:6" x14ac:dyDescent="0.25">
      <c r="C2967" s="2" t="s">
        <v>18028</v>
      </c>
      <c r="D2967" s="2" t="s">
        <v>42</v>
      </c>
      <c r="E2967" s="2">
        <v>86</v>
      </c>
      <c r="F2967" s="2">
        <v>1724.085</v>
      </c>
    </row>
    <row r="2968" spans="3:6" x14ac:dyDescent="0.25">
      <c r="C2968" s="2" t="s">
        <v>18029</v>
      </c>
      <c r="D2968" s="2" t="s">
        <v>42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10</v>
      </c>
      <c r="C2970" s="2" t="s">
        <v>18030</v>
      </c>
      <c r="D2970" s="2" t="s">
        <v>12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18031</v>
      </c>
      <c r="D2971" s="2" t="s">
        <v>12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10</v>
      </c>
      <c r="C2973" s="2" t="s">
        <v>18032</v>
      </c>
      <c r="D2973" s="2" t="s">
        <v>12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18033</v>
      </c>
      <c r="D2974" s="2" t="s">
        <v>12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375</v>
      </c>
      <c r="C2976" s="2" t="s">
        <v>18034</v>
      </c>
      <c r="D2976" s="2" t="s">
        <v>342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18035</v>
      </c>
      <c r="D2977" s="2" t="s">
        <v>342</v>
      </c>
      <c r="E2977" s="2">
        <v>156</v>
      </c>
      <c r="F2977" s="2">
        <v>3154.459</v>
      </c>
    </row>
    <row r="2979" spans="3:6" x14ac:dyDescent="0.25">
      <c r="C2979" s="2" t="s">
        <v>18036</v>
      </c>
      <c r="D2979" s="2" t="s">
        <v>342</v>
      </c>
      <c r="E2979" s="2">
        <v>11</v>
      </c>
      <c r="F2979" s="2">
        <v>191.86</v>
      </c>
    </row>
    <row r="2980" spans="3:6" x14ac:dyDescent="0.25">
      <c r="C2980" s="2" t="s">
        <v>18037</v>
      </c>
      <c r="D2980" s="2" t="s">
        <v>342</v>
      </c>
      <c r="E2980" s="2">
        <v>25</v>
      </c>
      <c r="F2980" s="2">
        <v>475.21</v>
      </c>
    </row>
    <row r="2981" spans="3:6" x14ac:dyDescent="0.25">
      <c r="C2981" s="2" t="s">
        <v>18038</v>
      </c>
      <c r="D2981" s="2" t="s">
        <v>214</v>
      </c>
      <c r="E2981" s="2">
        <v>51</v>
      </c>
      <c r="F2981" s="2">
        <v>985.559</v>
      </c>
    </row>
    <row r="2982" spans="3:6" x14ac:dyDescent="0.25">
      <c r="C2982" s="2" t="s">
        <v>18039</v>
      </c>
      <c r="D2982" s="2" t="s">
        <v>216</v>
      </c>
      <c r="E2982" s="2">
        <v>70</v>
      </c>
      <c r="F2982" s="2">
        <v>1273.73</v>
      </c>
    </row>
    <row r="2983" spans="3:6" x14ac:dyDescent="0.25">
      <c r="C2983" s="2" t="s">
        <v>18040</v>
      </c>
      <c r="D2983" s="2" t="s">
        <v>216</v>
      </c>
      <c r="E2983" s="2">
        <v>35</v>
      </c>
      <c r="F2983" s="2">
        <v>659.85</v>
      </c>
    </row>
    <row r="2984" spans="3:6" x14ac:dyDescent="0.25">
      <c r="C2984" s="2" t="s">
        <v>18041</v>
      </c>
      <c r="D2984" s="2" t="s">
        <v>347</v>
      </c>
      <c r="E2984" s="2">
        <v>22</v>
      </c>
      <c r="F2984" s="2">
        <v>424.206</v>
      </c>
    </row>
    <row r="2985" spans="3:6" x14ac:dyDescent="0.25">
      <c r="C2985" s="2" t="s">
        <v>18042</v>
      </c>
      <c r="D2985" s="2" t="s">
        <v>347</v>
      </c>
      <c r="E2985" s="2">
        <v>34</v>
      </c>
      <c r="F2985" s="2">
        <v>671.24</v>
      </c>
    </row>
    <row r="2986" spans="3:6" x14ac:dyDescent="0.25">
      <c r="C2986" s="2" t="s">
        <v>18043</v>
      </c>
      <c r="D2986" s="2" t="s">
        <v>347</v>
      </c>
      <c r="E2986" s="2">
        <v>100</v>
      </c>
      <c r="F2986" s="2">
        <v>1987.072</v>
      </c>
    </row>
    <row r="2987" spans="3:6" x14ac:dyDescent="0.25">
      <c r="C2987" s="2" t="s">
        <v>18044</v>
      </c>
      <c r="D2987" s="2" t="s">
        <v>236</v>
      </c>
      <c r="E2987" s="2">
        <v>60</v>
      </c>
      <c r="F2987" s="2">
        <v>1118.97</v>
      </c>
    </row>
    <row r="2988" spans="3:6" x14ac:dyDescent="0.25">
      <c r="C2988" s="2" t="s">
        <v>18045</v>
      </c>
      <c r="D2988" s="2" t="s">
        <v>236</v>
      </c>
      <c r="E2988" s="2">
        <v>45</v>
      </c>
      <c r="F2988" s="2">
        <v>840.03</v>
      </c>
    </row>
    <row r="2989" spans="3:6" x14ac:dyDescent="0.25">
      <c r="C2989" s="2" t="s">
        <v>18046</v>
      </c>
      <c r="D2989" s="2" t="s">
        <v>236</v>
      </c>
      <c r="E2989" s="2">
        <v>47</v>
      </c>
      <c r="F2989" s="2">
        <v>962.43</v>
      </c>
    </row>
    <row r="2990" spans="3:6" x14ac:dyDescent="0.25">
      <c r="C2990" s="2" t="s">
        <v>18047</v>
      </c>
      <c r="D2990" s="2" t="s">
        <v>214</v>
      </c>
      <c r="E2990" s="2">
        <v>105</v>
      </c>
      <c r="F2990" s="2">
        <v>2069.837</v>
      </c>
    </row>
    <row r="2991" spans="3:6" x14ac:dyDescent="0.25">
      <c r="C2991" s="2" t="s">
        <v>18048</v>
      </c>
      <c r="D2991" s="2" t="s">
        <v>204</v>
      </c>
      <c r="E2991" s="2">
        <v>149</v>
      </c>
      <c r="F2991" s="2">
        <v>2942.48</v>
      </c>
    </row>
    <row r="2992" spans="3:6" x14ac:dyDescent="0.25">
      <c r="C2992" s="2" t="s">
        <v>18049</v>
      </c>
      <c r="D2992" s="2" t="s">
        <v>216</v>
      </c>
      <c r="E2992" s="2">
        <v>134</v>
      </c>
      <c r="F2992" s="2">
        <v>2698.3</v>
      </c>
    </row>
    <row r="2993" spans="3:6" x14ac:dyDescent="0.25">
      <c r="C2993" s="2" t="s">
        <v>18050</v>
      </c>
      <c r="D2993" s="2" t="s">
        <v>216</v>
      </c>
      <c r="E2993" s="2">
        <v>134</v>
      </c>
      <c r="F2993" s="2">
        <v>2670.57</v>
      </c>
    </row>
    <row r="2994" spans="3:6" x14ac:dyDescent="0.25">
      <c r="C2994" s="2" t="s">
        <v>18051</v>
      </c>
      <c r="D2994" s="2" t="s">
        <v>216</v>
      </c>
      <c r="E2994" s="2">
        <v>134</v>
      </c>
      <c r="F2994" s="2">
        <v>2679.77</v>
      </c>
    </row>
    <row r="2995" spans="3:6" x14ac:dyDescent="0.25">
      <c r="C2995" s="2" t="s">
        <v>18052</v>
      </c>
      <c r="D2995" s="2" t="s">
        <v>216</v>
      </c>
      <c r="E2995" s="2">
        <v>134</v>
      </c>
      <c r="F2995" s="2">
        <v>2726.23</v>
      </c>
    </row>
    <row r="2996" spans="3:6" x14ac:dyDescent="0.25">
      <c r="C2996" s="2" t="s">
        <v>18053</v>
      </c>
      <c r="D2996" s="2" t="s">
        <v>236</v>
      </c>
      <c r="E2996" s="2">
        <v>34</v>
      </c>
      <c r="F2996" s="2">
        <v>639.75</v>
      </c>
    </row>
    <row r="2997" spans="3:6" x14ac:dyDescent="0.25">
      <c r="C2997" s="2" t="s">
        <v>18054</v>
      </c>
      <c r="D2997" s="2" t="s">
        <v>236</v>
      </c>
      <c r="E2997" s="2">
        <v>66</v>
      </c>
      <c r="F2997" s="2">
        <v>1290.309</v>
      </c>
    </row>
    <row r="2998" spans="3:6" x14ac:dyDescent="0.25">
      <c r="C2998" s="2" t="s">
        <v>18055</v>
      </c>
      <c r="D2998" s="2" t="s">
        <v>204</v>
      </c>
      <c r="E2998" s="2">
        <v>163</v>
      </c>
      <c r="F2998" s="2">
        <v>2917.572</v>
      </c>
    </row>
    <row r="2999" spans="3:6" x14ac:dyDescent="0.25">
      <c r="C2999" s="2" t="s">
        <v>18056</v>
      </c>
      <c r="D2999" s="2" t="s">
        <v>204</v>
      </c>
      <c r="E2999" s="2">
        <v>163</v>
      </c>
      <c r="F2999" s="2">
        <v>3092.82</v>
      </c>
    </row>
    <row r="3000" spans="3:6" x14ac:dyDescent="0.25">
      <c r="C3000" s="2" t="s">
        <v>18057</v>
      </c>
      <c r="D3000" s="2" t="s">
        <v>204</v>
      </c>
      <c r="E3000" s="2">
        <v>133</v>
      </c>
      <c r="F3000" s="2">
        <v>2477.268</v>
      </c>
    </row>
    <row r="3001" spans="3:6" x14ac:dyDescent="0.25">
      <c r="C3001" s="2" t="s">
        <v>18058</v>
      </c>
      <c r="D3001" s="2" t="s">
        <v>204</v>
      </c>
      <c r="E3001" s="2">
        <v>164</v>
      </c>
      <c r="F3001" s="2">
        <v>3141.95</v>
      </c>
    </row>
    <row r="3002" spans="3:6" x14ac:dyDescent="0.25">
      <c r="C3002" s="2" t="s">
        <v>18059</v>
      </c>
      <c r="D3002" s="2" t="s">
        <v>216</v>
      </c>
      <c r="E3002" s="2">
        <v>134</v>
      </c>
      <c r="F3002" s="2">
        <v>2710.39</v>
      </c>
    </row>
    <row r="3003" spans="3:6" x14ac:dyDescent="0.25">
      <c r="C3003" s="2" t="s">
        <v>18060</v>
      </c>
      <c r="D3003" s="2" t="s">
        <v>216</v>
      </c>
      <c r="E3003" s="2">
        <v>134</v>
      </c>
      <c r="F3003" s="2">
        <v>2712.07</v>
      </c>
    </row>
    <row r="3004" spans="3:6" x14ac:dyDescent="0.25">
      <c r="C3004" s="2" t="s">
        <v>18061</v>
      </c>
      <c r="D3004" s="2" t="s">
        <v>204</v>
      </c>
      <c r="E3004" s="2">
        <v>105</v>
      </c>
      <c r="F3004" s="2">
        <v>800</v>
      </c>
    </row>
    <row r="3005" spans="3:6" x14ac:dyDescent="0.25">
      <c r="C3005" s="2" t="s">
        <v>18062</v>
      </c>
      <c r="D3005" s="2" t="s">
        <v>204</v>
      </c>
      <c r="E3005" s="2">
        <v>105</v>
      </c>
      <c r="F3005" s="2">
        <v>800</v>
      </c>
    </row>
    <row r="3006" spans="3:6" x14ac:dyDescent="0.25">
      <c r="C3006" s="2" t="s">
        <v>18063</v>
      </c>
      <c r="D3006" s="2" t="s">
        <v>204</v>
      </c>
      <c r="E3006" s="2">
        <v>105</v>
      </c>
      <c r="F3006" s="2">
        <v>800</v>
      </c>
    </row>
    <row r="3007" spans="3:6" x14ac:dyDescent="0.25">
      <c r="C3007" s="2" t="s">
        <v>18064</v>
      </c>
      <c r="D3007" s="2" t="s">
        <v>204</v>
      </c>
      <c r="E3007" s="2">
        <v>7</v>
      </c>
      <c r="F3007" s="2">
        <v>127</v>
      </c>
    </row>
    <row r="3008" spans="3:6" x14ac:dyDescent="0.25">
      <c r="C3008" s="2" t="s">
        <v>18065</v>
      </c>
      <c r="D3008" s="2" t="s">
        <v>204</v>
      </c>
      <c r="E3008" s="2">
        <v>30</v>
      </c>
      <c r="F3008" s="2">
        <v>557</v>
      </c>
    </row>
    <row r="3009" spans="3:6" x14ac:dyDescent="0.25">
      <c r="C3009" s="2" t="s">
        <v>18066</v>
      </c>
      <c r="D3009" s="2" t="s">
        <v>236</v>
      </c>
      <c r="E3009" s="2">
        <v>9</v>
      </c>
      <c r="F3009" s="2">
        <v>184</v>
      </c>
    </row>
    <row r="3011" spans="2:6" x14ac:dyDescent="0.25">
      <c r="B3011" s="2" t="s">
        <v>2077</v>
      </c>
      <c r="C3011" s="2" t="s">
        <v>18067</v>
      </c>
      <c r="D3011" s="2" t="s">
        <v>214</v>
      </c>
      <c r="E3011" s="2">
        <v>156</v>
      </c>
      <c r="F3011" s="2">
        <v>2661.71</v>
      </c>
    </row>
    <row r="3012" spans="3:6" x14ac:dyDescent="0.25">
      <c r="C3012" s="2" t="s">
        <v>18068</v>
      </c>
      <c r="D3012" s="2" t="s">
        <v>214</v>
      </c>
      <c r="E3012" s="2">
        <v>156</v>
      </c>
      <c r="F3012" s="2">
        <v>2725.059</v>
      </c>
    </row>
    <row r="3013" spans="3:6" x14ac:dyDescent="0.25">
      <c r="C3013" s="2" t="s">
        <v>18069</v>
      </c>
      <c r="D3013" s="2" t="s">
        <v>342</v>
      </c>
      <c r="E3013" s="2">
        <v>120</v>
      </c>
      <c r="F3013" s="2">
        <v>2288.98</v>
      </c>
    </row>
    <row r="3014" spans="3:6" x14ac:dyDescent="0.25">
      <c r="C3014" s="2" t="s">
        <v>18070</v>
      </c>
      <c r="D3014" s="2" t="s">
        <v>342</v>
      </c>
      <c r="E3014" s="2">
        <v>36</v>
      </c>
      <c r="F3014" s="2">
        <v>615.349</v>
      </c>
    </row>
    <row r="3015" spans="3:6" x14ac:dyDescent="0.25">
      <c r="C3015" s="2" t="s">
        <v>18071</v>
      </c>
      <c r="D3015" s="2" t="s">
        <v>216</v>
      </c>
      <c r="E3015" s="2">
        <v>105</v>
      </c>
      <c r="F3015" s="2">
        <v>1841.47</v>
      </c>
    </row>
    <row r="3016" spans="3:6" x14ac:dyDescent="0.25">
      <c r="C3016" s="2" t="s">
        <v>18072</v>
      </c>
      <c r="D3016" s="2" t="s">
        <v>216</v>
      </c>
      <c r="E3016" s="2">
        <v>156</v>
      </c>
      <c r="F3016" s="2">
        <v>2952.7</v>
      </c>
    </row>
    <row r="3017" spans="3:6" x14ac:dyDescent="0.25">
      <c r="C3017" s="2" t="s">
        <v>18073</v>
      </c>
      <c r="D3017" s="2" t="s">
        <v>204</v>
      </c>
      <c r="E3017" s="2">
        <v>105</v>
      </c>
      <c r="F3017" s="2">
        <v>1840.12</v>
      </c>
    </row>
    <row r="3018" spans="3:6" x14ac:dyDescent="0.25">
      <c r="C3018" s="2" t="s">
        <v>18074</v>
      </c>
      <c r="D3018" s="2" t="s">
        <v>297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380</v>
      </c>
      <c r="C3020" s="2" t="s">
        <v>18075</v>
      </c>
      <c r="D3020" s="2" t="s">
        <v>20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18076</v>
      </c>
      <c r="D3021" s="2" t="s">
        <v>20</v>
      </c>
      <c r="E3021" s="2">
        <v>330</v>
      </c>
      <c r="F3021" s="2">
        <v>6524.84</v>
      </c>
    </row>
    <row r="3022" spans="3:6" x14ac:dyDescent="0.25">
      <c r="C3022" s="2" t="s">
        <v>18077</v>
      </c>
      <c r="D3022" s="2" t="s">
        <v>20</v>
      </c>
      <c r="E3022" s="2">
        <v>235</v>
      </c>
      <c r="F3022" s="2">
        <v>4519.42</v>
      </c>
    </row>
    <row r="3023" spans="3:6" x14ac:dyDescent="0.25">
      <c r="C3023" s="2" t="s">
        <v>18078</v>
      </c>
      <c r="D3023" s="2" t="s">
        <v>20</v>
      </c>
      <c r="E3023" s="2">
        <v>244</v>
      </c>
      <c r="F3023" s="2">
        <v>5310.51</v>
      </c>
    </row>
    <row r="3024" spans="3:6" x14ac:dyDescent="0.25">
      <c r="C3024" s="2" t="s">
        <v>18079</v>
      </c>
      <c r="D3024" s="2" t="s">
        <v>20</v>
      </c>
      <c r="E3024" s="2">
        <v>149</v>
      </c>
      <c r="F3024" s="2">
        <v>2732.34</v>
      </c>
    </row>
    <row r="3025" spans="3:6" x14ac:dyDescent="0.25">
      <c r="C3025" s="2" t="s">
        <v>18080</v>
      </c>
      <c r="D3025" s="2" t="s">
        <v>20</v>
      </c>
      <c r="E3025" s="2">
        <v>102</v>
      </c>
      <c r="F3025" s="2">
        <v>1943.53</v>
      </c>
    </row>
    <row r="3026" spans="3:6" x14ac:dyDescent="0.25">
      <c r="C3026" s="2" t="s">
        <v>18081</v>
      </c>
      <c r="D3026" s="2" t="s">
        <v>20</v>
      </c>
      <c r="E3026" s="2">
        <v>102</v>
      </c>
      <c r="F3026" s="2">
        <v>1998.242</v>
      </c>
    </row>
    <row r="3027" spans="3:6" x14ac:dyDescent="0.25">
      <c r="C3027" s="2" t="s">
        <v>18082</v>
      </c>
      <c r="D3027" s="2" t="s">
        <v>20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1434</v>
      </c>
      <c r="C3029" s="2" t="s">
        <v>18083</v>
      </c>
      <c r="D3029" s="2" t="s">
        <v>122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18084</v>
      </c>
      <c r="D3030" s="2" t="s">
        <v>122</v>
      </c>
      <c r="E3030" s="2">
        <v>101</v>
      </c>
      <c r="F3030" s="2">
        <v>2091.22</v>
      </c>
    </row>
    <row r="3031" spans="3:6" x14ac:dyDescent="0.25">
      <c r="C3031" s="2" t="s">
        <v>18085</v>
      </c>
      <c r="D3031" s="2" t="s">
        <v>122</v>
      </c>
      <c r="E3031" s="2">
        <v>101</v>
      </c>
      <c r="F3031" s="2">
        <v>2044.36</v>
      </c>
    </row>
    <row r="3032" spans="3:6" x14ac:dyDescent="0.25">
      <c r="C3032" s="2" t="s">
        <v>18086</v>
      </c>
      <c r="D3032" s="2" t="s">
        <v>122</v>
      </c>
      <c r="E3032" s="2">
        <v>27</v>
      </c>
      <c r="F3032" s="2">
        <v>568.07</v>
      </c>
    </row>
    <row r="3033" spans="3:6" x14ac:dyDescent="0.25">
      <c r="C3033" s="2" t="s">
        <v>18087</v>
      </c>
      <c r="D3033" s="2" t="s">
        <v>122</v>
      </c>
      <c r="E3033" s="2">
        <v>74</v>
      </c>
      <c r="F3033" s="2">
        <v>1508.83</v>
      </c>
    </row>
    <row r="3034" spans="3:6" x14ac:dyDescent="0.25">
      <c r="C3034" s="2" t="s">
        <v>18088</v>
      </c>
      <c r="D3034" s="2" t="s">
        <v>122</v>
      </c>
      <c r="E3034" s="2">
        <v>73</v>
      </c>
      <c r="F3034" s="2">
        <v>1477.35</v>
      </c>
    </row>
    <row r="3035" spans="3:6" x14ac:dyDescent="0.25">
      <c r="C3035" s="2" t="s">
        <v>18089</v>
      </c>
      <c r="D3035" s="2" t="s">
        <v>122</v>
      </c>
      <c r="E3035" s="2">
        <v>28</v>
      </c>
      <c r="F3035" s="2">
        <v>578.68</v>
      </c>
    </row>
    <row r="3036" spans="3:6" x14ac:dyDescent="0.25">
      <c r="C3036" s="2" t="s">
        <v>18090</v>
      </c>
      <c r="D3036" s="2" t="s">
        <v>122</v>
      </c>
      <c r="E3036" s="2">
        <v>85</v>
      </c>
      <c r="F3036" s="2">
        <v>1705.77</v>
      </c>
    </row>
    <row r="3037" spans="3:6" x14ac:dyDescent="0.25">
      <c r="C3037" s="2" t="s">
        <v>18091</v>
      </c>
      <c r="D3037" s="2" t="s">
        <v>122</v>
      </c>
      <c r="E3037" s="2">
        <v>49</v>
      </c>
      <c r="F3037" s="2">
        <v>995.69</v>
      </c>
    </row>
    <row r="3038" spans="3:6" x14ac:dyDescent="0.25">
      <c r="C3038" s="2" t="s">
        <v>18092</v>
      </c>
      <c r="D3038" s="2" t="s">
        <v>122</v>
      </c>
      <c r="E3038" s="2">
        <v>29</v>
      </c>
      <c r="F3038" s="2">
        <v>584.55</v>
      </c>
    </row>
    <row r="3039" spans="3:6" x14ac:dyDescent="0.25">
      <c r="C3039" s="2" t="s">
        <v>18093</v>
      </c>
      <c r="D3039" s="2" t="s">
        <v>122</v>
      </c>
      <c r="E3039" s="2">
        <v>43</v>
      </c>
      <c r="F3039" s="2">
        <v>917.06</v>
      </c>
    </row>
    <row r="3040" spans="3:6" x14ac:dyDescent="0.25">
      <c r="C3040" s="2" t="s">
        <v>18094</v>
      </c>
      <c r="D3040" s="2" t="s">
        <v>122</v>
      </c>
      <c r="E3040" s="2">
        <v>42</v>
      </c>
      <c r="F3040" s="2">
        <v>876.8</v>
      </c>
    </row>
    <row r="3041" spans="3:6" x14ac:dyDescent="0.25">
      <c r="C3041" s="2" t="s">
        <v>18095</v>
      </c>
      <c r="D3041" s="2" t="s">
        <v>122</v>
      </c>
      <c r="E3041" s="2">
        <v>27</v>
      </c>
      <c r="F3041" s="2">
        <v>559.3</v>
      </c>
    </row>
    <row r="3042" spans="3:6" x14ac:dyDescent="0.25">
      <c r="C3042" s="2" t="s">
        <v>18096</v>
      </c>
      <c r="D3042" s="2" t="s">
        <v>122</v>
      </c>
      <c r="E3042" s="2">
        <v>141</v>
      </c>
      <c r="F3042" s="2">
        <v>2778.929</v>
      </c>
    </row>
    <row r="3043" spans="3:6" x14ac:dyDescent="0.25">
      <c r="C3043" s="2" t="s">
        <v>18097</v>
      </c>
      <c r="D3043" s="2" t="s">
        <v>122</v>
      </c>
      <c r="E3043" s="2">
        <v>141</v>
      </c>
      <c r="F3043" s="2">
        <v>2821.27</v>
      </c>
    </row>
    <row r="3044" spans="3:6" x14ac:dyDescent="0.25">
      <c r="C3044" s="2" t="s">
        <v>18098</v>
      </c>
      <c r="D3044" s="2" t="s">
        <v>122</v>
      </c>
      <c r="E3044" s="2">
        <v>41</v>
      </c>
      <c r="F3044" s="2">
        <v>818.419</v>
      </c>
    </row>
    <row r="3045" spans="3:6" x14ac:dyDescent="0.25">
      <c r="C3045" s="2" t="s">
        <v>18099</v>
      </c>
      <c r="D3045" s="2" t="s">
        <v>122</v>
      </c>
      <c r="E3045" s="2">
        <v>43</v>
      </c>
      <c r="F3045" s="2">
        <v>915.6</v>
      </c>
    </row>
    <row r="3046" spans="3:6" x14ac:dyDescent="0.25">
      <c r="C3046" s="2" t="s">
        <v>18100</v>
      </c>
      <c r="D3046" s="2" t="s">
        <v>122</v>
      </c>
      <c r="E3046" s="2">
        <v>27</v>
      </c>
      <c r="F3046" s="2">
        <v>527.11</v>
      </c>
    </row>
    <row r="3047" spans="3:6" x14ac:dyDescent="0.25">
      <c r="C3047" s="2" t="s">
        <v>18101</v>
      </c>
      <c r="D3047" s="2" t="s">
        <v>122</v>
      </c>
      <c r="E3047" s="2">
        <v>30</v>
      </c>
      <c r="F3047" s="2">
        <v>621.56</v>
      </c>
    </row>
    <row r="3048" spans="3:6" x14ac:dyDescent="0.25">
      <c r="C3048" s="2" t="s">
        <v>18102</v>
      </c>
      <c r="D3048" s="2" t="s">
        <v>122</v>
      </c>
      <c r="E3048" s="2">
        <v>141</v>
      </c>
      <c r="F3048" s="2">
        <v>2820.81</v>
      </c>
    </row>
    <row r="3049" spans="3:6" x14ac:dyDescent="0.25">
      <c r="C3049" s="2" t="s">
        <v>18103</v>
      </c>
      <c r="D3049" s="2" t="s">
        <v>122</v>
      </c>
      <c r="E3049" s="2">
        <v>124</v>
      </c>
      <c r="F3049" s="2">
        <v>2530.52</v>
      </c>
    </row>
    <row r="3050" spans="3:6" x14ac:dyDescent="0.25">
      <c r="C3050" s="2" t="s">
        <v>18104</v>
      </c>
      <c r="D3050" s="2" t="s">
        <v>122</v>
      </c>
      <c r="E3050" s="2">
        <v>17</v>
      </c>
      <c r="F3050" s="2">
        <v>354.23</v>
      </c>
    </row>
    <row r="3051" spans="3:6" x14ac:dyDescent="0.25">
      <c r="C3051" s="2" t="s">
        <v>18105</v>
      </c>
      <c r="D3051" s="2" t="s">
        <v>122</v>
      </c>
      <c r="E3051" s="2">
        <v>58</v>
      </c>
      <c r="F3051" s="2">
        <v>1154</v>
      </c>
    </row>
    <row r="3052" spans="3:6" x14ac:dyDescent="0.25">
      <c r="C3052" s="2" t="s">
        <v>18106</v>
      </c>
      <c r="D3052" s="2" t="s">
        <v>122</v>
      </c>
      <c r="E3052" s="2">
        <v>83</v>
      </c>
      <c r="F3052" s="2">
        <v>1748.37</v>
      </c>
    </row>
    <row r="3053" spans="3:6" x14ac:dyDescent="0.25">
      <c r="C3053" s="2" t="s">
        <v>18107</v>
      </c>
      <c r="D3053" s="2" t="s">
        <v>122</v>
      </c>
      <c r="E3053" s="2">
        <v>33</v>
      </c>
      <c r="F3053" s="2">
        <v>596.37</v>
      </c>
    </row>
    <row r="3054" spans="3:6" x14ac:dyDescent="0.25">
      <c r="C3054" s="2" t="s">
        <v>18108</v>
      </c>
      <c r="D3054" s="2" t="s">
        <v>122</v>
      </c>
      <c r="E3054" s="2">
        <v>101</v>
      </c>
      <c r="F3054" s="2">
        <v>2082.34</v>
      </c>
    </row>
    <row r="3055" spans="3:6" x14ac:dyDescent="0.25">
      <c r="C3055" s="2" t="s">
        <v>18109</v>
      </c>
      <c r="D3055" s="2" t="s">
        <v>122</v>
      </c>
      <c r="E3055" s="2">
        <v>56</v>
      </c>
      <c r="F3055" s="2">
        <v>1147.57</v>
      </c>
    </row>
    <row r="3056" spans="3:6" x14ac:dyDescent="0.25">
      <c r="C3056" s="2" t="s">
        <v>18110</v>
      </c>
      <c r="D3056" s="2" t="s">
        <v>122</v>
      </c>
      <c r="E3056" s="2">
        <v>55</v>
      </c>
      <c r="F3056" s="2">
        <v>1136.498</v>
      </c>
    </row>
    <row r="3057" spans="3:6" x14ac:dyDescent="0.25">
      <c r="C3057" s="2" t="s">
        <v>18111</v>
      </c>
      <c r="D3057" s="2" t="s">
        <v>122</v>
      </c>
      <c r="E3057" s="2">
        <v>30</v>
      </c>
      <c r="F3057" s="2">
        <v>547.249</v>
      </c>
    </row>
    <row r="3058" spans="3:6" x14ac:dyDescent="0.25">
      <c r="C3058" s="2" t="s">
        <v>18112</v>
      </c>
      <c r="D3058" s="2" t="s">
        <v>122</v>
      </c>
      <c r="E3058" s="2">
        <v>57</v>
      </c>
      <c r="F3058" s="2">
        <v>1116.419</v>
      </c>
    </row>
    <row r="3059" spans="3:6" x14ac:dyDescent="0.25">
      <c r="C3059" s="2" t="s">
        <v>18113</v>
      </c>
      <c r="D3059" s="2" t="s">
        <v>122</v>
      </c>
      <c r="E3059" s="2">
        <v>10</v>
      </c>
      <c r="F3059" s="2">
        <v>187.38</v>
      </c>
    </row>
    <row r="3060" spans="3:6" x14ac:dyDescent="0.25">
      <c r="C3060" s="2" t="s">
        <v>18114</v>
      </c>
      <c r="D3060" s="2" t="s">
        <v>122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324</v>
      </c>
      <c r="C3062" s="2" t="s">
        <v>18115</v>
      </c>
      <c r="D3062" s="2" t="s">
        <v>27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18116</v>
      </c>
      <c r="D3063" s="2" t="s">
        <v>27</v>
      </c>
      <c r="E3063" s="2">
        <v>57</v>
      </c>
      <c r="F3063" s="2">
        <v>1001.23</v>
      </c>
    </row>
    <row r="3064" spans="3:6" x14ac:dyDescent="0.25">
      <c r="C3064" s="2" t="s">
        <v>18117</v>
      </c>
      <c r="D3064" s="2" t="s">
        <v>27</v>
      </c>
      <c r="E3064" s="2">
        <v>90</v>
      </c>
      <c r="F3064" s="2">
        <v>1793.84</v>
      </c>
    </row>
    <row r="3065" spans="3:6" x14ac:dyDescent="0.25">
      <c r="C3065" s="2" t="s">
        <v>18118</v>
      </c>
      <c r="D3065" s="2" t="s">
        <v>27</v>
      </c>
      <c r="E3065" s="2">
        <v>96</v>
      </c>
      <c r="F3065" s="2">
        <v>1927.07</v>
      </c>
    </row>
    <row r="3066" spans="3:6" x14ac:dyDescent="0.25">
      <c r="C3066" s="2" t="s">
        <v>18119</v>
      </c>
      <c r="D3066" s="2" t="s">
        <v>27</v>
      </c>
      <c r="E3066" s="2">
        <v>27</v>
      </c>
      <c r="F3066" s="2">
        <v>533.84</v>
      </c>
    </row>
    <row r="3067" spans="3:6" x14ac:dyDescent="0.25">
      <c r="C3067" s="2" t="s">
        <v>18120</v>
      </c>
      <c r="D3067" s="2" t="s">
        <v>27</v>
      </c>
      <c r="E3067" s="2">
        <v>73</v>
      </c>
      <c r="F3067" s="2">
        <v>1318.16</v>
      </c>
    </row>
    <row r="3068" spans="3:6" x14ac:dyDescent="0.25">
      <c r="C3068" s="2" t="s">
        <v>18121</v>
      </c>
      <c r="D3068" s="2" t="s">
        <v>27</v>
      </c>
      <c r="E3068" s="2">
        <v>9</v>
      </c>
      <c r="F3068" s="2" t="s">
        <v>8758</v>
      </c>
    </row>
    <row r="3070" spans="1:7" x14ac:dyDescent="0.25">
      <c r="A3070" s="1">
        <v>46140</v>
      </c>
      <c r="B3070" s="2" t="s">
        <v>10</v>
      </c>
      <c r="C3070" s="2" t="s">
        <v>18122</v>
      </c>
      <c r="D3070" s="2" t="s">
        <v>12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18123</v>
      </c>
      <c r="D3071" s="2" t="s">
        <v>12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238</v>
      </c>
      <c r="C3073" s="2" t="s">
        <v>18124</v>
      </c>
      <c r="D3073" s="2" t="s">
        <v>204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18125</v>
      </c>
      <c r="D3074" s="2" t="s">
        <v>204</v>
      </c>
      <c r="E3074" s="2">
        <v>105</v>
      </c>
      <c r="F3074" s="2">
        <v>800</v>
      </c>
    </row>
    <row r="3075" spans="3:6" x14ac:dyDescent="0.25">
      <c r="C3075" s="2" t="s">
        <v>18126</v>
      </c>
      <c r="D3075" s="2" t="s">
        <v>204</v>
      </c>
      <c r="E3075" s="2">
        <v>105</v>
      </c>
      <c r="F3075" s="2">
        <v>800</v>
      </c>
    </row>
    <row r="3076" spans="3:6" x14ac:dyDescent="0.25">
      <c r="C3076" s="2" t="s">
        <v>18127</v>
      </c>
      <c r="D3076" s="2" t="s">
        <v>204</v>
      </c>
      <c r="E3076" s="2">
        <v>105</v>
      </c>
      <c r="F3076" s="2">
        <v>800</v>
      </c>
    </row>
    <row r="3077" spans="3:6" x14ac:dyDescent="0.25">
      <c r="C3077" s="2" t="s">
        <v>18128</v>
      </c>
      <c r="D3077" s="2" t="s">
        <v>204</v>
      </c>
      <c r="E3077" s="2">
        <v>134</v>
      </c>
      <c r="F3077" s="2">
        <v>2488.033</v>
      </c>
    </row>
    <row r="3078" spans="3:6" x14ac:dyDescent="0.25">
      <c r="C3078" s="2" t="s">
        <v>18129</v>
      </c>
      <c r="D3078" s="2" t="s">
        <v>204</v>
      </c>
      <c r="E3078" s="2">
        <v>134</v>
      </c>
      <c r="F3078" s="2">
        <v>2663.235</v>
      </c>
    </row>
    <row r="3079" spans="3:6" x14ac:dyDescent="0.25">
      <c r="C3079" s="2" t="s">
        <v>18130</v>
      </c>
      <c r="D3079" s="2" t="s">
        <v>204</v>
      </c>
      <c r="E3079" s="2">
        <v>134</v>
      </c>
      <c r="F3079" s="2">
        <v>2645.776</v>
      </c>
    </row>
    <row r="3080" spans="3:6" x14ac:dyDescent="0.25">
      <c r="C3080" s="2" t="s">
        <v>18131</v>
      </c>
      <c r="D3080" s="2" t="s">
        <v>204</v>
      </c>
      <c r="E3080" s="2">
        <v>134</v>
      </c>
      <c r="F3080" s="2">
        <v>2673.29</v>
      </c>
    </row>
    <row r="3081" spans="3:6" x14ac:dyDescent="0.25">
      <c r="C3081" s="2" t="s">
        <v>18132</v>
      </c>
      <c r="D3081" s="2" t="s">
        <v>204</v>
      </c>
      <c r="E3081" s="2">
        <v>134</v>
      </c>
      <c r="F3081" s="2">
        <v>2695.828</v>
      </c>
    </row>
    <row r="3082" spans="3:6" x14ac:dyDescent="0.25">
      <c r="C3082" s="2" t="s">
        <v>18133</v>
      </c>
      <c r="D3082" s="2" t="s">
        <v>204</v>
      </c>
      <c r="E3082" s="2">
        <v>156</v>
      </c>
      <c r="F3082" s="2">
        <v>3093.09</v>
      </c>
    </row>
    <row r="3083" spans="3:6" x14ac:dyDescent="0.25">
      <c r="C3083" s="2" t="s">
        <v>18134</v>
      </c>
      <c r="D3083" s="2" t="s">
        <v>204</v>
      </c>
      <c r="E3083" s="2">
        <v>156</v>
      </c>
      <c r="F3083" s="2">
        <v>3157.98</v>
      </c>
    </row>
    <row r="3084" spans="3:6" x14ac:dyDescent="0.25">
      <c r="C3084" s="2" t="s">
        <v>18135</v>
      </c>
      <c r="D3084" s="2" t="s">
        <v>204</v>
      </c>
      <c r="E3084" s="2">
        <v>156</v>
      </c>
      <c r="F3084" s="2">
        <v>3172.93</v>
      </c>
    </row>
    <row r="3085" spans="3:6" x14ac:dyDescent="0.25">
      <c r="C3085" s="2" t="s">
        <v>18136</v>
      </c>
      <c r="D3085" s="2" t="s">
        <v>204</v>
      </c>
      <c r="E3085" s="2">
        <v>163</v>
      </c>
      <c r="F3085" s="2">
        <v>3225.215</v>
      </c>
    </row>
    <row r="3086" spans="3:6" x14ac:dyDescent="0.25">
      <c r="C3086" s="2" t="s">
        <v>18137</v>
      </c>
      <c r="D3086" s="2" t="s">
        <v>204</v>
      </c>
      <c r="E3086" s="2">
        <v>143</v>
      </c>
      <c r="F3086" s="2">
        <v>2466.619</v>
      </c>
    </row>
    <row r="3087" spans="3:6" x14ac:dyDescent="0.25">
      <c r="C3087" s="2" t="s">
        <v>18138</v>
      </c>
      <c r="D3087" s="2" t="s">
        <v>204</v>
      </c>
      <c r="E3087" s="2">
        <v>21</v>
      </c>
      <c r="F3087" s="2">
        <v>383</v>
      </c>
    </row>
    <row r="3088" spans="3:6" x14ac:dyDescent="0.25">
      <c r="C3088" s="2" t="s">
        <v>18139</v>
      </c>
      <c r="D3088" s="2" t="s">
        <v>204</v>
      </c>
      <c r="E3088" s="2">
        <v>163</v>
      </c>
      <c r="F3088" s="2">
        <v>3112.222</v>
      </c>
    </row>
    <row r="3089" spans="3:6" x14ac:dyDescent="0.25">
      <c r="C3089" s="2" t="s">
        <v>18140</v>
      </c>
      <c r="D3089" s="2" t="s">
        <v>204</v>
      </c>
      <c r="E3089" s="2">
        <v>105</v>
      </c>
      <c r="F3089" s="2">
        <v>2119.74</v>
      </c>
    </row>
    <row r="3090" spans="3:6" x14ac:dyDescent="0.25">
      <c r="C3090" s="2" t="s">
        <v>18141</v>
      </c>
      <c r="D3090" s="2" t="s">
        <v>204</v>
      </c>
      <c r="E3090" s="2">
        <v>105</v>
      </c>
      <c r="F3090" s="2">
        <v>2106.522</v>
      </c>
    </row>
    <row r="3091" spans="3:6" x14ac:dyDescent="0.25">
      <c r="C3091" s="2" t="s">
        <v>18142</v>
      </c>
      <c r="D3091" s="2" t="s">
        <v>204</v>
      </c>
      <c r="E3091" s="2">
        <v>36</v>
      </c>
      <c r="F3091" s="2">
        <v>700.61</v>
      </c>
    </row>
    <row r="3092" spans="3:6" x14ac:dyDescent="0.25">
      <c r="C3092" s="2" t="s">
        <v>18143</v>
      </c>
      <c r="D3092" s="2" t="s">
        <v>214</v>
      </c>
      <c r="E3092" s="2">
        <v>105</v>
      </c>
      <c r="F3092" s="2">
        <v>2053.19</v>
      </c>
    </row>
    <row r="3093" spans="3:6" x14ac:dyDescent="0.25">
      <c r="C3093" s="2" t="s">
        <v>18144</v>
      </c>
      <c r="D3093" s="2" t="s">
        <v>236</v>
      </c>
      <c r="E3093" s="2">
        <v>9</v>
      </c>
      <c r="F3093" s="2">
        <v>178</v>
      </c>
    </row>
    <row r="3094" spans="3:6" x14ac:dyDescent="0.25">
      <c r="C3094" s="2" t="s">
        <v>18145</v>
      </c>
      <c r="D3094" s="2" t="s">
        <v>236</v>
      </c>
      <c r="E3094" s="2">
        <v>38</v>
      </c>
      <c r="F3094" s="2">
        <v>710.52</v>
      </c>
    </row>
    <row r="3095" spans="3:6" x14ac:dyDescent="0.25">
      <c r="C3095" s="2" t="s">
        <v>18146</v>
      </c>
      <c r="D3095" s="2" t="s">
        <v>236</v>
      </c>
      <c r="E3095" s="2">
        <v>80</v>
      </c>
      <c r="F3095" s="2">
        <v>1506.569</v>
      </c>
    </row>
    <row r="3096" spans="3:6" x14ac:dyDescent="0.25">
      <c r="C3096" s="2" t="s">
        <v>18147</v>
      </c>
      <c r="D3096" s="2" t="s">
        <v>236</v>
      </c>
      <c r="E3096" s="2">
        <v>29</v>
      </c>
      <c r="F3096" s="2">
        <v>552.35</v>
      </c>
    </row>
    <row r="3097" spans="3:6" x14ac:dyDescent="0.25">
      <c r="C3097" s="2" t="s">
        <v>18148</v>
      </c>
      <c r="D3097" s="2" t="s">
        <v>342</v>
      </c>
      <c r="E3097" s="2">
        <v>86</v>
      </c>
      <c r="F3097" s="2">
        <v>1614.399</v>
      </c>
    </row>
    <row r="3098" spans="3:6" x14ac:dyDescent="0.25">
      <c r="C3098" s="2" t="s">
        <v>18149</v>
      </c>
      <c r="D3098" s="2" t="s">
        <v>342</v>
      </c>
      <c r="E3098" s="2">
        <v>70</v>
      </c>
      <c r="F3098" s="2">
        <v>1282.88</v>
      </c>
    </row>
    <row r="3100" spans="2:6" x14ac:dyDescent="0.25">
      <c r="B3100" s="2" t="s">
        <v>2077</v>
      </c>
      <c r="C3100" s="2" t="s">
        <v>18150</v>
      </c>
      <c r="D3100" s="2" t="s">
        <v>214</v>
      </c>
      <c r="E3100" s="2">
        <v>156</v>
      </c>
      <c r="F3100" s="2">
        <v>2711</v>
      </c>
    </row>
    <row r="3101" spans="3:6" x14ac:dyDescent="0.25">
      <c r="C3101" s="2" t="s">
        <v>18151</v>
      </c>
      <c r="D3101" s="2" t="s">
        <v>214</v>
      </c>
      <c r="E3101" s="2">
        <v>156</v>
      </c>
      <c r="F3101" s="2">
        <v>2766</v>
      </c>
    </row>
    <row r="3102" spans="3:6" x14ac:dyDescent="0.25">
      <c r="C3102" s="2" t="s">
        <v>18152</v>
      </c>
      <c r="D3102" s="2" t="s">
        <v>342</v>
      </c>
      <c r="E3102" s="2">
        <v>105</v>
      </c>
      <c r="F3102" s="2">
        <v>1759</v>
      </c>
    </row>
    <row r="3103" spans="3:6" x14ac:dyDescent="0.25">
      <c r="C3103" s="2" t="s">
        <v>18153</v>
      </c>
      <c r="D3103" s="2" t="s">
        <v>297</v>
      </c>
      <c r="E3103" s="2">
        <v>156</v>
      </c>
      <c r="F3103" s="2">
        <v>3031</v>
      </c>
    </row>
    <row r="3104" spans="3:6" x14ac:dyDescent="0.25">
      <c r="C3104" s="2" t="s">
        <v>18154</v>
      </c>
      <c r="D3104" s="2" t="s">
        <v>214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12462</v>
      </c>
      <c r="C3106" s="2" t="s">
        <v>18155</v>
      </c>
      <c r="D3106" s="2" t="s">
        <v>20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18156</v>
      </c>
      <c r="D3107" s="2" t="s">
        <v>20</v>
      </c>
      <c r="E3107" s="2">
        <v>265</v>
      </c>
      <c r="F3107" s="2">
        <v>5832.63</v>
      </c>
    </row>
    <row r="3108" spans="3:6" x14ac:dyDescent="0.25">
      <c r="C3108" s="2" t="s">
        <v>18157</v>
      </c>
      <c r="D3108" s="2" t="s">
        <v>20</v>
      </c>
      <c r="E3108" s="2">
        <v>318</v>
      </c>
      <c r="F3108" s="2">
        <v>6416.87</v>
      </c>
    </row>
    <row r="3109" spans="3:6" x14ac:dyDescent="0.25">
      <c r="C3109" s="2" t="s">
        <v>18158</v>
      </c>
      <c r="D3109" s="2" t="s">
        <v>20</v>
      </c>
      <c r="E3109" s="2">
        <v>257</v>
      </c>
      <c r="F3109" s="2">
        <v>5697.419</v>
      </c>
    </row>
    <row r="3110" spans="3:6" x14ac:dyDescent="0.25">
      <c r="C3110" s="2" t="s">
        <v>18159</v>
      </c>
      <c r="D3110" s="2" t="s">
        <v>20</v>
      </c>
      <c r="E3110" s="2">
        <v>344</v>
      </c>
      <c r="F3110" s="2">
        <v>6526.518</v>
      </c>
    </row>
    <row r="3111" spans="3:6" x14ac:dyDescent="0.25">
      <c r="C3111" s="2" t="s">
        <v>18160</v>
      </c>
      <c r="D3111" s="2" t="s">
        <v>20</v>
      </c>
      <c r="E3111" s="2">
        <v>80</v>
      </c>
      <c r="F3111" s="2">
        <v>1377.128</v>
      </c>
    </row>
    <row r="3112" spans="3:6" x14ac:dyDescent="0.25">
      <c r="C3112" s="2" t="s">
        <v>18161</v>
      </c>
      <c r="D3112" s="2" t="s">
        <v>20</v>
      </c>
      <c r="E3112" s="2">
        <v>190</v>
      </c>
      <c r="F3112" s="2">
        <v>3564.408</v>
      </c>
    </row>
    <row r="3113" spans="3:6" x14ac:dyDescent="0.25">
      <c r="C3113" s="2" t="s">
        <v>18162</v>
      </c>
      <c r="D3113" s="2" t="s">
        <v>20</v>
      </c>
      <c r="E3113" s="2">
        <v>280</v>
      </c>
      <c r="F3113" s="2">
        <v>5383.358</v>
      </c>
    </row>
    <row r="3114" spans="3:6" x14ac:dyDescent="0.25">
      <c r="C3114" s="2" t="s">
        <v>18163</v>
      </c>
      <c r="D3114" s="2" t="s">
        <v>20</v>
      </c>
      <c r="E3114" s="2">
        <v>339</v>
      </c>
      <c r="F3114" s="2">
        <v>6437.26</v>
      </c>
    </row>
    <row r="3115" spans="3:6" x14ac:dyDescent="0.25">
      <c r="C3115" s="2" t="s">
        <v>18164</v>
      </c>
      <c r="D3115" s="2" t="s">
        <v>20</v>
      </c>
      <c r="E3115" s="2">
        <v>255</v>
      </c>
      <c r="F3115" s="2">
        <v>5055.948</v>
      </c>
    </row>
    <row r="3116" spans="3:6" x14ac:dyDescent="0.25">
      <c r="C3116" s="2" t="s">
        <v>18165</v>
      </c>
      <c r="D3116" s="2" t="s">
        <v>20</v>
      </c>
      <c r="E3116" s="2">
        <v>275</v>
      </c>
      <c r="F3116" s="2">
        <v>5213.948</v>
      </c>
    </row>
    <row r="3117" spans="3:6" x14ac:dyDescent="0.25">
      <c r="C3117" s="2" t="s">
        <v>18166</v>
      </c>
      <c r="D3117" s="2" t="s">
        <v>20</v>
      </c>
      <c r="E3117" s="2">
        <v>285</v>
      </c>
      <c r="F3117" s="2">
        <v>5682.939</v>
      </c>
    </row>
    <row r="3118" spans="3:6" x14ac:dyDescent="0.25">
      <c r="C3118" s="2" t="s">
        <v>18167</v>
      </c>
      <c r="D3118" s="2" t="s">
        <v>20</v>
      </c>
      <c r="E3118" s="2">
        <v>309</v>
      </c>
      <c r="F3118" s="2">
        <v>5792.309</v>
      </c>
    </row>
    <row r="3119" spans="3:6" x14ac:dyDescent="0.25">
      <c r="C3119" s="2" t="s">
        <v>18168</v>
      </c>
      <c r="D3119" s="2" t="s">
        <v>20</v>
      </c>
      <c r="E3119" s="2">
        <v>85</v>
      </c>
      <c r="F3119" s="2">
        <v>1646.329</v>
      </c>
    </row>
    <row r="3120" spans="3:6" x14ac:dyDescent="0.25">
      <c r="C3120" s="2" t="s">
        <v>18169</v>
      </c>
      <c r="D3120" s="2" t="s">
        <v>20</v>
      </c>
      <c r="E3120" s="2">
        <v>275</v>
      </c>
      <c r="F3120" s="2">
        <v>5317.609</v>
      </c>
    </row>
    <row r="3121" spans="3:6" x14ac:dyDescent="0.25">
      <c r="C3121" s="2" t="s">
        <v>18170</v>
      </c>
      <c r="D3121" s="2" t="s">
        <v>20</v>
      </c>
      <c r="E3121" s="2">
        <v>150</v>
      </c>
      <c r="F3121" s="2">
        <v>3034.899</v>
      </c>
    </row>
    <row r="3122" spans="3:6" x14ac:dyDescent="0.25">
      <c r="C3122" s="2" t="s">
        <v>18171</v>
      </c>
      <c r="D3122" s="2" t="s">
        <v>20</v>
      </c>
      <c r="E3122" s="2">
        <v>85</v>
      </c>
      <c r="F3122" s="2">
        <v>1683.4</v>
      </c>
    </row>
    <row r="3123" spans="3:6" x14ac:dyDescent="0.25">
      <c r="C3123" s="2" t="s">
        <v>18172</v>
      </c>
      <c r="D3123" s="2" t="s">
        <v>20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2378</v>
      </c>
      <c r="C3125" s="2" t="s">
        <v>18173</v>
      </c>
      <c r="D3125" s="2" t="s">
        <v>2096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1434</v>
      </c>
      <c r="C3127" s="2" t="s">
        <v>18174</v>
      </c>
      <c r="D3127" s="2" t="s">
        <v>122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18175</v>
      </c>
      <c r="D3128" s="2" t="s">
        <v>122</v>
      </c>
      <c r="E3128" s="2">
        <v>134</v>
      </c>
      <c r="F3128" s="2">
        <v>2753.72</v>
      </c>
    </row>
    <row r="3129" spans="3:6" x14ac:dyDescent="0.25">
      <c r="C3129" s="2" t="s">
        <v>18176</v>
      </c>
      <c r="D3129" s="2" t="s">
        <v>122</v>
      </c>
      <c r="E3129" s="2">
        <v>141</v>
      </c>
      <c r="F3129" s="2">
        <v>2842.97</v>
      </c>
    </row>
    <row r="3130" spans="3:6" x14ac:dyDescent="0.25">
      <c r="C3130" s="2" t="s">
        <v>18177</v>
      </c>
      <c r="D3130" s="2" t="s">
        <v>122</v>
      </c>
      <c r="E3130" s="2">
        <v>141</v>
      </c>
      <c r="F3130" s="2">
        <v>2961.65</v>
      </c>
    </row>
    <row r="3131" spans="3:6" x14ac:dyDescent="0.25">
      <c r="C3131" s="2" t="s">
        <v>18178</v>
      </c>
      <c r="D3131" s="2" t="s">
        <v>122</v>
      </c>
      <c r="E3131" s="2">
        <v>141</v>
      </c>
      <c r="F3131" s="2">
        <v>2949.51</v>
      </c>
    </row>
    <row r="3132" spans="3:6" x14ac:dyDescent="0.25">
      <c r="C3132" s="2" t="s">
        <v>18179</v>
      </c>
      <c r="D3132" s="2" t="s">
        <v>122</v>
      </c>
      <c r="E3132" s="2">
        <v>141</v>
      </c>
      <c r="F3132" s="2">
        <v>2884.1</v>
      </c>
    </row>
    <row r="3133" spans="3:6" x14ac:dyDescent="0.25">
      <c r="C3133" s="2" t="s">
        <v>18180</v>
      </c>
      <c r="D3133" s="2" t="s">
        <v>122</v>
      </c>
      <c r="E3133" s="2">
        <v>141</v>
      </c>
      <c r="F3133" s="2">
        <v>2885.33</v>
      </c>
    </row>
    <row r="3134" spans="3:6" x14ac:dyDescent="0.25">
      <c r="C3134" s="2" t="s">
        <v>18181</v>
      </c>
      <c r="D3134" s="2" t="s">
        <v>122</v>
      </c>
      <c r="E3134" s="2">
        <v>99</v>
      </c>
      <c r="F3134" s="2">
        <v>2053.18</v>
      </c>
    </row>
    <row r="3135" spans="3:6" x14ac:dyDescent="0.25">
      <c r="C3135" s="2" t="s">
        <v>18182</v>
      </c>
      <c r="D3135" s="2" t="s">
        <v>122</v>
      </c>
      <c r="E3135" s="2">
        <v>42</v>
      </c>
      <c r="F3135" s="2">
        <v>850.98</v>
      </c>
    </row>
    <row r="3136" spans="3:6" x14ac:dyDescent="0.25">
      <c r="C3136" s="2" t="s">
        <v>18183</v>
      </c>
      <c r="D3136" s="2" t="s">
        <v>122</v>
      </c>
      <c r="E3136" s="2">
        <v>76</v>
      </c>
      <c r="F3136" s="2">
        <v>1562.96</v>
      </c>
    </row>
    <row r="3137" spans="3:6" x14ac:dyDescent="0.25">
      <c r="C3137" s="2" t="s">
        <v>18184</v>
      </c>
      <c r="D3137" s="2" t="s">
        <v>122</v>
      </c>
      <c r="E3137" s="2">
        <v>65</v>
      </c>
      <c r="F3137" s="2">
        <v>1334.77</v>
      </c>
    </row>
    <row r="3138" spans="3:6" x14ac:dyDescent="0.25">
      <c r="C3138" s="2" t="s">
        <v>18185</v>
      </c>
      <c r="D3138" s="2" t="s">
        <v>122</v>
      </c>
      <c r="E3138" s="2">
        <v>101</v>
      </c>
      <c r="F3138" s="2">
        <v>2113.39</v>
      </c>
    </row>
    <row r="3139" spans="3:6" x14ac:dyDescent="0.25">
      <c r="C3139" s="2" t="s">
        <v>18186</v>
      </c>
      <c r="D3139" s="2" t="s">
        <v>122</v>
      </c>
      <c r="E3139" s="2">
        <v>50</v>
      </c>
      <c r="F3139" s="2">
        <v>1012.89</v>
      </c>
    </row>
    <row r="3140" spans="3:6" x14ac:dyDescent="0.25">
      <c r="C3140" s="2" t="s">
        <v>18187</v>
      </c>
      <c r="D3140" s="2" t="s">
        <v>122</v>
      </c>
      <c r="E3140" s="2">
        <v>51</v>
      </c>
      <c r="F3140" s="2">
        <v>1036.25</v>
      </c>
    </row>
    <row r="3141" spans="3:6" x14ac:dyDescent="0.25">
      <c r="C3141" s="2" t="s">
        <v>18188</v>
      </c>
      <c r="D3141" s="2" t="s">
        <v>122</v>
      </c>
      <c r="E3141" s="2">
        <v>66</v>
      </c>
      <c r="F3141" s="2">
        <v>1380.89</v>
      </c>
    </row>
    <row r="3142" spans="3:6" x14ac:dyDescent="0.25">
      <c r="C3142" s="2" t="s">
        <v>18189</v>
      </c>
      <c r="D3142" s="2" t="s">
        <v>122</v>
      </c>
      <c r="E3142" s="2">
        <v>35</v>
      </c>
      <c r="F3142" s="2">
        <v>714.85</v>
      </c>
    </row>
    <row r="3143" spans="3:6" x14ac:dyDescent="0.25">
      <c r="C3143" s="2" t="s">
        <v>18190</v>
      </c>
      <c r="D3143" s="2" t="s">
        <v>122</v>
      </c>
      <c r="E3143" s="2">
        <v>45</v>
      </c>
      <c r="F3143" s="2">
        <v>796.47</v>
      </c>
    </row>
    <row r="3144" spans="3:6" x14ac:dyDescent="0.25">
      <c r="C3144" s="2" t="s">
        <v>18191</v>
      </c>
      <c r="D3144" s="2" t="s">
        <v>122</v>
      </c>
      <c r="E3144" s="2">
        <v>56</v>
      </c>
      <c r="F3144" s="2">
        <v>1157.86</v>
      </c>
    </row>
    <row r="3145" spans="3:6" x14ac:dyDescent="0.25">
      <c r="C3145" s="2" t="s">
        <v>18192</v>
      </c>
      <c r="D3145" s="2" t="s">
        <v>122</v>
      </c>
      <c r="E3145" s="2">
        <v>141</v>
      </c>
      <c r="F3145" s="2">
        <v>2840.799</v>
      </c>
    </row>
    <row r="3146" spans="3:6" x14ac:dyDescent="0.25">
      <c r="C3146" s="2" t="s">
        <v>18193</v>
      </c>
      <c r="D3146" s="2" t="s">
        <v>122</v>
      </c>
      <c r="E3146" s="2">
        <v>40</v>
      </c>
      <c r="F3146" s="2">
        <v>755.399</v>
      </c>
    </row>
    <row r="3147" spans="3:6" x14ac:dyDescent="0.25">
      <c r="C3147" s="2" t="s">
        <v>18194</v>
      </c>
      <c r="D3147" s="2" t="s">
        <v>122</v>
      </c>
      <c r="E3147" s="2">
        <v>23</v>
      </c>
      <c r="F3147" s="2">
        <v>449.61</v>
      </c>
    </row>
    <row r="3148" spans="3:6" x14ac:dyDescent="0.25">
      <c r="C3148" s="2" t="s">
        <v>18195</v>
      </c>
      <c r="D3148" s="2" t="s">
        <v>122</v>
      </c>
      <c r="E3148" s="2">
        <v>38</v>
      </c>
      <c r="F3148" s="2">
        <v>791.87</v>
      </c>
    </row>
    <row r="3149" spans="3:6" x14ac:dyDescent="0.25">
      <c r="C3149" s="2" t="s">
        <v>18196</v>
      </c>
      <c r="D3149" s="2" t="s">
        <v>122</v>
      </c>
      <c r="E3149" s="2">
        <v>17</v>
      </c>
      <c r="F3149" s="2">
        <v>334.509</v>
      </c>
    </row>
    <row r="3150" spans="3:6" x14ac:dyDescent="0.25">
      <c r="C3150" s="2" t="s">
        <v>18197</v>
      </c>
      <c r="D3150" s="2" t="s">
        <v>122</v>
      </c>
      <c r="E3150" s="2">
        <v>12</v>
      </c>
      <c r="F3150" s="2">
        <v>250.86</v>
      </c>
    </row>
    <row r="3151" spans="3:6" x14ac:dyDescent="0.25">
      <c r="C3151" s="2" t="s">
        <v>18198</v>
      </c>
      <c r="D3151" s="2" t="s">
        <v>122</v>
      </c>
      <c r="E3151" s="2">
        <v>23</v>
      </c>
      <c r="F3151" s="2">
        <v>421.32</v>
      </c>
    </row>
    <row r="3152" spans="3:6" x14ac:dyDescent="0.25">
      <c r="C3152" s="2" t="s">
        <v>18199</v>
      </c>
      <c r="D3152" s="2" t="s">
        <v>122</v>
      </c>
      <c r="E3152" s="2">
        <v>40</v>
      </c>
      <c r="F3152" s="2">
        <v>774.31</v>
      </c>
    </row>
    <row r="3153" spans="3:6" x14ac:dyDescent="0.25">
      <c r="C3153" s="2" t="s">
        <v>18200</v>
      </c>
      <c r="D3153" s="2" t="s">
        <v>122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1289</v>
      </c>
      <c r="C3155" s="2" t="s">
        <v>18201</v>
      </c>
      <c r="D3155" s="2" t="s">
        <v>9</v>
      </c>
      <c r="E3155" s="2">
        <v>300</v>
      </c>
      <c r="F3155" s="2">
        <v>6151.788</v>
      </c>
    </row>
    <row r="3156" spans="3:6" x14ac:dyDescent="0.25">
      <c r="C3156" s="2" t="s">
        <v>18202</v>
      </c>
      <c r="D3156" s="2" t="s">
        <v>9</v>
      </c>
      <c r="E3156" s="2">
        <v>67</v>
      </c>
      <c r="F3156" s="2">
        <v>1301.129</v>
      </c>
    </row>
    <row r="3157" spans="3:6" x14ac:dyDescent="0.25">
      <c r="C3157" s="2" t="s">
        <v>18203</v>
      </c>
      <c r="D3157" s="2" t="s">
        <v>9</v>
      </c>
      <c r="E3157" s="2">
        <v>66</v>
      </c>
      <c r="F3157" s="2">
        <v>1261.26</v>
      </c>
    </row>
    <row r="3158" spans="3:6" x14ac:dyDescent="0.25">
      <c r="C3158" s="2" t="s">
        <v>18204</v>
      </c>
      <c r="D3158" s="2" t="s">
        <v>9</v>
      </c>
      <c r="E3158" s="2">
        <v>70</v>
      </c>
      <c r="F3158" s="2">
        <v>1425.31</v>
      </c>
    </row>
    <row r="3159" spans="3:6" x14ac:dyDescent="0.25">
      <c r="C3159" s="2" t="s">
        <v>18205</v>
      </c>
      <c r="D3159" s="2" t="s">
        <v>9</v>
      </c>
      <c r="E3159" s="2">
        <v>121</v>
      </c>
      <c r="F3159" s="2">
        <v>2498.03</v>
      </c>
    </row>
    <row r="3160" spans="3:6" x14ac:dyDescent="0.25">
      <c r="C3160" s="2" t="s">
        <v>18206</v>
      </c>
      <c r="D3160" s="2" t="s">
        <v>9</v>
      </c>
      <c r="E3160" s="2">
        <v>100</v>
      </c>
      <c r="F3160" s="2">
        <v>2030.74</v>
      </c>
    </row>
    <row r="3161" spans="3:6" x14ac:dyDescent="0.25">
      <c r="C3161" s="2" t="s">
        <v>18207</v>
      </c>
      <c r="D3161" s="2" t="s">
        <v>9</v>
      </c>
      <c r="E3161" s="2">
        <v>242</v>
      </c>
      <c r="F3161" s="2">
        <v>5068.67</v>
      </c>
    </row>
    <row r="3162" spans="3:6" x14ac:dyDescent="0.25">
      <c r="C3162" s="2" t="s">
        <v>18208</v>
      </c>
      <c r="D3162" s="2" t="s">
        <v>9</v>
      </c>
      <c r="E3162" s="2">
        <v>139</v>
      </c>
      <c r="F3162" s="2">
        <v>2802.82</v>
      </c>
    </row>
    <row r="3163" spans="3:6" x14ac:dyDescent="0.25">
      <c r="C3163" s="2" t="s">
        <v>18209</v>
      </c>
      <c r="D3163" s="2" t="s">
        <v>9</v>
      </c>
      <c r="E3163" s="2">
        <v>96</v>
      </c>
      <c r="F3163" s="2">
        <v>1911.1</v>
      </c>
    </row>
    <row r="3164" spans="3:6" x14ac:dyDescent="0.25">
      <c r="C3164" s="2" t="s">
        <v>18210</v>
      </c>
      <c r="D3164" s="2" t="s">
        <v>9</v>
      </c>
      <c r="E3164" s="2">
        <v>43</v>
      </c>
      <c r="F3164" s="2">
        <v>864.02</v>
      </c>
    </row>
    <row r="3165" spans="3:6" x14ac:dyDescent="0.25">
      <c r="C3165" s="2" t="s">
        <v>18211</v>
      </c>
      <c r="D3165" s="2" t="s">
        <v>9</v>
      </c>
      <c r="E3165" s="2">
        <v>139</v>
      </c>
      <c r="F3165" s="2">
        <v>2812.69</v>
      </c>
    </row>
    <row r="3166" spans="3:6" x14ac:dyDescent="0.25">
      <c r="C3166" s="2" t="s">
        <v>18212</v>
      </c>
      <c r="D3166" s="2" t="s">
        <v>9</v>
      </c>
      <c r="E3166" s="2">
        <v>31</v>
      </c>
      <c r="F3166" s="2">
        <v>552.45</v>
      </c>
    </row>
    <row r="3167" spans="3:6" x14ac:dyDescent="0.25">
      <c r="C3167" s="2" t="s">
        <v>18213</v>
      </c>
      <c r="D3167" s="2" t="s">
        <v>9</v>
      </c>
      <c r="E3167" s="2">
        <v>46</v>
      </c>
      <c r="F3167" s="2">
        <v>910.31</v>
      </c>
    </row>
    <row r="3168" spans="3:6" x14ac:dyDescent="0.25">
      <c r="C3168" s="2" t="s">
        <v>18214</v>
      </c>
      <c r="D3168" s="2" t="s">
        <v>9</v>
      </c>
      <c r="E3168" s="2">
        <v>27</v>
      </c>
      <c r="F3168" s="2">
        <v>536.18</v>
      </c>
    </row>
    <row r="3169" spans="3:6" x14ac:dyDescent="0.25">
      <c r="C3169" s="2" t="s">
        <v>18215</v>
      </c>
      <c r="D3169" s="2" t="s">
        <v>9</v>
      </c>
      <c r="E3169" s="2">
        <v>33</v>
      </c>
      <c r="F3169" s="2">
        <v>625.24</v>
      </c>
    </row>
    <row r="3170" spans="3:6" x14ac:dyDescent="0.25">
      <c r="C3170" s="2" t="s">
        <v>18216</v>
      </c>
      <c r="D3170" s="2" t="s">
        <v>9</v>
      </c>
      <c r="E3170" s="2">
        <v>139</v>
      </c>
      <c r="F3170" s="2">
        <v>2770.63</v>
      </c>
    </row>
    <row r="3171" spans="3:6" x14ac:dyDescent="0.25">
      <c r="C3171" s="2" t="s">
        <v>18217</v>
      </c>
      <c r="D3171" s="2" t="s">
        <v>9</v>
      </c>
      <c r="E3171" s="2">
        <v>139</v>
      </c>
      <c r="F3171" s="2">
        <v>2785.409</v>
      </c>
    </row>
    <row r="3172" spans="3:6" x14ac:dyDescent="0.25">
      <c r="C3172" s="2" t="s">
        <v>18218</v>
      </c>
      <c r="D3172" s="2" t="s">
        <v>9</v>
      </c>
      <c r="E3172" s="2">
        <v>152</v>
      </c>
      <c r="F3172" s="2">
        <v>3139.37</v>
      </c>
    </row>
    <row r="3173" spans="3:6" x14ac:dyDescent="0.25">
      <c r="C3173" s="2" t="s">
        <v>18219</v>
      </c>
      <c r="D3173" s="2" t="s">
        <v>9</v>
      </c>
      <c r="E3173" s="2">
        <v>69</v>
      </c>
      <c r="F3173" s="2">
        <v>1401.109</v>
      </c>
    </row>
    <row r="3174" spans="3:6" x14ac:dyDescent="0.25">
      <c r="C3174" s="2" t="s">
        <v>18220</v>
      </c>
      <c r="D3174" s="2" t="s">
        <v>9</v>
      </c>
      <c r="E3174" s="2">
        <v>134</v>
      </c>
      <c r="F3174" s="2">
        <v>2669.77</v>
      </c>
    </row>
    <row r="3175" spans="3:6" x14ac:dyDescent="0.25">
      <c r="C3175" s="2" t="s">
        <v>18221</v>
      </c>
      <c r="D3175" s="2" t="s">
        <v>9</v>
      </c>
      <c r="E3175" s="2">
        <v>137</v>
      </c>
      <c r="F3175" s="2">
        <v>2914.73</v>
      </c>
    </row>
    <row r="3176" spans="3:6" x14ac:dyDescent="0.25">
      <c r="C3176" s="2" t="s">
        <v>18222</v>
      </c>
      <c r="D3176" s="2" t="s">
        <v>9</v>
      </c>
      <c r="E3176" s="2">
        <v>110</v>
      </c>
      <c r="F3176" s="2">
        <v>2202.56</v>
      </c>
    </row>
    <row r="3177" spans="3:6" x14ac:dyDescent="0.25">
      <c r="C3177" s="2" t="s">
        <v>18223</v>
      </c>
      <c r="D3177" s="2" t="s">
        <v>9</v>
      </c>
      <c r="E3177" s="2">
        <v>81</v>
      </c>
      <c r="F3177" s="2">
        <v>1648.85</v>
      </c>
    </row>
    <row r="3178" spans="3:6" x14ac:dyDescent="0.25">
      <c r="C3178" s="2" t="s">
        <v>18224</v>
      </c>
      <c r="D3178" s="2" t="s">
        <v>9</v>
      </c>
      <c r="E3178" s="2">
        <v>32</v>
      </c>
      <c r="F3178" s="2">
        <v>670.05</v>
      </c>
    </row>
    <row r="3179" spans="3:6" x14ac:dyDescent="0.25">
      <c r="C3179" s="2" t="s">
        <v>18225</v>
      </c>
      <c r="D3179" s="2" t="s">
        <v>9</v>
      </c>
      <c r="E3179" s="2">
        <v>27</v>
      </c>
      <c r="F3179" s="2">
        <v>503.4</v>
      </c>
    </row>
    <row r="3180" spans="3:6" x14ac:dyDescent="0.25">
      <c r="C3180" s="2" t="s">
        <v>18226</v>
      </c>
      <c r="D3180" s="2" t="s">
        <v>9</v>
      </c>
      <c r="E3180" s="2">
        <v>139</v>
      </c>
      <c r="F3180" s="2">
        <v>2850.12</v>
      </c>
    </row>
    <row r="3181" spans="3:6" x14ac:dyDescent="0.25">
      <c r="C3181" s="2" t="s">
        <v>18227</v>
      </c>
      <c r="D3181" s="2" t="s">
        <v>9</v>
      </c>
      <c r="E3181" s="2">
        <v>99</v>
      </c>
      <c r="F3181" s="2">
        <v>2000.43</v>
      </c>
    </row>
    <row r="3182" spans="3:6" x14ac:dyDescent="0.25">
      <c r="C3182" s="2" t="s">
        <v>18228</v>
      </c>
      <c r="D3182" s="2" t="s">
        <v>9</v>
      </c>
      <c r="E3182" s="2">
        <v>40</v>
      </c>
      <c r="F3182" s="2">
        <v>828.29</v>
      </c>
    </row>
    <row r="3183" spans="3:6" x14ac:dyDescent="0.25">
      <c r="C3183" s="2" t="s">
        <v>18229</v>
      </c>
      <c r="D3183" s="2" t="s">
        <v>9</v>
      </c>
      <c r="E3183" s="2">
        <v>80</v>
      </c>
      <c r="F3183" s="2">
        <v>1486.89</v>
      </c>
    </row>
    <row r="3184" spans="3:6" x14ac:dyDescent="0.25">
      <c r="C3184" s="2" t="s">
        <v>18230</v>
      </c>
      <c r="D3184" s="2" t="s">
        <v>9</v>
      </c>
      <c r="E3184" s="2">
        <v>59</v>
      </c>
      <c r="F3184" s="2">
        <v>1120</v>
      </c>
    </row>
    <row r="3185" spans="3:6" x14ac:dyDescent="0.25">
      <c r="C3185" s="2" t="s">
        <v>18231</v>
      </c>
      <c r="D3185" s="2" t="s">
        <v>9</v>
      </c>
      <c r="E3185" s="2">
        <v>117</v>
      </c>
      <c r="F3185" s="2">
        <v>2329.96</v>
      </c>
    </row>
    <row r="3186" spans="3:6" x14ac:dyDescent="0.25">
      <c r="C3186" s="2" t="s">
        <v>18232</v>
      </c>
      <c r="D3186" s="2" t="s">
        <v>9</v>
      </c>
      <c r="E3186" s="2">
        <v>23</v>
      </c>
      <c r="F3186" s="2">
        <v>477.79</v>
      </c>
    </row>
    <row r="3187" spans="3:6" x14ac:dyDescent="0.25">
      <c r="C3187" s="2" t="s">
        <v>18233</v>
      </c>
      <c r="D3187" s="2" t="s">
        <v>9</v>
      </c>
      <c r="E3187" s="2">
        <v>113</v>
      </c>
      <c r="F3187" s="2">
        <v>2304.95</v>
      </c>
    </row>
    <row r="3188" spans="3:6" x14ac:dyDescent="0.25">
      <c r="C3188" s="2" t="s">
        <v>18234</v>
      </c>
      <c r="D3188" s="2" t="s">
        <v>9</v>
      </c>
      <c r="E3188" s="2">
        <v>26</v>
      </c>
      <c r="F3188" s="2">
        <v>547.29</v>
      </c>
    </row>
    <row r="3189" spans="3:6" x14ac:dyDescent="0.25">
      <c r="C3189" s="2" t="s">
        <v>18235</v>
      </c>
      <c r="D3189" s="2" t="s">
        <v>9</v>
      </c>
      <c r="E3189" s="2">
        <v>83</v>
      </c>
      <c r="F3189" s="2">
        <v>1683.59</v>
      </c>
    </row>
    <row r="3190" spans="3:6" x14ac:dyDescent="0.25">
      <c r="C3190" s="2" t="s">
        <v>18236</v>
      </c>
      <c r="D3190" s="2" t="s">
        <v>9</v>
      </c>
      <c r="E3190" s="2">
        <v>17</v>
      </c>
      <c r="F3190" s="2">
        <v>352.81</v>
      </c>
    </row>
    <row r="3191" spans="3:6" x14ac:dyDescent="0.25">
      <c r="C3191" s="2" t="s">
        <v>18237</v>
      </c>
      <c r="D3191" s="2" t="s">
        <v>9</v>
      </c>
      <c r="E3191" s="2">
        <v>116</v>
      </c>
      <c r="F3191" s="2">
        <v>2257.038</v>
      </c>
    </row>
    <row r="3192" spans="3:6" x14ac:dyDescent="0.25">
      <c r="C3192" s="2" t="s">
        <v>18238</v>
      </c>
      <c r="D3192" s="2" t="s">
        <v>9</v>
      </c>
      <c r="E3192" s="2">
        <v>11</v>
      </c>
      <c r="F3192" s="2">
        <v>233.71</v>
      </c>
    </row>
    <row r="3193" spans="3:6" x14ac:dyDescent="0.25">
      <c r="C3193" s="2" t="s">
        <v>18239</v>
      </c>
      <c r="D3193" s="2" t="s">
        <v>9</v>
      </c>
      <c r="E3193" s="2">
        <v>12</v>
      </c>
      <c r="F3193" s="2">
        <v>228.48</v>
      </c>
    </row>
    <row r="3194" spans="3:6" x14ac:dyDescent="0.25">
      <c r="C3194" s="2" t="s">
        <v>18240</v>
      </c>
      <c r="D3194" s="2" t="s">
        <v>9</v>
      </c>
      <c r="E3194" s="2">
        <v>39</v>
      </c>
      <c r="F3194" s="2">
        <v>704.98</v>
      </c>
    </row>
    <row r="3195" spans="3:6" x14ac:dyDescent="0.25">
      <c r="C3195" s="2" t="s">
        <v>18241</v>
      </c>
      <c r="D3195" s="2" t="s">
        <v>9</v>
      </c>
      <c r="E3195" s="2">
        <v>50</v>
      </c>
      <c r="F3195" s="2">
        <v>1005.29</v>
      </c>
    </row>
    <row r="3196" spans="3:6" x14ac:dyDescent="0.25">
      <c r="C3196" s="2" t="s">
        <v>18242</v>
      </c>
      <c r="D3196" s="2" t="s">
        <v>9</v>
      </c>
      <c r="E3196" s="2">
        <v>50</v>
      </c>
      <c r="F3196" s="2">
        <v>994.56</v>
      </c>
    </row>
    <row r="3197" spans="3:6" x14ac:dyDescent="0.25">
      <c r="C3197" s="2" t="s">
        <v>18243</v>
      </c>
      <c r="D3197" s="2" t="s">
        <v>9</v>
      </c>
      <c r="E3197" s="2">
        <v>51</v>
      </c>
      <c r="F3197" s="2">
        <v>1045.75</v>
      </c>
    </row>
    <row r="3198" spans="3:6" x14ac:dyDescent="0.25">
      <c r="C3198" s="2" t="s">
        <v>18244</v>
      </c>
      <c r="D3198" s="2" t="s">
        <v>9</v>
      </c>
      <c r="E3198" s="2">
        <v>31</v>
      </c>
      <c r="F3198" s="2">
        <v>642.78</v>
      </c>
    </row>
    <row r="3199" spans="3:6" x14ac:dyDescent="0.25">
      <c r="C3199" s="2" t="s">
        <v>18245</v>
      </c>
      <c r="D3199" s="2" t="s">
        <v>9</v>
      </c>
      <c r="E3199" s="2">
        <v>12</v>
      </c>
      <c r="F3199" s="2">
        <v>208.169</v>
      </c>
    </row>
    <row r="3200" spans="3:6" x14ac:dyDescent="0.25">
      <c r="C3200" s="2" t="s">
        <v>18246</v>
      </c>
      <c r="D3200" s="2" t="s">
        <v>9</v>
      </c>
      <c r="E3200" s="2">
        <v>28</v>
      </c>
      <c r="F3200" s="2">
        <v>572.55</v>
      </c>
    </row>
    <row r="3201" spans="3:6" x14ac:dyDescent="0.25">
      <c r="C3201" s="2" t="s">
        <v>18247</v>
      </c>
      <c r="D3201" s="2" t="s">
        <v>9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120</v>
      </c>
      <c r="C3203" s="2" t="s">
        <v>18248</v>
      </c>
      <c r="D3203" s="2" t="s">
        <v>42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18249</v>
      </c>
      <c r="D3204" s="2" t="s">
        <v>42</v>
      </c>
      <c r="E3204" s="2">
        <v>20</v>
      </c>
      <c r="F3204" s="2">
        <v>108.03</v>
      </c>
    </row>
    <row r="3205" spans="3:6" x14ac:dyDescent="0.25">
      <c r="C3205" s="2" t="s">
        <v>18250</v>
      </c>
      <c r="D3205" s="2" t="s">
        <v>42</v>
      </c>
      <c r="E3205" s="2">
        <v>141</v>
      </c>
      <c r="F3205" s="2">
        <v>2901.4</v>
      </c>
    </row>
    <row r="3206" spans="3:6" x14ac:dyDescent="0.25">
      <c r="C3206" s="2" t="s">
        <v>18251</v>
      </c>
      <c r="D3206" s="2" t="s">
        <v>42</v>
      </c>
      <c r="E3206" s="2">
        <v>22</v>
      </c>
      <c r="F3206" s="2">
        <v>427.011</v>
      </c>
    </row>
    <row r="3207" spans="3:6" x14ac:dyDescent="0.25">
      <c r="C3207" s="2" t="s">
        <v>18252</v>
      </c>
      <c r="D3207" s="2" t="s">
        <v>42</v>
      </c>
      <c r="E3207" s="2">
        <v>71</v>
      </c>
      <c r="F3207" s="2">
        <v>1442.78</v>
      </c>
    </row>
    <row r="3208" spans="3:6" x14ac:dyDescent="0.25">
      <c r="C3208" s="2" t="s">
        <v>18253</v>
      </c>
      <c r="D3208" s="2" t="s">
        <v>42</v>
      </c>
      <c r="E3208" s="2">
        <v>101</v>
      </c>
      <c r="F3208" s="2">
        <v>1976.169</v>
      </c>
    </row>
    <row r="3209" spans="3:6" x14ac:dyDescent="0.25">
      <c r="C3209" s="2" t="s">
        <v>18254</v>
      </c>
      <c r="D3209" s="2" t="s">
        <v>42</v>
      </c>
      <c r="E3209" s="2">
        <v>75</v>
      </c>
      <c r="F3209" s="2">
        <v>395.889</v>
      </c>
    </row>
    <row r="3210" spans="3:6" x14ac:dyDescent="0.25">
      <c r="C3210" s="2" t="s">
        <v>18255</v>
      </c>
      <c r="D3210" s="2" t="s">
        <v>42</v>
      </c>
      <c r="E3210" s="2">
        <v>141</v>
      </c>
      <c r="F3210" s="2">
        <v>2854.02</v>
      </c>
    </row>
    <row r="3211" spans="3:6" x14ac:dyDescent="0.25">
      <c r="C3211" s="2" t="s">
        <v>18256</v>
      </c>
      <c r="D3211" s="2" t="s">
        <v>42</v>
      </c>
      <c r="E3211" s="2">
        <v>42</v>
      </c>
      <c r="F3211" s="2">
        <v>898.56</v>
      </c>
    </row>
    <row r="3212" spans="3:6" x14ac:dyDescent="0.25">
      <c r="C3212" s="2" t="s">
        <v>18257</v>
      </c>
      <c r="D3212" s="2" t="s">
        <v>42</v>
      </c>
      <c r="E3212" s="2">
        <v>47</v>
      </c>
      <c r="F3212" s="2">
        <v>923.862</v>
      </c>
    </row>
    <row r="3213" spans="3:6" x14ac:dyDescent="0.25">
      <c r="C3213" s="2" t="s">
        <v>18258</v>
      </c>
      <c r="D3213" s="2" t="s">
        <v>42</v>
      </c>
      <c r="E3213" s="2">
        <v>77</v>
      </c>
      <c r="F3213" s="2">
        <v>1527.44</v>
      </c>
    </row>
    <row r="3214" spans="3:6" x14ac:dyDescent="0.25">
      <c r="C3214" s="2" t="s">
        <v>18259</v>
      </c>
      <c r="D3214" s="2" t="s">
        <v>42</v>
      </c>
      <c r="E3214" s="2">
        <v>64</v>
      </c>
      <c r="F3214" s="2">
        <v>1274.24</v>
      </c>
    </row>
    <row r="3215" spans="3:6" x14ac:dyDescent="0.25">
      <c r="C3215" s="2" t="s">
        <v>18260</v>
      </c>
      <c r="D3215" s="2" t="s">
        <v>42</v>
      </c>
      <c r="E3215" s="2">
        <v>52</v>
      </c>
      <c r="F3215" s="2">
        <v>1011.14</v>
      </c>
    </row>
    <row r="3216" spans="3:6" x14ac:dyDescent="0.25">
      <c r="C3216" s="2" t="s">
        <v>18261</v>
      </c>
      <c r="D3216" s="2" t="s">
        <v>42</v>
      </c>
      <c r="E3216" s="2">
        <v>45</v>
      </c>
      <c r="F3216" s="2">
        <v>729.137</v>
      </c>
    </row>
    <row r="3217" spans="3:6" x14ac:dyDescent="0.25">
      <c r="C3217" s="2" t="s">
        <v>18262</v>
      </c>
      <c r="D3217" s="2" t="s">
        <v>42</v>
      </c>
      <c r="E3217" s="2">
        <v>25</v>
      </c>
      <c r="F3217" s="2">
        <v>652.123</v>
      </c>
    </row>
    <row r="3218" spans="3:6" x14ac:dyDescent="0.25">
      <c r="C3218" s="2" t="s">
        <v>18263</v>
      </c>
      <c r="D3218" s="2" t="s">
        <v>42</v>
      </c>
      <c r="E3218" s="2">
        <v>76</v>
      </c>
      <c r="F3218" s="2">
        <v>1542.58</v>
      </c>
    </row>
    <row r="3219" spans="3:6" x14ac:dyDescent="0.25">
      <c r="C3219" s="2" t="s">
        <v>18264</v>
      </c>
      <c r="D3219" s="2" t="s">
        <v>42</v>
      </c>
      <c r="E3219" s="2">
        <v>84</v>
      </c>
      <c r="F3219" s="2">
        <v>1668.67</v>
      </c>
    </row>
    <row r="3220" spans="3:6" x14ac:dyDescent="0.25">
      <c r="C3220" s="2" t="s">
        <v>18265</v>
      </c>
      <c r="D3220" s="2" t="s">
        <v>42</v>
      </c>
      <c r="E3220" s="2">
        <v>9</v>
      </c>
      <c r="F3220" s="2">
        <v>123.63</v>
      </c>
    </row>
    <row r="3221" spans="3:6" x14ac:dyDescent="0.25">
      <c r="C3221" s="2" t="s">
        <v>18266</v>
      </c>
      <c r="D3221" s="2" t="s">
        <v>42</v>
      </c>
      <c r="E3221" s="2">
        <v>141</v>
      </c>
      <c r="F3221" s="2">
        <v>2953.65</v>
      </c>
    </row>
    <row r="3222" spans="3:6" x14ac:dyDescent="0.25">
      <c r="C3222" s="2" t="s">
        <v>18267</v>
      </c>
      <c r="D3222" s="2" t="s">
        <v>42</v>
      </c>
      <c r="E3222" s="2">
        <v>91</v>
      </c>
      <c r="F3222" s="2">
        <v>1542.614</v>
      </c>
    </row>
    <row r="3223" spans="3:6" x14ac:dyDescent="0.25">
      <c r="C3223" s="2" t="s">
        <v>18268</v>
      </c>
      <c r="D3223" s="2" t="s">
        <v>42</v>
      </c>
      <c r="E3223" s="2">
        <v>75</v>
      </c>
      <c r="F3223" s="2">
        <v>408.31</v>
      </c>
    </row>
    <row r="3224" spans="3:6" x14ac:dyDescent="0.25">
      <c r="C3224" s="2" t="s">
        <v>18269</v>
      </c>
      <c r="D3224" s="2" t="s">
        <v>42</v>
      </c>
      <c r="E3224" s="2">
        <v>8</v>
      </c>
      <c r="F3224" s="2">
        <v>150.25</v>
      </c>
    </row>
    <row r="3225" spans="3:6" x14ac:dyDescent="0.25">
      <c r="C3225" s="2" t="s">
        <v>18270</v>
      </c>
      <c r="D3225" s="2" t="s">
        <v>42</v>
      </c>
      <c r="E3225" s="2">
        <v>70</v>
      </c>
      <c r="F3225" s="2">
        <v>1400.44</v>
      </c>
    </row>
    <row r="3226" spans="3:6" x14ac:dyDescent="0.25">
      <c r="C3226" s="2" t="s">
        <v>18271</v>
      </c>
      <c r="D3226" s="2" t="s">
        <v>42</v>
      </c>
      <c r="E3226" s="2">
        <v>19</v>
      </c>
      <c r="F3226" s="2">
        <v>390.43</v>
      </c>
    </row>
    <row r="3227" spans="3:6" x14ac:dyDescent="0.25">
      <c r="C3227" s="2" t="s">
        <v>18272</v>
      </c>
      <c r="D3227" s="2" t="s">
        <v>42</v>
      </c>
      <c r="E3227" s="2">
        <v>29</v>
      </c>
      <c r="F3227" s="2">
        <v>625.7</v>
      </c>
    </row>
    <row r="3228" spans="3:6" x14ac:dyDescent="0.25">
      <c r="C3228" s="2" t="s">
        <v>18273</v>
      </c>
      <c r="D3228" s="2" t="s">
        <v>42</v>
      </c>
      <c r="E3228" s="2">
        <v>15</v>
      </c>
      <c r="F3228" s="2">
        <v>309.48</v>
      </c>
    </row>
    <row r="3229" spans="3:6" x14ac:dyDescent="0.25">
      <c r="C3229" s="2" t="s">
        <v>18274</v>
      </c>
      <c r="D3229" s="2" t="s">
        <v>42</v>
      </c>
      <c r="E3229" s="2">
        <v>46</v>
      </c>
      <c r="F3229" s="2">
        <v>856.839</v>
      </c>
    </row>
    <row r="3230" spans="3:6" x14ac:dyDescent="0.25">
      <c r="C3230" s="2" t="s">
        <v>18275</v>
      </c>
      <c r="D3230" s="2" t="s">
        <v>42</v>
      </c>
      <c r="E3230" s="2">
        <v>80</v>
      </c>
      <c r="F3230" s="2">
        <v>1773.36</v>
      </c>
    </row>
    <row r="3231" spans="3:6" x14ac:dyDescent="0.25">
      <c r="C3231" s="2" t="s">
        <v>18276</v>
      </c>
      <c r="D3231" s="2" t="s">
        <v>42</v>
      </c>
      <c r="E3231" s="2">
        <v>93</v>
      </c>
      <c r="F3231" s="2">
        <v>1903.42</v>
      </c>
    </row>
    <row r="3232" spans="3:6" x14ac:dyDescent="0.25">
      <c r="C3232" s="2" t="s">
        <v>18277</v>
      </c>
      <c r="D3232" s="2" t="s">
        <v>42</v>
      </c>
      <c r="E3232" s="2">
        <v>10</v>
      </c>
      <c r="F3232" s="2">
        <v>213.19</v>
      </c>
    </row>
    <row r="3233" spans="3:6" x14ac:dyDescent="0.25">
      <c r="C3233" s="2" t="s">
        <v>18278</v>
      </c>
      <c r="D3233" s="2" t="s">
        <v>42</v>
      </c>
      <c r="E3233" s="2">
        <v>65</v>
      </c>
      <c r="F3233" s="2">
        <v>1390.829</v>
      </c>
    </row>
    <row r="3234" spans="3:6" x14ac:dyDescent="0.25">
      <c r="C3234" s="2" t="s">
        <v>18279</v>
      </c>
      <c r="D3234" s="2" t="s">
        <v>42</v>
      </c>
      <c r="E3234" s="2">
        <v>28</v>
      </c>
      <c r="F3234" s="2">
        <v>544.82</v>
      </c>
    </row>
    <row r="3235" spans="3:6" x14ac:dyDescent="0.25">
      <c r="C3235" s="2" t="s">
        <v>18280</v>
      </c>
      <c r="D3235" s="2" t="s">
        <v>42</v>
      </c>
      <c r="E3235" s="2">
        <v>35</v>
      </c>
      <c r="F3235" s="2">
        <v>773.9</v>
      </c>
    </row>
    <row r="3236" spans="3:6" x14ac:dyDescent="0.25">
      <c r="C3236" s="2" t="s">
        <v>18281</v>
      </c>
      <c r="D3236" s="2" t="s">
        <v>42</v>
      </c>
      <c r="E3236" s="2">
        <v>102</v>
      </c>
      <c r="F3236" s="2">
        <v>2060.349</v>
      </c>
    </row>
    <row r="3237" spans="3:6" x14ac:dyDescent="0.25">
      <c r="C3237" s="2" t="s">
        <v>18282</v>
      </c>
      <c r="D3237" s="2" t="s">
        <v>42</v>
      </c>
      <c r="E3237" s="2">
        <v>102</v>
      </c>
      <c r="F3237" s="2">
        <v>2040.57</v>
      </c>
    </row>
    <row r="3238" spans="3:6" x14ac:dyDescent="0.25">
      <c r="C3238" s="2" t="s">
        <v>18283</v>
      </c>
      <c r="D3238" s="2" t="s">
        <v>42</v>
      </c>
      <c r="E3238" s="2">
        <v>143</v>
      </c>
      <c r="F3238" s="2">
        <v>2919.92</v>
      </c>
    </row>
    <row r="3239" spans="3:6" x14ac:dyDescent="0.25">
      <c r="C3239" s="2" t="s">
        <v>18284</v>
      </c>
      <c r="D3239" s="2" t="s">
        <v>42</v>
      </c>
      <c r="E3239" s="2">
        <v>143</v>
      </c>
      <c r="F3239" s="2">
        <v>2849</v>
      </c>
    </row>
    <row r="3240" spans="3:6" x14ac:dyDescent="0.25">
      <c r="C3240" s="2" t="s">
        <v>18285</v>
      </c>
      <c r="D3240" s="2" t="s">
        <v>42</v>
      </c>
      <c r="E3240" s="2">
        <v>13</v>
      </c>
      <c r="F3240" s="2">
        <v>268.692</v>
      </c>
    </row>
    <row r="3241" spans="3:6" x14ac:dyDescent="0.25">
      <c r="C3241" s="2" t="s">
        <v>18286</v>
      </c>
      <c r="D3241" s="2" t="s">
        <v>42</v>
      </c>
      <c r="E3241" s="2">
        <v>70</v>
      </c>
      <c r="F3241" s="2">
        <v>1354.63</v>
      </c>
    </row>
    <row r="3242" spans="3:6" x14ac:dyDescent="0.25">
      <c r="C3242" s="2" t="s">
        <v>18287</v>
      </c>
      <c r="D3242" s="2" t="s">
        <v>42</v>
      </c>
      <c r="E3242" s="2">
        <v>30</v>
      </c>
      <c r="F3242" s="2">
        <v>654.281</v>
      </c>
    </row>
    <row r="3243" spans="3:6" x14ac:dyDescent="0.25">
      <c r="C3243" s="2" t="s">
        <v>18288</v>
      </c>
      <c r="D3243" s="2" t="s">
        <v>42</v>
      </c>
      <c r="E3243" s="2">
        <v>87</v>
      </c>
      <c r="F3243" s="2">
        <v>1787.892</v>
      </c>
    </row>
    <row r="3244" spans="3:6" x14ac:dyDescent="0.25">
      <c r="C3244" s="2" t="s">
        <v>18289</v>
      </c>
      <c r="D3244" s="2" t="s">
        <v>42</v>
      </c>
      <c r="E3244" s="2">
        <v>123</v>
      </c>
      <c r="F3244" s="2">
        <v>2542.18</v>
      </c>
    </row>
    <row r="3245" spans="3:6" x14ac:dyDescent="0.25">
      <c r="C3245" s="2" t="s">
        <v>18290</v>
      </c>
      <c r="D3245" s="2" t="s">
        <v>42</v>
      </c>
      <c r="E3245" s="2">
        <v>18</v>
      </c>
      <c r="F3245" s="2">
        <v>384.65</v>
      </c>
    </row>
    <row r="3246" spans="3:6" x14ac:dyDescent="0.25">
      <c r="C3246" s="2" t="s">
        <v>18291</v>
      </c>
      <c r="D3246" s="2" t="s">
        <v>42</v>
      </c>
      <c r="E3246" s="2">
        <v>56</v>
      </c>
      <c r="F3246" s="2">
        <v>1097.89</v>
      </c>
    </row>
    <row r="3247" spans="3:6" x14ac:dyDescent="0.25">
      <c r="C3247" s="2" t="s">
        <v>18292</v>
      </c>
      <c r="D3247" s="2" t="s">
        <v>42</v>
      </c>
      <c r="E3247" s="2">
        <v>31</v>
      </c>
      <c r="F3247" s="2">
        <v>620.85</v>
      </c>
    </row>
    <row r="3248" spans="3:6" x14ac:dyDescent="0.25">
      <c r="C3248" s="2" t="s">
        <v>18293</v>
      </c>
      <c r="D3248" s="2" t="s">
        <v>42</v>
      </c>
      <c r="E3248" s="2">
        <v>11</v>
      </c>
      <c r="F3248" s="2">
        <v>198.77</v>
      </c>
    </row>
    <row r="3249" spans="3:6" x14ac:dyDescent="0.25">
      <c r="C3249" s="2" t="s">
        <v>18294</v>
      </c>
      <c r="D3249" s="2" t="s">
        <v>42</v>
      </c>
      <c r="E3249" s="2">
        <v>16</v>
      </c>
      <c r="F3249" s="2">
        <v>322.77</v>
      </c>
    </row>
    <row r="3250" spans="3:6" x14ac:dyDescent="0.25">
      <c r="C3250" s="2" t="s">
        <v>18295</v>
      </c>
      <c r="D3250" s="2" t="s">
        <v>42</v>
      </c>
      <c r="E3250" s="2">
        <v>51</v>
      </c>
      <c r="F3250" s="2">
        <v>1022.91</v>
      </c>
    </row>
    <row r="3251" spans="3:6" x14ac:dyDescent="0.25">
      <c r="C3251" s="2" t="s">
        <v>18296</v>
      </c>
      <c r="D3251" s="2" t="s">
        <v>42</v>
      </c>
      <c r="E3251" s="2">
        <v>61</v>
      </c>
      <c r="F3251" s="2">
        <v>1090.091</v>
      </c>
    </row>
    <row r="3252" spans="3:6" x14ac:dyDescent="0.25">
      <c r="C3252" s="2" t="s">
        <v>18297</v>
      </c>
      <c r="D3252" s="2" t="s">
        <v>42</v>
      </c>
      <c r="E3252" s="2">
        <v>8</v>
      </c>
      <c r="F3252" s="2">
        <v>161.3</v>
      </c>
    </row>
    <row r="3253" spans="3:6" x14ac:dyDescent="0.25">
      <c r="C3253" s="2" t="s">
        <v>18298</v>
      </c>
      <c r="D3253" s="2" t="s">
        <v>42</v>
      </c>
      <c r="E3253" s="2">
        <v>37</v>
      </c>
      <c r="F3253" s="2">
        <v>827.07</v>
      </c>
    </row>
    <row r="3254" spans="3:6" x14ac:dyDescent="0.25">
      <c r="C3254" s="2" t="s">
        <v>18299</v>
      </c>
      <c r="D3254" s="2" t="s">
        <v>42</v>
      </c>
      <c r="E3254" s="2">
        <v>52</v>
      </c>
      <c r="F3254" s="2">
        <v>1044.82</v>
      </c>
    </row>
    <row r="3255" spans="3:6" x14ac:dyDescent="0.25">
      <c r="C3255" s="2" t="s">
        <v>18300</v>
      </c>
      <c r="D3255" s="2" t="s">
        <v>42</v>
      </c>
      <c r="E3255" s="2">
        <v>49</v>
      </c>
      <c r="F3255" s="2">
        <v>964.55</v>
      </c>
    </row>
    <row r="3256" spans="3:6" x14ac:dyDescent="0.25">
      <c r="C3256" s="2" t="s">
        <v>18301</v>
      </c>
      <c r="D3256" s="2" t="s">
        <v>42</v>
      </c>
      <c r="E3256" s="2">
        <v>37</v>
      </c>
      <c r="F3256" s="2">
        <v>730.17</v>
      </c>
    </row>
    <row r="3257" spans="3:6" x14ac:dyDescent="0.25">
      <c r="C3257" s="2" t="s">
        <v>18302</v>
      </c>
      <c r="D3257" s="2" t="s">
        <v>42</v>
      </c>
      <c r="E3257" s="2">
        <v>76</v>
      </c>
      <c r="F3257" s="2">
        <v>1515.17</v>
      </c>
    </row>
    <row r="3258" spans="3:6" x14ac:dyDescent="0.25">
      <c r="C3258" s="2" t="s">
        <v>18303</v>
      </c>
      <c r="D3258" s="2" t="s">
        <v>42</v>
      </c>
      <c r="E3258" s="2">
        <v>28</v>
      </c>
      <c r="F3258" s="2">
        <v>555.77</v>
      </c>
    </row>
    <row r="3259" spans="3:6" x14ac:dyDescent="0.25">
      <c r="C3259" s="2" t="s">
        <v>18304</v>
      </c>
      <c r="D3259" s="2" t="s">
        <v>42</v>
      </c>
      <c r="E3259" s="2">
        <v>20</v>
      </c>
      <c r="F3259" s="2">
        <v>409.23</v>
      </c>
    </row>
    <row r="3260" spans="3:6" x14ac:dyDescent="0.25">
      <c r="C3260" s="2" t="s">
        <v>18305</v>
      </c>
      <c r="D3260" s="2" t="s">
        <v>42</v>
      </c>
      <c r="E3260" s="2">
        <v>9</v>
      </c>
      <c r="F3260" s="2">
        <v>174.009</v>
      </c>
    </row>
    <row r="3261" spans="3:6" x14ac:dyDescent="0.25">
      <c r="C3261" s="2" t="s">
        <v>18306</v>
      </c>
      <c r="D3261" s="2" t="s">
        <v>42</v>
      </c>
      <c r="E3261" s="2">
        <v>14</v>
      </c>
      <c r="F3261" s="2">
        <v>115.232</v>
      </c>
    </row>
    <row r="3262" spans="3:6" x14ac:dyDescent="0.25">
      <c r="C3262" s="2" t="s">
        <v>18307</v>
      </c>
      <c r="D3262" s="2" t="s">
        <v>42</v>
      </c>
      <c r="E3262" s="2">
        <v>26</v>
      </c>
      <c r="F3262" s="2">
        <v>506.72</v>
      </c>
    </row>
    <row r="3263" spans="3:6" x14ac:dyDescent="0.25">
      <c r="C3263" s="2" t="s">
        <v>18308</v>
      </c>
      <c r="D3263" s="2" t="s">
        <v>42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10</v>
      </c>
      <c r="C3265" s="2" t="s">
        <v>18309</v>
      </c>
      <c r="D3265" s="2" t="s">
        <v>12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18310</v>
      </c>
      <c r="D3266" s="2" t="s">
        <v>12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212</v>
      </c>
      <c r="C3268" s="2" t="s">
        <v>18311</v>
      </c>
      <c r="D3268" s="2" t="s">
        <v>204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18312</v>
      </c>
      <c r="D3269" s="2" t="s">
        <v>216</v>
      </c>
      <c r="E3269" s="2">
        <v>22</v>
      </c>
      <c r="F3269" s="2">
        <v>415.259</v>
      </c>
    </row>
    <row r="3270" spans="3:6" x14ac:dyDescent="0.25">
      <c r="C3270" s="2" t="s">
        <v>18313</v>
      </c>
      <c r="D3270" s="2" t="s">
        <v>216</v>
      </c>
      <c r="E3270" s="2">
        <v>15</v>
      </c>
      <c r="F3270" s="2">
        <v>0</v>
      </c>
    </row>
    <row r="3271" spans="3:6" x14ac:dyDescent="0.25">
      <c r="C3271" s="2" t="s">
        <v>18314</v>
      </c>
      <c r="D3271" s="2" t="s">
        <v>204</v>
      </c>
      <c r="E3271" s="2">
        <v>156</v>
      </c>
      <c r="F3271" s="2">
        <v>0</v>
      </c>
    </row>
    <row r="3272" spans="3:6" x14ac:dyDescent="0.25">
      <c r="C3272" s="2" t="s">
        <v>18315</v>
      </c>
      <c r="D3272" s="2" t="s">
        <v>214</v>
      </c>
      <c r="E3272" s="2">
        <v>105</v>
      </c>
      <c r="F3272" s="2">
        <v>2061.757</v>
      </c>
    </row>
    <row r="3273" spans="3:6" x14ac:dyDescent="0.25">
      <c r="C3273" s="2" t="s">
        <v>18316</v>
      </c>
      <c r="D3273" s="2" t="s">
        <v>236</v>
      </c>
      <c r="E3273" s="2">
        <v>44</v>
      </c>
      <c r="F3273" s="2">
        <v>0</v>
      </c>
    </row>
    <row r="3274" spans="3:6" x14ac:dyDescent="0.25">
      <c r="C3274" s="2" t="s">
        <v>18317</v>
      </c>
      <c r="D3274" s="2" t="s">
        <v>236</v>
      </c>
      <c r="E3274" s="2">
        <v>80</v>
      </c>
      <c r="F3274" s="2">
        <v>1565.77</v>
      </c>
    </row>
    <row r="3275" spans="3:6" x14ac:dyDescent="0.25">
      <c r="C3275" s="2" t="s">
        <v>18318</v>
      </c>
      <c r="D3275" s="2" t="s">
        <v>236</v>
      </c>
      <c r="E3275" s="2">
        <v>32</v>
      </c>
      <c r="F3275" s="2">
        <v>585.38</v>
      </c>
    </row>
    <row r="3276" spans="3:6" x14ac:dyDescent="0.25">
      <c r="C3276" s="2" t="s">
        <v>18319</v>
      </c>
      <c r="D3276" s="2" t="s">
        <v>216</v>
      </c>
      <c r="E3276" s="2">
        <v>163</v>
      </c>
      <c r="F3276" s="2">
        <v>3181.81</v>
      </c>
    </row>
    <row r="3277" spans="3:6" x14ac:dyDescent="0.25">
      <c r="C3277" s="2" t="s">
        <v>18320</v>
      </c>
      <c r="D3277" s="2" t="s">
        <v>216</v>
      </c>
      <c r="E3277" s="2">
        <v>163</v>
      </c>
      <c r="F3277" s="2">
        <v>3217.508</v>
      </c>
    </row>
    <row r="3278" spans="3:6" x14ac:dyDescent="0.25">
      <c r="C3278" s="2" t="s">
        <v>18321</v>
      </c>
      <c r="D3278" s="2" t="s">
        <v>204</v>
      </c>
      <c r="E3278" s="2">
        <v>163</v>
      </c>
      <c r="F3278" s="2">
        <v>3051.964</v>
      </c>
    </row>
    <row r="3279" spans="3:6" x14ac:dyDescent="0.25">
      <c r="C3279" s="2" t="s">
        <v>18322</v>
      </c>
      <c r="D3279" s="2" t="s">
        <v>236</v>
      </c>
      <c r="E3279" s="2">
        <v>36</v>
      </c>
      <c r="F3279" s="2">
        <v>655.12</v>
      </c>
    </row>
    <row r="3280" spans="3:6" x14ac:dyDescent="0.25">
      <c r="C3280" s="2" t="s">
        <v>18323</v>
      </c>
      <c r="D3280" s="2" t="s">
        <v>236</v>
      </c>
      <c r="E3280" s="2">
        <v>60</v>
      </c>
      <c r="F3280" s="2">
        <v>1142.61</v>
      </c>
    </row>
    <row r="3281" spans="3:6" x14ac:dyDescent="0.25">
      <c r="C3281" s="2" t="s">
        <v>18324</v>
      </c>
      <c r="D3281" s="2" t="s">
        <v>236</v>
      </c>
      <c r="E3281" s="2">
        <v>60</v>
      </c>
      <c r="F3281" s="2">
        <v>1065.409</v>
      </c>
    </row>
    <row r="3282" spans="3:6" x14ac:dyDescent="0.25">
      <c r="C3282" s="2" t="s">
        <v>18325</v>
      </c>
      <c r="D3282" s="2" t="s">
        <v>204</v>
      </c>
      <c r="E3282" s="2">
        <v>163</v>
      </c>
      <c r="F3282" s="2">
        <v>2880.973</v>
      </c>
    </row>
    <row r="3283" spans="3:6" x14ac:dyDescent="0.25">
      <c r="C3283" s="2" t="s">
        <v>18326</v>
      </c>
      <c r="D3283" s="2" t="s">
        <v>204</v>
      </c>
      <c r="E3283" s="2">
        <v>156</v>
      </c>
      <c r="F3283" s="2">
        <v>3096.549</v>
      </c>
    </row>
    <row r="3284" spans="3:6" x14ac:dyDescent="0.25">
      <c r="C3284" s="2" t="s">
        <v>18327</v>
      </c>
      <c r="D3284" s="2" t="s">
        <v>204</v>
      </c>
      <c r="E3284" s="2">
        <v>163</v>
      </c>
      <c r="F3284" s="2">
        <v>3047.983</v>
      </c>
    </row>
    <row r="3285" spans="3:6" x14ac:dyDescent="0.25">
      <c r="C3285" s="2" t="s">
        <v>18328</v>
      </c>
      <c r="D3285" s="2" t="s">
        <v>204</v>
      </c>
      <c r="E3285" s="2">
        <v>156</v>
      </c>
      <c r="F3285" s="2">
        <v>2850.885</v>
      </c>
    </row>
    <row r="3286" spans="3:6" x14ac:dyDescent="0.25">
      <c r="C3286" s="2" t="s">
        <v>18329</v>
      </c>
      <c r="D3286" s="2" t="s">
        <v>204</v>
      </c>
      <c r="E3286" s="2">
        <v>156</v>
      </c>
      <c r="F3286" s="2">
        <v>3136.691</v>
      </c>
    </row>
    <row r="3287" spans="3:6" x14ac:dyDescent="0.25">
      <c r="C3287" s="2" t="s">
        <v>18330</v>
      </c>
      <c r="D3287" s="2" t="s">
        <v>216</v>
      </c>
      <c r="E3287" s="2">
        <v>135</v>
      </c>
      <c r="F3287" s="2">
        <v>2616.094</v>
      </c>
    </row>
    <row r="3288" spans="3:6" x14ac:dyDescent="0.25">
      <c r="C3288" s="2" t="s">
        <v>18331</v>
      </c>
      <c r="D3288" s="2" t="s">
        <v>216</v>
      </c>
      <c r="E3288" s="2">
        <v>134</v>
      </c>
      <c r="F3288" s="2">
        <v>2640.827</v>
      </c>
    </row>
    <row r="3289" spans="3:6" x14ac:dyDescent="0.25">
      <c r="C3289" s="2" t="s">
        <v>18332</v>
      </c>
      <c r="D3289" s="2" t="s">
        <v>216</v>
      </c>
      <c r="E3289" s="2">
        <v>134</v>
      </c>
      <c r="F3289" s="2">
        <v>2738.435</v>
      </c>
    </row>
    <row r="3290" spans="3:6" x14ac:dyDescent="0.25">
      <c r="C3290" s="2" t="s">
        <v>18333</v>
      </c>
      <c r="D3290" s="2" t="s">
        <v>216</v>
      </c>
      <c r="E3290" s="2">
        <v>134</v>
      </c>
      <c r="F3290" s="2">
        <v>2764.63</v>
      </c>
    </row>
    <row r="3291" spans="3:6" x14ac:dyDescent="0.25">
      <c r="C3291" s="2" t="s">
        <v>18334</v>
      </c>
      <c r="D3291" s="2" t="s">
        <v>216</v>
      </c>
      <c r="E3291" s="2">
        <v>134</v>
      </c>
      <c r="F3291" s="2">
        <v>2716.879</v>
      </c>
    </row>
    <row r="3292" spans="3:6" x14ac:dyDescent="0.25">
      <c r="C3292" s="2" t="s">
        <v>18335</v>
      </c>
      <c r="D3292" s="2" t="s">
        <v>216</v>
      </c>
      <c r="E3292" s="2">
        <v>134</v>
      </c>
      <c r="F3292" s="2">
        <v>2773.55</v>
      </c>
    </row>
    <row r="3293" spans="3:6" x14ac:dyDescent="0.25">
      <c r="C3293" s="2" t="s">
        <v>18336</v>
      </c>
      <c r="D3293" s="2" t="s">
        <v>216</v>
      </c>
      <c r="E3293" s="2">
        <v>105</v>
      </c>
      <c r="F3293" s="2">
        <v>2055.053</v>
      </c>
    </row>
    <row r="3294" spans="3:6" x14ac:dyDescent="0.25">
      <c r="C3294" s="2" t="s">
        <v>18337</v>
      </c>
      <c r="D3294" s="2" t="s">
        <v>204</v>
      </c>
      <c r="E3294" s="2">
        <v>105</v>
      </c>
      <c r="F3294" s="2" t="s">
        <v>8758</v>
      </c>
    </row>
    <row r="3295" spans="3:6" x14ac:dyDescent="0.25">
      <c r="C3295" s="2" t="s">
        <v>18338</v>
      </c>
      <c r="D3295" s="2" t="s">
        <v>204</v>
      </c>
      <c r="E3295" s="2">
        <v>105</v>
      </c>
      <c r="F3295" s="2" t="s">
        <v>8758</v>
      </c>
    </row>
    <row r="3296" spans="3:6" x14ac:dyDescent="0.25">
      <c r="C3296" s="2" t="s">
        <v>18339</v>
      </c>
      <c r="D3296" s="2" t="s">
        <v>204</v>
      </c>
      <c r="E3296" s="2">
        <v>7</v>
      </c>
      <c r="F3296" s="2" t="s">
        <v>8758</v>
      </c>
    </row>
    <row r="3298" spans="1:7" x14ac:dyDescent="0.25">
      <c r="A3298" s="1">
        <v>46141</v>
      </c>
      <c r="B3298" s="2" t="s">
        <v>12462</v>
      </c>
      <c r="C3298" s="2" t="s">
        <v>18340</v>
      </c>
      <c r="D3298" s="2" t="s">
        <v>20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18341</v>
      </c>
      <c r="D3299" s="2" t="s">
        <v>20</v>
      </c>
      <c r="E3299" s="2">
        <v>149</v>
      </c>
      <c r="F3299" s="2">
        <v>2798.9</v>
      </c>
    </row>
    <row r="3300" spans="3:6" x14ac:dyDescent="0.25">
      <c r="C3300" s="2" t="s">
        <v>18342</v>
      </c>
      <c r="D3300" s="2" t="s">
        <v>20</v>
      </c>
      <c r="E3300" s="2">
        <v>102</v>
      </c>
      <c r="F3300" s="2">
        <v>2041.77</v>
      </c>
    </row>
    <row r="3301" spans="3:6" x14ac:dyDescent="0.25">
      <c r="C3301" s="2" t="s">
        <v>18343</v>
      </c>
      <c r="D3301" s="2" t="s">
        <v>20</v>
      </c>
      <c r="E3301" s="2">
        <v>102</v>
      </c>
      <c r="F3301" s="2">
        <v>2008.399</v>
      </c>
    </row>
    <row r="3302" spans="3:6" x14ac:dyDescent="0.25">
      <c r="C3302" s="2" t="s">
        <v>12284</v>
      </c>
      <c r="D3302" s="2" t="s">
        <v>20</v>
      </c>
      <c r="E3302" s="2">
        <v>87</v>
      </c>
      <c r="F3302" s="2">
        <v>1808.93</v>
      </c>
    </row>
    <row r="3303" spans="3:6" x14ac:dyDescent="0.25">
      <c r="C3303" s="2" t="s">
        <v>18344</v>
      </c>
      <c r="D3303" s="2" t="s">
        <v>20</v>
      </c>
      <c r="E3303" s="2">
        <v>251</v>
      </c>
      <c r="F3303" s="2">
        <v>4628.637</v>
      </c>
    </row>
    <row r="3304" spans="3:6" x14ac:dyDescent="0.25">
      <c r="C3304" s="2" t="s">
        <v>18345</v>
      </c>
      <c r="D3304" s="2" t="s">
        <v>20</v>
      </c>
      <c r="E3304" s="2">
        <v>298</v>
      </c>
      <c r="F3304" s="2">
        <v>5688.806</v>
      </c>
    </row>
    <row r="3305" spans="3:6" x14ac:dyDescent="0.25">
      <c r="C3305" s="2" t="s">
        <v>18346</v>
      </c>
      <c r="D3305" s="2" t="s">
        <v>20</v>
      </c>
      <c r="E3305" s="2">
        <v>103</v>
      </c>
      <c r="F3305" s="2">
        <v>1913.49</v>
      </c>
    </row>
    <row r="3306" spans="3:6" x14ac:dyDescent="0.25">
      <c r="C3306" s="2" t="s">
        <v>18347</v>
      </c>
      <c r="D3306" s="2" t="s">
        <v>20</v>
      </c>
      <c r="E3306" s="2">
        <v>149</v>
      </c>
      <c r="F3306" s="2">
        <v>2803.85</v>
      </c>
    </row>
    <row r="3307" spans="3:6" x14ac:dyDescent="0.25">
      <c r="C3307" s="2" t="s">
        <v>18348</v>
      </c>
      <c r="D3307" s="2" t="s">
        <v>20</v>
      </c>
      <c r="E3307" s="2">
        <v>149</v>
      </c>
      <c r="F3307" s="2">
        <v>2766.49</v>
      </c>
    </row>
    <row r="3308" spans="3:6" x14ac:dyDescent="0.25">
      <c r="C3308" s="2" t="s">
        <v>18349</v>
      </c>
      <c r="D3308" s="2" t="s">
        <v>20</v>
      </c>
      <c r="E3308" s="2">
        <v>242</v>
      </c>
      <c r="F3308" s="2">
        <v>4593.77</v>
      </c>
    </row>
    <row r="3309" spans="3:6" x14ac:dyDescent="0.25">
      <c r="C3309" s="2" t="s">
        <v>18350</v>
      </c>
      <c r="D3309" s="2" t="s">
        <v>20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18</v>
      </c>
      <c r="C3312" s="2" t="s">
        <v>12290</v>
      </c>
      <c r="D3312" s="2" t="s">
        <v>20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12288</v>
      </c>
      <c r="D3313" s="2" t="s">
        <v>20</v>
      </c>
      <c r="E3313" s="2">
        <v>326</v>
      </c>
      <c r="F3313" s="2">
        <v>5999.74</v>
      </c>
    </row>
    <row r="3314" spans="3:6" x14ac:dyDescent="0.25">
      <c r="C3314" s="2" t="s">
        <v>18351</v>
      </c>
      <c r="D3314" s="2" t="s">
        <v>20</v>
      </c>
      <c r="E3314" s="2">
        <v>268</v>
      </c>
      <c r="F3314" s="2">
        <v>5092.349</v>
      </c>
    </row>
    <row r="3315" spans="3:6" x14ac:dyDescent="0.25">
      <c r="C3315" s="2" t="s">
        <v>18352</v>
      </c>
      <c r="D3315" s="2" t="s">
        <v>20</v>
      </c>
      <c r="E3315" s="2">
        <v>293</v>
      </c>
      <c r="F3315" s="2">
        <v>5629.521</v>
      </c>
    </row>
    <row r="3316" spans="3:6" x14ac:dyDescent="0.25">
      <c r="C3316" s="2" t="s">
        <v>18353</v>
      </c>
      <c r="D3316" s="2" t="s">
        <v>20</v>
      </c>
      <c r="E3316" s="2">
        <v>193</v>
      </c>
      <c r="F3316" s="2">
        <v>3843.665</v>
      </c>
    </row>
    <row r="3317" spans="3:6" x14ac:dyDescent="0.25">
      <c r="C3317" s="2" t="s">
        <v>18354</v>
      </c>
      <c r="D3317" s="2" t="s">
        <v>20</v>
      </c>
      <c r="E3317" s="2">
        <v>105</v>
      </c>
      <c r="F3317" s="2">
        <v>1997.299</v>
      </c>
    </row>
    <row r="3318" spans="3:6" x14ac:dyDescent="0.25">
      <c r="C3318" s="2" t="s">
        <v>18355</v>
      </c>
      <c r="D3318" s="2" t="s">
        <v>20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335</v>
      </c>
      <c r="C3320" s="2" t="s">
        <v>18356</v>
      </c>
      <c r="D3320" s="2" t="s">
        <v>20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18357</v>
      </c>
      <c r="D3321" s="2" t="s">
        <v>20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206</v>
      </c>
      <c r="C3323" s="2" t="s">
        <v>18358</v>
      </c>
      <c r="D3323" s="2" t="s">
        <v>27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18359</v>
      </c>
      <c r="D3324" s="2" t="s">
        <v>27</v>
      </c>
      <c r="E3324" s="2">
        <v>39</v>
      </c>
      <c r="F3324" s="2">
        <v>681.959</v>
      </c>
    </row>
    <row r="3325" spans="3:6" x14ac:dyDescent="0.25">
      <c r="C3325" s="2" t="s">
        <v>18360</v>
      </c>
      <c r="D3325" s="2" t="s">
        <v>27</v>
      </c>
      <c r="E3325" s="2">
        <v>62</v>
      </c>
      <c r="F3325" s="2">
        <v>1094.128</v>
      </c>
    </row>
    <row r="3326" spans="3:6" x14ac:dyDescent="0.25">
      <c r="C3326" s="2" t="s">
        <v>18361</v>
      </c>
      <c r="D3326" s="2" t="s">
        <v>27</v>
      </c>
      <c r="E3326" s="2">
        <v>101</v>
      </c>
      <c r="F3326" s="2">
        <v>1785.819</v>
      </c>
    </row>
    <row r="3327" spans="3:6" x14ac:dyDescent="0.25">
      <c r="C3327" s="2" t="s">
        <v>18362</v>
      </c>
      <c r="D3327" s="2" t="s">
        <v>27</v>
      </c>
      <c r="E3327" s="2">
        <v>32</v>
      </c>
      <c r="F3327" s="2">
        <v>551.16</v>
      </c>
    </row>
    <row r="3328" spans="3:6" x14ac:dyDescent="0.25">
      <c r="C3328" s="2" t="s">
        <v>18363</v>
      </c>
      <c r="D3328" s="2" t="s">
        <v>27</v>
      </c>
      <c r="E3328" s="2">
        <v>9</v>
      </c>
      <c r="F3328" s="2" t="s">
        <v>8758</v>
      </c>
    </row>
    <row r="3330" spans="1:7" x14ac:dyDescent="0.25">
      <c r="A3330" s="1">
        <v>46142</v>
      </c>
      <c r="B3330" s="2" t="s">
        <v>13208</v>
      </c>
      <c r="C3330" s="2" t="s">
        <v>18364</v>
      </c>
      <c r="D3330" s="2" t="s">
        <v>5678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18365</v>
      </c>
      <c r="D3331" s="2" t="s">
        <v>5678</v>
      </c>
      <c r="E3331" s="2">
        <v>156</v>
      </c>
      <c r="F3331" s="2">
        <v>2482.936</v>
      </c>
    </row>
    <row r="3332" spans="3:6" x14ac:dyDescent="0.25">
      <c r="C3332" s="2" t="s">
        <v>18366</v>
      </c>
      <c r="D3332" s="2" t="s">
        <v>5678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10</v>
      </c>
      <c r="C3335" s="2" t="s">
        <v>18367</v>
      </c>
      <c r="D3335" s="2" t="s">
        <v>12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18368</v>
      </c>
      <c r="D3336" s="2" t="s">
        <v>12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2037</v>
      </c>
      <c r="C3342" s="12">
        <f>COUNTA(C3:C3341)</f>
        <v>3144</v>
      </c>
      <c r="E3342" s="11" t="s">
        <v>2038</v>
      </c>
      <c r="F3342" s="13">
        <f>SUM(F3:F3341)</f>
        <v>5671566.801779651</v>
      </c>
      <c r="G3342" s="1" t="s">
        <v>2039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2097</v>
      </c>
      <c r="C7" s="2" t="s">
        <v>11937</v>
      </c>
      <c r="D7" s="2" t="s">
        <v>27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11938</v>
      </c>
      <c r="D8" s="2" t="s">
        <v>27</v>
      </c>
      <c r="E8" s="2">
        <v>52</v>
      </c>
      <c r="F8" s="2">
        <v>911.54</v>
      </c>
    </row>
    <row r="9" spans="3:6" x14ac:dyDescent="0.25">
      <c r="C9" s="2" t="s">
        <v>11939</v>
      </c>
      <c r="D9" s="2" t="s">
        <v>27</v>
      </c>
      <c r="E9" s="2">
        <v>32</v>
      </c>
      <c r="F9" s="2">
        <v>527.659</v>
      </c>
    </row>
    <row r="10" spans="3:6" x14ac:dyDescent="0.25">
      <c r="C10" s="2" t="s">
        <v>11940</v>
      </c>
      <c r="D10" s="2" t="s">
        <v>27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14</v>
      </c>
      <c r="C12" s="2" t="s">
        <v>11941</v>
      </c>
      <c r="D12" s="2" t="s">
        <v>12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11942</v>
      </c>
      <c r="D13" s="2" t="s">
        <v>12</v>
      </c>
      <c r="E13" s="2">
        <v>156</v>
      </c>
      <c r="F13" s="2">
        <v>3094.86</v>
      </c>
    </row>
    <row r="14" spans="3:6" x14ac:dyDescent="0.25">
      <c r="C14" s="2" t="s">
        <v>11943</v>
      </c>
      <c r="D14" s="2" t="s">
        <v>12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120</v>
      </c>
      <c r="C16" s="2" t="s">
        <v>11944</v>
      </c>
      <c r="D16" s="2" t="s">
        <v>122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11945</v>
      </c>
      <c r="D17" s="2" t="s">
        <v>122</v>
      </c>
      <c r="E17" s="2">
        <v>40</v>
      </c>
      <c r="F17" s="2">
        <v>851.88</v>
      </c>
    </row>
    <row r="18" spans="3:6" x14ac:dyDescent="0.25">
      <c r="C18" s="2" t="s">
        <v>11946</v>
      </c>
      <c r="D18" s="2" t="s">
        <v>122</v>
      </c>
      <c r="E18" s="2">
        <v>56</v>
      </c>
      <c r="F18" s="2">
        <v>1109.86</v>
      </c>
    </row>
    <row r="19" spans="3:6" x14ac:dyDescent="0.25">
      <c r="C19" s="2" t="s">
        <v>11947</v>
      </c>
      <c r="D19" s="2" t="s">
        <v>122</v>
      </c>
      <c r="E19" s="2">
        <v>27</v>
      </c>
      <c r="F19" s="2">
        <f>125.45+428.95</f>
        <v>554.4</v>
      </c>
    </row>
    <row r="20" spans="3:6" x14ac:dyDescent="0.25">
      <c r="C20" s="2" t="s">
        <v>11948</v>
      </c>
      <c r="D20" s="2" t="s">
        <v>122</v>
      </c>
      <c r="E20" s="2">
        <v>94</v>
      </c>
      <c r="F20" s="2">
        <v>1998.98</v>
      </c>
    </row>
    <row r="21" spans="3:6" x14ac:dyDescent="0.25">
      <c r="C21" s="2" t="s">
        <v>11949</v>
      </c>
      <c r="D21" s="2" t="s">
        <v>122</v>
      </c>
      <c r="E21" s="2">
        <v>8</v>
      </c>
      <c r="F21" s="2">
        <v>134.42</v>
      </c>
    </row>
    <row r="22" spans="3:6" x14ac:dyDescent="0.25">
      <c r="C22" s="2" t="s">
        <v>11950</v>
      </c>
      <c r="D22" s="2" t="s">
        <v>122</v>
      </c>
      <c r="E22" s="2">
        <v>94</v>
      </c>
      <c r="F22" s="2">
        <v>1975.92</v>
      </c>
    </row>
    <row r="23" spans="3:6" x14ac:dyDescent="0.25">
      <c r="C23" s="2" t="s">
        <v>11951</v>
      </c>
      <c r="D23" s="2" t="s">
        <v>122</v>
      </c>
      <c r="E23" s="2">
        <v>8</v>
      </c>
      <c r="F23" s="2">
        <f>120.98+18.3</f>
        <v>139.28</v>
      </c>
    </row>
    <row r="24" spans="3:6" x14ac:dyDescent="0.25">
      <c r="C24" s="2" t="s">
        <v>11952</v>
      </c>
      <c r="D24" s="2" t="s">
        <v>122</v>
      </c>
      <c r="E24" s="2">
        <v>48</v>
      </c>
      <c r="F24" s="2">
        <v>981.49</v>
      </c>
    </row>
    <row r="25" spans="3:6" x14ac:dyDescent="0.25">
      <c r="C25" s="2" t="s">
        <v>11953</v>
      </c>
      <c r="D25" s="2" t="s">
        <v>122</v>
      </c>
      <c r="E25" s="2">
        <v>54</v>
      </c>
      <c r="F25" s="2">
        <v>424.629</v>
      </c>
    </row>
    <row r="26" spans="3:6" x14ac:dyDescent="0.25">
      <c r="C26" s="2" t="s">
        <v>11954</v>
      </c>
      <c r="D26" s="2" t="s">
        <v>122</v>
      </c>
      <c r="E26" s="2">
        <f>105+30</f>
        <v>135</v>
      </c>
      <c r="F26" s="2">
        <v>454.24</v>
      </c>
    </row>
    <row r="27" spans="3:6" x14ac:dyDescent="0.25">
      <c r="C27" s="2" t="s">
        <v>11955</v>
      </c>
      <c r="D27" s="2" t="s">
        <v>122</v>
      </c>
      <c r="E27" s="2">
        <v>75</v>
      </c>
      <c r="F27" s="2">
        <v>1420.219</v>
      </c>
    </row>
    <row r="28" spans="3:6" x14ac:dyDescent="0.25">
      <c r="C28" s="2" t="s">
        <v>11956</v>
      </c>
      <c r="D28" s="2" t="s">
        <v>122</v>
      </c>
      <c r="E28" s="2">
        <v>61</v>
      </c>
      <c r="F28" s="2">
        <v>1222.332</v>
      </c>
    </row>
    <row r="29" spans="3:6" x14ac:dyDescent="0.25">
      <c r="C29" s="2" t="s">
        <v>11957</v>
      </c>
      <c r="D29" s="2" t="s">
        <v>122</v>
      </c>
      <c r="E29" s="2">
        <v>80</v>
      </c>
      <c r="F29" s="2">
        <v>1569.08</v>
      </c>
    </row>
    <row r="30" spans="3:6" x14ac:dyDescent="0.25">
      <c r="C30" s="2" t="s">
        <v>11958</v>
      </c>
      <c r="D30" s="2" t="s">
        <v>122</v>
      </c>
      <c r="E30" s="2">
        <v>60</v>
      </c>
      <c r="F30" s="2">
        <v>1195.39</v>
      </c>
    </row>
    <row r="31" spans="3:6" x14ac:dyDescent="0.25">
      <c r="C31" s="2" t="s">
        <v>11959</v>
      </c>
      <c r="D31" s="2" t="s">
        <v>122</v>
      </c>
      <c r="E31" s="2">
        <v>21</v>
      </c>
      <c r="F31" s="2">
        <v>413.64</v>
      </c>
    </row>
    <row r="32" spans="3:6" x14ac:dyDescent="0.25">
      <c r="C32" s="2" t="s">
        <v>11960</v>
      </c>
      <c r="D32" s="2" t="s">
        <v>122</v>
      </c>
      <c r="E32" s="2">
        <v>30</v>
      </c>
      <c r="F32" s="2">
        <v>627.74</v>
      </c>
    </row>
    <row r="33" spans="3:6" x14ac:dyDescent="0.25">
      <c r="C33" s="2" t="s">
        <v>11961</v>
      </c>
      <c r="D33" s="2" t="s">
        <v>122</v>
      </c>
      <c r="E33" s="2">
        <v>30</v>
      </c>
      <c r="F33" s="2">
        <v>610.42</v>
      </c>
    </row>
    <row r="34" spans="3:6" x14ac:dyDescent="0.25">
      <c r="C34" s="2" t="s">
        <v>11962</v>
      </c>
      <c r="D34" s="2" t="s">
        <v>122</v>
      </c>
      <c r="E34" s="2">
        <v>74</v>
      </c>
      <c r="F34" s="2">
        <v>1528.35</v>
      </c>
    </row>
    <row r="35" spans="3:6" x14ac:dyDescent="0.25">
      <c r="C35" s="2" t="s">
        <v>11963</v>
      </c>
      <c r="D35" s="2" t="s">
        <v>122</v>
      </c>
      <c r="E35" s="2">
        <v>28</v>
      </c>
      <c r="F35" s="2">
        <v>549.21</v>
      </c>
    </row>
    <row r="36" spans="3:6" x14ac:dyDescent="0.25">
      <c r="C36" s="2" t="s">
        <v>11964</v>
      </c>
      <c r="D36" s="2" t="s">
        <v>122</v>
      </c>
      <c r="E36" s="2">
        <v>49</v>
      </c>
      <c r="F36" s="2">
        <v>1049.8</v>
      </c>
    </row>
    <row r="37" spans="3:6" x14ac:dyDescent="0.25">
      <c r="C37" s="2" t="s">
        <v>11965</v>
      </c>
      <c r="D37" s="2" t="s">
        <v>122</v>
      </c>
      <c r="E37" s="2">
        <v>38</v>
      </c>
      <c r="F37" s="2">
        <v>799.29</v>
      </c>
    </row>
    <row r="38" spans="3:6" x14ac:dyDescent="0.25">
      <c r="C38" s="2" t="s">
        <v>11966</v>
      </c>
      <c r="D38" s="2" t="s">
        <v>122</v>
      </c>
      <c r="E38" s="2">
        <v>34</v>
      </c>
      <c r="F38" s="2">
        <v>721.92</v>
      </c>
    </row>
    <row r="39" spans="3:6" x14ac:dyDescent="0.25">
      <c r="C39" s="2" t="s">
        <v>11967</v>
      </c>
      <c r="D39" s="2" t="s">
        <v>122</v>
      </c>
      <c r="E39" s="2">
        <f>87+29</f>
        <v>116</v>
      </c>
      <c r="F39" s="2">
        <f>1767.2+587.8</f>
        <v>2355</v>
      </c>
    </row>
    <row r="40" spans="3:6" x14ac:dyDescent="0.25">
      <c r="C40" s="2" t="s">
        <v>11968</v>
      </c>
      <c r="D40" s="2" t="s">
        <v>122</v>
      </c>
      <c r="E40" s="2">
        <v>20</v>
      </c>
      <c r="F40" s="2">
        <v>415.6</v>
      </c>
    </row>
    <row r="41" spans="3:6" x14ac:dyDescent="0.25">
      <c r="C41" s="2" t="s">
        <v>11969</v>
      </c>
      <c r="D41" s="2" t="s">
        <v>122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11970</v>
      </c>
      <c r="D42" s="2" t="s">
        <v>122</v>
      </c>
      <c r="E42" s="2">
        <v>38</v>
      </c>
      <c r="F42" s="2">
        <v>46.85</v>
      </c>
    </row>
    <row r="43" spans="3:6" x14ac:dyDescent="0.25">
      <c r="C43" s="2" t="s">
        <v>11971</v>
      </c>
      <c r="D43" s="2" t="s">
        <v>122</v>
      </c>
      <c r="E43" s="2">
        <v>143</v>
      </c>
      <c r="F43" s="2">
        <v>2272.273</v>
      </c>
    </row>
    <row r="44" spans="3:6" x14ac:dyDescent="0.25">
      <c r="C44" s="2" t="s">
        <v>11972</v>
      </c>
      <c r="D44" s="2" t="s">
        <v>122</v>
      </c>
      <c r="E44" s="2">
        <v>143</v>
      </c>
      <c r="F44" s="2">
        <v>2455.89</v>
      </c>
    </row>
    <row r="45" spans="3:6" x14ac:dyDescent="0.25">
      <c r="C45" s="2" t="s">
        <v>11973</v>
      </c>
      <c r="D45" s="2" t="s">
        <v>122</v>
      </c>
      <c r="E45" s="2">
        <v>143</v>
      </c>
      <c r="F45" s="2">
        <v>1910.338</v>
      </c>
    </row>
    <row r="46" spans="3:6" x14ac:dyDescent="0.25">
      <c r="C46" s="2" t="s">
        <v>11974</v>
      </c>
      <c r="D46" s="2" t="s">
        <v>122</v>
      </c>
      <c r="E46" s="2">
        <v>61</v>
      </c>
      <c r="F46" s="2">
        <v>1282.66</v>
      </c>
    </row>
    <row r="47" spans="3:6" x14ac:dyDescent="0.25">
      <c r="C47" s="2" t="s">
        <v>11975</v>
      </c>
      <c r="D47" s="2" t="s">
        <v>122</v>
      </c>
      <c r="E47" s="2">
        <v>61</v>
      </c>
      <c r="F47" s="2">
        <v>1268.69</v>
      </c>
    </row>
    <row r="48" spans="3:6" x14ac:dyDescent="0.25">
      <c r="C48" s="2" t="s">
        <v>11976</v>
      </c>
      <c r="D48" s="2" t="s">
        <v>122</v>
      </c>
      <c r="E48" s="2">
        <v>40</v>
      </c>
      <c r="F48" s="2">
        <v>231.391</v>
      </c>
    </row>
    <row r="49" spans="3:6" x14ac:dyDescent="0.25">
      <c r="C49" s="2" t="s">
        <v>11977</v>
      </c>
      <c r="D49" s="2" t="s">
        <v>122</v>
      </c>
      <c r="E49" s="2">
        <v>40</v>
      </c>
      <c r="F49" s="2">
        <v>840.58</v>
      </c>
    </row>
    <row r="50" spans="3:6" x14ac:dyDescent="0.25">
      <c r="C50" s="2" t="s">
        <v>11978</v>
      </c>
      <c r="D50" s="2" t="s">
        <v>122</v>
      </c>
      <c r="E50" s="2">
        <v>52</v>
      </c>
      <c r="F50" s="2">
        <v>1076.88</v>
      </c>
    </row>
    <row r="51" spans="3:6" x14ac:dyDescent="0.25">
      <c r="C51" s="2" t="s">
        <v>11979</v>
      </c>
      <c r="D51" s="2" t="s">
        <v>122</v>
      </c>
      <c r="E51" s="2">
        <v>9</v>
      </c>
      <c r="F51" s="2">
        <f>128.26+10.7</f>
        <v>138.95999999999998</v>
      </c>
    </row>
    <row r="52" spans="3:6" x14ac:dyDescent="0.25">
      <c r="C52" s="2" t="s">
        <v>11980</v>
      </c>
      <c r="D52" s="2" t="s">
        <v>122</v>
      </c>
      <c r="E52" s="2">
        <v>25</v>
      </c>
      <c r="F52" s="2">
        <v>500.43</v>
      </c>
    </row>
    <row r="53" spans="3:6" x14ac:dyDescent="0.25">
      <c r="C53" s="2" t="s">
        <v>11981</v>
      </c>
      <c r="D53" s="2" t="s">
        <v>122</v>
      </c>
      <c r="E53" s="2">
        <v>33</v>
      </c>
      <c r="F53" s="2">
        <v>638.88</v>
      </c>
    </row>
    <row r="54" spans="3:6" x14ac:dyDescent="0.25">
      <c r="C54" s="2" t="s">
        <v>11982</v>
      </c>
      <c r="D54" s="2" t="s">
        <v>122</v>
      </c>
      <c r="E54" s="2">
        <v>5</v>
      </c>
      <c r="F54" s="2">
        <v>108.81</v>
      </c>
    </row>
    <row r="55" spans="3:6" x14ac:dyDescent="0.25">
      <c r="C55" s="2" t="s">
        <v>11983</v>
      </c>
      <c r="D55" s="2" t="s">
        <v>122</v>
      </c>
      <c r="E55" s="2">
        <v>74</v>
      </c>
      <c r="F55" s="2">
        <v>1453.28</v>
      </c>
    </row>
    <row r="56" spans="3:6" x14ac:dyDescent="0.25">
      <c r="C56" s="2" t="s">
        <v>11984</v>
      </c>
      <c r="D56" s="2" t="s">
        <v>122</v>
      </c>
      <c r="E56" s="2">
        <v>4</v>
      </c>
      <c r="F56" s="2">
        <v>46.191</v>
      </c>
    </row>
    <row r="57" spans="3:6" x14ac:dyDescent="0.25">
      <c r="C57" s="2" t="s">
        <v>11985</v>
      </c>
      <c r="D57" s="2" t="s">
        <v>122</v>
      </c>
      <c r="E57" s="2">
        <v>56</v>
      </c>
      <c r="F57" s="2">
        <v>1166.1</v>
      </c>
    </row>
    <row r="58" spans="3:6" x14ac:dyDescent="0.25">
      <c r="C58" s="2" t="s">
        <v>11986</v>
      </c>
      <c r="D58" s="2" t="s">
        <v>122</v>
      </c>
      <c r="E58" s="2">
        <v>40</v>
      </c>
      <c r="F58" s="2">
        <v>769.28</v>
      </c>
    </row>
    <row r="59" spans="3:6" x14ac:dyDescent="0.25">
      <c r="C59" s="2" t="s">
        <v>11987</v>
      </c>
      <c r="D59" s="2" t="s">
        <v>122</v>
      </c>
      <c r="E59" s="2">
        <v>15</v>
      </c>
      <c r="F59" s="2">
        <v>318.92</v>
      </c>
    </row>
    <row r="60" spans="3:6" x14ac:dyDescent="0.25">
      <c r="C60" s="2" t="s">
        <v>11988</v>
      </c>
      <c r="D60" s="2" t="s">
        <v>122</v>
      </c>
      <c r="E60" s="2">
        <v>30</v>
      </c>
      <c r="F60" s="2">
        <v>591.23</v>
      </c>
    </row>
    <row r="61" spans="3:6" x14ac:dyDescent="0.25">
      <c r="C61" s="2" t="s">
        <v>11989</v>
      </c>
      <c r="D61" s="2" t="s">
        <v>122</v>
      </c>
      <c r="E61" s="2">
        <v>42</v>
      </c>
      <c r="F61" s="2">
        <v>840.37</v>
      </c>
    </row>
    <row r="62" spans="3:6" x14ac:dyDescent="0.25">
      <c r="C62" s="2" t="s">
        <v>11990</v>
      </c>
      <c r="D62" s="2" t="s">
        <v>122</v>
      </c>
      <c r="E62" s="2">
        <v>73</v>
      </c>
      <c r="F62" s="2">
        <v>1489.08</v>
      </c>
    </row>
    <row r="63" spans="3:6" x14ac:dyDescent="0.25">
      <c r="C63" s="2" t="s">
        <v>11991</v>
      </c>
      <c r="D63" s="2" t="s">
        <v>122</v>
      </c>
      <c r="E63" s="2">
        <v>26</v>
      </c>
      <c r="F63" s="2">
        <v>530.48</v>
      </c>
    </row>
    <row r="64" spans="3:6" x14ac:dyDescent="0.25">
      <c r="C64" s="2" t="s">
        <v>11992</v>
      </c>
      <c r="D64" s="2" t="s">
        <v>122</v>
      </c>
      <c r="E64" s="2">
        <v>14</v>
      </c>
      <c r="F64" s="2">
        <v>267.97</v>
      </c>
    </row>
    <row r="65" spans="3:6" x14ac:dyDescent="0.25">
      <c r="C65" s="2" t="s">
        <v>11993</v>
      </c>
      <c r="D65" s="2" t="s">
        <v>122</v>
      </c>
      <c r="E65" s="2">
        <v>13</v>
      </c>
      <c r="F65" s="2">
        <v>269.76</v>
      </c>
    </row>
    <row r="66" spans="3:6" x14ac:dyDescent="0.25">
      <c r="C66" s="2" t="s">
        <v>11994</v>
      </c>
      <c r="D66" s="2" t="s">
        <v>122</v>
      </c>
      <c r="E66" s="2">
        <v>24</v>
      </c>
      <c r="F66" s="2">
        <v>476.84</v>
      </c>
    </row>
    <row r="67" spans="3:6" x14ac:dyDescent="0.25">
      <c r="C67" s="2" t="s">
        <v>11995</v>
      </c>
      <c r="D67" s="2" t="s">
        <v>122</v>
      </c>
      <c r="E67" s="2">
        <v>69</v>
      </c>
      <c r="F67" s="2">
        <v>1402.039</v>
      </c>
    </row>
    <row r="68" spans="3:6" x14ac:dyDescent="0.25">
      <c r="C68" s="2" t="s">
        <v>11996</v>
      </c>
      <c r="D68" s="2" t="s">
        <v>122</v>
      </c>
      <c r="E68" s="2">
        <v>21</v>
      </c>
      <c r="F68" s="2">
        <v>426.64</v>
      </c>
    </row>
    <row r="69" spans="3:6" x14ac:dyDescent="0.25">
      <c r="C69" s="2" t="s">
        <v>11997</v>
      </c>
      <c r="D69" s="2" t="s">
        <v>122</v>
      </c>
      <c r="E69" s="2">
        <v>88</v>
      </c>
      <c r="F69" s="2">
        <v>1731.239</v>
      </c>
    </row>
    <row r="70" spans="3:6" x14ac:dyDescent="0.25">
      <c r="C70" s="2" t="s">
        <v>11998</v>
      </c>
      <c r="D70" s="2" t="s">
        <v>122</v>
      </c>
      <c r="E70" s="2">
        <v>32</v>
      </c>
      <c r="F70" s="2">
        <v>672.5</v>
      </c>
    </row>
    <row r="71" spans="3:6" x14ac:dyDescent="0.25">
      <c r="C71" s="2" t="s">
        <v>11999</v>
      </c>
      <c r="D71" s="2" t="s">
        <v>122</v>
      </c>
      <c r="E71" s="2">
        <v>23</v>
      </c>
      <c r="F71" s="2">
        <v>430.06</v>
      </c>
    </row>
    <row r="72" spans="3:6" x14ac:dyDescent="0.25">
      <c r="C72" s="2" t="s">
        <v>12000</v>
      </c>
      <c r="D72" s="2" t="s">
        <v>122</v>
      </c>
      <c r="E72" s="2">
        <v>143</v>
      </c>
      <c r="F72" s="2">
        <v>1134.355</v>
      </c>
    </row>
    <row r="73" spans="3:6" x14ac:dyDescent="0.25">
      <c r="C73" s="2" t="s">
        <v>12001</v>
      </c>
      <c r="D73" s="2" t="s">
        <v>122</v>
      </c>
      <c r="E73" s="2">
        <v>143</v>
      </c>
      <c r="F73" s="2">
        <v>1050.598</v>
      </c>
    </row>
    <row r="74" spans="3:6" x14ac:dyDescent="0.25">
      <c r="C74" s="2" t="s">
        <v>12002</v>
      </c>
      <c r="D74" s="2" t="s">
        <v>122</v>
      </c>
      <c r="E74" s="2">
        <v>35</v>
      </c>
      <c r="F74" s="2">
        <v>733.77</v>
      </c>
    </row>
    <row r="75" spans="3:6" x14ac:dyDescent="0.25">
      <c r="C75" s="2" t="s">
        <v>12003</v>
      </c>
      <c r="D75" s="2" t="s">
        <v>122</v>
      </c>
      <c r="E75" s="2">
        <v>36</v>
      </c>
      <c r="F75" s="2">
        <v>687.37</v>
      </c>
    </row>
    <row r="76" spans="3:6" x14ac:dyDescent="0.25">
      <c r="C76" s="2" t="s">
        <v>12004</v>
      </c>
      <c r="D76" s="2" t="s">
        <v>122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90</v>
      </c>
      <c r="C78" s="2" t="s">
        <v>12005</v>
      </c>
      <c r="D78" s="2" t="s">
        <v>9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12006</v>
      </c>
      <c r="D79" s="2" t="s">
        <v>9</v>
      </c>
      <c r="E79" s="2">
        <v>246</v>
      </c>
      <c r="F79" s="2">
        <v>5093.979</v>
      </c>
    </row>
    <row r="80" spans="3:6" x14ac:dyDescent="0.25">
      <c r="C80" s="2" t="s">
        <v>12007</v>
      </c>
      <c r="D80" s="2" t="s">
        <v>9</v>
      </c>
      <c r="E80" s="2">
        <v>141</v>
      </c>
      <c r="F80" s="2">
        <v>2910.16</v>
      </c>
    </row>
    <row r="81" spans="3:6" x14ac:dyDescent="0.25">
      <c r="C81" s="2" t="s">
        <v>12008</v>
      </c>
      <c r="D81" s="2" t="s">
        <v>9</v>
      </c>
      <c r="E81" s="2">
        <v>72</v>
      </c>
      <c r="F81" s="2">
        <v>1394.76</v>
      </c>
    </row>
    <row r="82" spans="3:6" x14ac:dyDescent="0.25">
      <c r="C82" s="2" t="s">
        <v>12009</v>
      </c>
      <c r="D82" s="2" t="s">
        <v>9</v>
      </c>
      <c r="E82" s="2">
        <v>69</v>
      </c>
      <c r="F82" s="2">
        <v>1374.24</v>
      </c>
    </row>
    <row r="83" spans="3:6" x14ac:dyDescent="0.25">
      <c r="C83" s="2" t="s">
        <v>12010</v>
      </c>
      <c r="D83" s="2" t="s">
        <v>9</v>
      </c>
      <c r="E83" s="2">
        <v>141</v>
      </c>
      <c r="F83" s="2">
        <v>2938.75</v>
      </c>
    </row>
    <row r="84" spans="3:6" x14ac:dyDescent="0.25">
      <c r="C84" s="2" t="s">
        <v>12011</v>
      </c>
      <c r="D84" s="2" t="s">
        <v>9</v>
      </c>
      <c r="E84" s="2">
        <v>102</v>
      </c>
      <c r="F84" s="2">
        <v>2104.119</v>
      </c>
    </row>
    <row r="85" spans="3:6" x14ac:dyDescent="0.25">
      <c r="C85" s="2" t="s">
        <v>12012</v>
      </c>
      <c r="D85" s="2" t="s">
        <v>9</v>
      </c>
      <c r="E85" s="2">
        <v>45</v>
      </c>
      <c r="F85" s="2">
        <v>190.77</v>
      </c>
    </row>
    <row r="86" spans="3:6" x14ac:dyDescent="0.25">
      <c r="C86" s="2" t="s">
        <v>12013</v>
      </c>
      <c r="D86" s="2" t="s">
        <v>9</v>
      </c>
      <c r="E86" s="2">
        <v>135</v>
      </c>
      <c r="F86" s="2">
        <v>2427.519</v>
      </c>
    </row>
    <row r="87" spans="3:6" x14ac:dyDescent="0.25">
      <c r="C87" s="2" t="s">
        <v>12014</v>
      </c>
      <c r="D87" s="2" t="s">
        <v>9</v>
      </c>
      <c r="E87" s="2">
        <v>102</v>
      </c>
      <c r="F87" s="2">
        <v>2066.759</v>
      </c>
    </row>
    <row r="88" spans="3:6" x14ac:dyDescent="0.25">
      <c r="C88" s="2" t="s">
        <v>12015</v>
      </c>
      <c r="D88" s="2" t="s">
        <v>9</v>
      </c>
      <c r="E88" s="2">
        <v>30</v>
      </c>
      <c r="F88" s="2">
        <v>128.79</v>
      </c>
    </row>
    <row r="89" spans="3:6" x14ac:dyDescent="0.25">
      <c r="C89" s="2" t="s">
        <v>12016</v>
      </c>
      <c r="D89" s="2" t="s">
        <v>9</v>
      </c>
      <c r="E89" s="2">
        <v>141</v>
      </c>
      <c r="F89" s="2">
        <v>2889.6</v>
      </c>
    </row>
    <row r="90" spans="3:6" x14ac:dyDescent="0.25">
      <c r="C90" s="2" t="s">
        <v>12017</v>
      </c>
      <c r="D90" s="2" t="s">
        <v>9</v>
      </c>
      <c r="E90" s="2">
        <v>141</v>
      </c>
      <c r="F90" s="2">
        <v>2872.14</v>
      </c>
    </row>
    <row r="91" spans="3:6" x14ac:dyDescent="0.25">
      <c r="C91" s="2" t="s">
        <v>12018</v>
      </c>
      <c r="D91" s="2" t="s">
        <v>9</v>
      </c>
      <c r="E91" s="2">
        <v>102</v>
      </c>
      <c r="F91" s="2">
        <v>2088.32</v>
      </c>
    </row>
    <row r="92" spans="3:6" x14ac:dyDescent="0.25">
      <c r="C92" s="2" t="s">
        <v>12019</v>
      </c>
      <c r="D92" s="2" t="s">
        <v>9</v>
      </c>
      <c r="E92" s="2">
        <v>102</v>
      </c>
      <c r="F92" s="2">
        <v>2087.2</v>
      </c>
    </row>
    <row r="93" spans="3:6" x14ac:dyDescent="0.25">
      <c r="C93" s="2" t="s">
        <v>12020</v>
      </c>
      <c r="D93" s="2" t="s">
        <v>9</v>
      </c>
      <c r="E93" s="2">
        <v>102</v>
      </c>
      <c r="F93" s="2">
        <v>1949.03</v>
      </c>
    </row>
    <row r="94" spans="3:6" x14ac:dyDescent="0.25">
      <c r="C94" s="2" t="s">
        <v>12021</v>
      </c>
      <c r="D94" s="2" t="s">
        <v>9</v>
      </c>
      <c r="E94" s="2">
        <v>102</v>
      </c>
      <c r="F94" s="2">
        <v>2031.6</v>
      </c>
    </row>
    <row r="95" spans="3:6" x14ac:dyDescent="0.25">
      <c r="C95" s="2" t="s">
        <v>12022</v>
      </c>
      <c r="D95" s="2" t="s">
        <v>9</v>
      </c>
      <c r="E95" s="2">
        <v>75</v>
      </c>
      <c r="F95" s="2">
        <v>1353.95</v>
      </c>
    </row>
    <row r="96" spans="3:6" x14ac:dyDescent="0.25">
      <c r="C96" s="2" t="s">
        <v>12023</v>
      </c>
      <c r="D96" s="2" t="s">
        <v>9</v>
      </c>
      <c r="E96" s="2">
        <v>27</v>
      </c>
      <c r="F96" s="2">
        <v>485.4</v>
      </c>
    </row>
    <row r="97" spans="3:6" x14ac:dyDescent="0.25">
      <c r="C97" s="2" t="s">
        <v>12024</v>
      </c>
      <c r="D97" s="2" t="s">
        <v>9</v>
      </c>
      <c r="E97" s="2">
        <v>141</v>
      </c>
      <c r="F97" s="2">
        <v>2817.94</v>
      </c>
    </row>
    <row r="98" spans="3:6" x14ac:dyDescent="0.25">
      <c r="C98" s="2" t="s">
        <v>12025</v>
      </c>
      <c r="D98" s="2" t="s">
        <v>9</v>
      </c>
      <c r="E98" s="2">
        <v>141</v>
      </c>
      <c r="F98" s="2">
        <v>2865.47</v>
      </c>
    </row>
    <row r="99" spans="3:6" x14ac:dyDescent="0.25">
      <c r="C99" s="2" t="s">
        <v>12026</v>
      </c>
      <c r="D99" s="2" t="s">
        <v>9</v>
      </c>
      <c r="E99" s="2">
        <v>141</v>
      </c>
      <c r="F99" s="2">
        <v>2845.26</v>
      </c>
    </row>
    <row r="100" spans="3:6" x14ac:dyDescent="0.25">
      <c r="C100" s="2" t="s">
        <v>12027</v>
      </c>
      <c r="D100" s="2" t="s">
        <v>9</v>
      </c>
      <c r="E100" s="2">
        <v>136</v>
      </c>
      <c r="F100" s="2">
        <v>591.339</v>
      </c>
    </row>
    <row r="101" spans="3:6" x14ac:dyDescent="0.25">
      <c r="C101" s="2" t="s">
        <v>12028</v>
      </c>
      <c r="D101" s="2" t="s">
        <v>9</v>
      </c>
      <c r="E101" s="2">
        <v>141</v>
      </c>
      <c r="F101" s="2">
        <v>2905.66</v>
      </c>
    </row>
    <row r="102" spans="3:6" x14ac:dyDescent="0.25">
      <c r="C102" s="2" t="s">
        <v>12029</v>
      </c>
      <c r="D102" s="2" t="s">
        <v>9</v>
      </c>
      <c r="E102" s="2">
        <v>141</v>
      </c>
      <c r="F102" s="2">
        <v>2900.55</v>
      </c>
    </row>
    <row r="103" spans="3:6" x14ac:dyDescent="0.25">
      <c r="C103" s="2" t="s">
        <v>12030</v>
      </c>
      <c r="D103" s="2" t="s">
        <v>9</v>
      </c>
      <c r="E103" s="2">
        <v>141</v>
      </c>
      <c r="F103" s="2">
        <v>2934.81</v>
      </c>
    </row>
    <row r="104" spans="3:6" x14ac:dyDescent="0.25">
      <c r="C104" s="2" t="s">
        <v>12031</v>
      </c>
      <c r="D104" s="2" t="s">
        <v>9</v>
      </c>
      <c r="E104" s="2">
        <v>141</v>
      </c>
      <c r="F104" s="2">
        <v>2844.739</v>
      </c>
    </row>
    <row r="105" spans="3:6" x14ac:dyDescent="0.25">
      <c r="C105" s="2" t="s">
        <v>12032</v>
      </c>
      <c r="D105" s="2" t="s">
        <v>9</v>
      </c>
      <c r="E105" s="2">
        <v>141</v>
      </c>
      <c r="F105" s="2">
        <v>2885</v>
      </c>
    </row>
    <row r="106" spans="3:6" x14ac:dyDescent="0.25">
      <c r="C106" s="2" t="s">
        <v>12033</v>
      </c>
      <c r="D106" s="2" t="s">
        <v>9</v>
      </c>
      <c r="E106" s="2">
        <v>28</v>
      </c>
      <c r="F106" s="2">
        <v>510.8</v>
      </c>
    </row>
    <row r="107" spans="3:6" x14ac:dyDescent="0.25">
      <c r="C107" s="2" t="s">
        <v>12034</v>
      </c>
      <c r="D107" s="2" t="s">
        <v>9</v>
      </c>
      <c r="E107" s="2">
        <v>44</v>
      </c>
      <c r="F107" s="2">
        <v>889.35</v>
      </c>
    </row>
    <row r="108" spans="3:6" x14ac:dyDescent="0.25">
      <c r="C108" s="2" t="s">
        <v>12035</v>
      </c>
      <c r="D108" s="2" t="s">
        <v>9</v>
      </c>
      <c r="E108" s="2">
        <v>3</v>
      </c>
      <c r="F108" s="2">
        <v>33.53</v>
      </c>
    </row>
    <row r="109" spans="3:6" x14ac:dyDescent="0.25">
      <c r="C109" s="2" t="s">
        <v>12036</v>
      </c>
      <c r="D109" s="2" t="s">
        <v>9</v>
      </c>
      <c r="E109" s="2">
        <v>20</v>
      </c>
      <c r="F109" s="2">
        <v>425.98</v>
      </c>
    </row>
    <row r="110" spans="3:6" x14ac:dyDescent="0.25">
      <c r="C110" s="2" t="s">
        <v>12037</v>
      </c>
      <c r="D110" s="2" t="s">
        <v>9</v>
      </c>
      <c r="E110" s="2">
        <v>29</v>
      </c>
      <c r="F110" s="2">
        <v>568.399</v>
      </c>
    </row>
    <row r="111" spans="3:6" x14ac:dyDescent="0.25">
      <c r="C111" s="2" t="s">
        <v>12038</v>
      </c>
      <c r="D111" s="2" t="s">
        <v>9</v>
      </c>
      <c r="E111" s="2">
        <v>22</v>
      </c>
      <c r="F111" s="2">
        <v>448.03</v>
      </c>
    </row>
    <row r="112" spans="3:6" x14ac:dyDescent="0.25">
      <c r="C112" s="2" t="s">
        <v>12039</v>
      </c>
      <c r="D112" s="2" t="s">
        <v>9</v>
      </c>
      <c r="E112" s="2">
        <v>70</v>
      </c>
      <c r="F112" s="2">
        <v>1341.78</v>
      </c>
    </row>
    <row r="113" spans="3:6" x14ac:dyDescent="0.25">
      <c r="C113" s="2" t="s">
        <v>12040</v>
      </c>
      <c r="D113" s="2" t="s">
        <v>9</v>
      </c>
      <c r="E113" s="2">
        <v>125</v>
      </c>
      <c r="F113" s="2">
        <v>2546.59</v>
      </c>
    </row>
    <row r="114" spans="3:6" x14ac:dyDescent="0.25">
      <c r="C114" s="2" t="s">
        <v>12041</v>
      </c>
      <c r="D114" s="2" t="s">
        <v>9</v>
      </c>
      <c r="E114" s="2">
        <v>16</v>
      </c>
      <c r="F114" s="2">
        <v>323.17</v>
      </c>
    </row>
    <row r="115" spans="3:6" x14ac:dyDescent="0.25">
      <c r="C115" s="2" t="s">
        <v>12042</v>
      </c>
      <c r="D115" s="2" t="s">
        <v>9</v>
      </c>
      <c r="E115" s="2">
        <v>33</v>
      </c>
      <c r="F115" s="2">
        <v>682.73</v>
      </c>
    </row>
    <row r="116" spans="3:6" x14ac:dyDescent="0.25">
      <c r="C116" s="2" t="s">
        <v>12043</v>
      </c>
      <c r="D116" s="2" t="s">
        <v>9</v>
      </c>
      <c r="E116" s="2">
        <v>44</v>
      </c>
      <c r="F116" s="2">
        <v>882.42</v>
      </c>
    </row>
    <row r="117" spans="3:6" x14ac:dyDescent="0.25">
      <c r="C117" s="2" t="s">
        <v>12044</v>
      </c>
      <c r="D117" s="2" t="s">
        <v>9</v>
      </c>
      <c r="E117" s="2">
        <v>64</v>
      </c>
      <c r="F117" s="2">
        <v>1276.268</v>
      </c>
    </row>
    <row r="118" spans="3:6" x14ac:dyDescent="0.25">
      <c r="C118" s="2" t="s">
        <v>12045</v>
      </c>
      <c r="D118" s="2" t="s">
        <v>9</v>
      </c>
      <c r="E118" s="2">
        <v>30</v>
      </c>
      <c r="F118" s="2">
        <v>630.03</v>
      </c>
    </row>
    <row r="119" spans="3:6" x14ac:dyDescent="0.25">
      <c r="C119" s="2" t="s">
        <v>12046</v>
      </c>
      <c r="D119" s="2" t="s">
        <v>9</v>
      </c>
      <c r="E119" s="2">
        <v>50</v>
      </c>
      <c r="F119" s="2">
        <v>992.48</v>
      </c>
    </row>
    <row r="120" spans="3:6" x14ac:dyDescent="0.25">
      <c r="C120" s="2" t="s">
        <v>12047</v>
      </c>
      <c r="D120" s="2" t="s">
        <v>9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10</v>
      </c>
      <c r="C122" s="2" t="s">
        <v>12048</v>
      </c>
      <c r="D122" s="2" t="s">
        <v>12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12049</v>
      </c>
      <c r="D123" s="2" t="s">
        <v>12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7022</v>
      </c>
      <c r="C125" s="2" t="s">
        <v>12050</v>
      </c>
      <c r="D125" s="2" t="s">
        <v>20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12051</v>
      </c>
      <c r="D126" s="2" t="s">
        <v>20</v>
      </c>
      <c r="E126" s="2">
        <v>268</v>
      </c>
      <c r="F126" s="2">
        <v>4989.13</v>
      </c>
    </row>
    <row r="127" spans="3:6" x14ac:dyDescent="0.25">
      <c r="C127" s="2" t="s">
        <v>12052</v>
      </c>
      <c r="D127" s="2" t="s">
        <v>20</v>
      </c>
      <c r="E127" s="2">
        <v>251</v>
      </c>
      <c r="F127" s="2">
        <v>4726.92</v>
      </c>
    </row>
    <row r="128" spans="3:6" x14ac:dyDescent="0.25">
      <c r="C128" s="2" t="s">
        <v>12053</v>
      </c>
      <c r="D128" s="2" t="s">
        <v>20</v>
      </c>
      <c r="E128" s="2">
        <v>293</v>
      </c>
      <c r="F128" s="2">
        <v>6122.89</v>
      </c>
    </row>
    <row r="129" spans="3:6" x14ac:dyDescent="0.25">
      <c r="C129" s="2" t="s">
        <v>12054</v>
      </c>
      <c r="D129" s="2" t="s">
        <v>20</v>
      </c>
      <c r="E129" s="2">
        <v>225</v>
      </c>
      <c r="F129" s="2">
        <v>4520.196</v>
      </c>
    </row>
    <row r="130" spans="3:6" x14ac:dyDescent="0.25">
      <c r="C130" s="2" t="s">
        <v>12055</v>
      </c>
      <c r="D130" s="2" t="s">
        <v>20</v>
      </c>
      <c r="E130" s="2">
        <v>102</v>
      </c>
      <c r="F130" s="2">
        <v>1990.76</v>
      </c>
    </row>
    <row r="131" spans="3:6" x14ac:dyDescent="0.25">
      <c r="C131" s="2" t="s">
        <v>12056</v>
      </c>
      <c r="D131" s="2" t="s">
        <v>20</v>
      </c>
      <c r="E131" s="2">
        <v>105</v>
      </c>
      <c r="F131" s="2">
        <v>2003.189</v>
      </c>
    </row>
    <row r="132" spans="3:6" x14ac:dyDescent="0.25">
      <c r="C132" s="2" t="s">
        <v>12057</v>
      </c>
      <c r="D132" s="2" t="s">
        <v>20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4182</v>
      </c>
      <c r="C134" s="2" t="s">
        <v>12058</v>
      </c>
      <c r="D134" s="2" t="s">
        <v>122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12059</v>
      </c>
      <c r="D135" s="2" t="s">
        <v>122</v>
      </c>
      <c r="E135" s="2">
        <v>121</v>
      </c>
      <c r="F135" s="2">
        <v>2527.29</v>
      </c>
    </row>
    <row r="136" spans="3:6" x14ac:dyDescent="0.25">
      <c r="C136" s="2" t="s">
        <v>12060</v>
      </c>
      <c r="D136" s="2" t="s">
        <v>122</v>
      </c>
      <c r="E136" s="2">
        <v>141</v>
      </c>
      <c r="F136" s="2">
        <v>2924.059</v>
      </c>
    </row>
    <row r="137" spans="3:6" x14ac:dyDescent="0.25">
      <c r="C137" s="2" t="s">
        <v>12061</v>
      </c>
      <c r="D137" s="2" t="s">
        <v>122</v>
      </c>
      <c r="E137" s="2">
        <v>72</v>
      </c>
      <c r="F137" s="2">
        <v>1393.709</v>
      </c>
    </row>
    <row r="138" spans="3:6" x14ac:dyDescent="0.25">
      <c r="C138" s="2" t="s">
        <v>12062</v>
      </c>
      <c r="D138" s="2" t="s">
        <v>122</v>
      </c>
      <c r="E138" s="2">
        <v>69</v>
      </c>
      <c r="F138" s="2">
        <v>1362.17</v>
      </c>
    </row>
    <row r="139" spans="3:6" x14ac:dyDescent="0.25">
      <c r="C139" s="2" t="s">
        <v>12063</v>
      </c>
      <c r="D139" s="2" t="s">
        <v>122</v>
      </c>
      <c r="E139" s="2">
        <v>100</v>
      </c>
      <c r="F139" s="2">
        <v>1960.567</v>
      </c>
    </row>
    <row r="140" spans="3:6" x14ac:dyDescent="0.25">
      <c r="C140" s="2" t="s">
        <v>12064</v>
      </c>
      <c r="D140" s="2" t="s">
        <v>122</v>
      </c>
      <c r="E140" s="2">
        <v>141</v>
      </c>
      <c r="F140" s="2">
        <v>2922.77</v>
      </c>
    </row>
    <row r="141" spans="3:6" x14ac:dyDescent="0.25">
      <c r="C141" s="2" t="s">
        <v>12065</v>
      </c>
      <c r="D141" s="2" t="s">
        <v>122</v>
      </c>
      <c r="E141" s="2">
        <v>141</v>
      </c>
      <c r="F141" s="2">
        <v>2978.39</v>
      </c>
    </row>
    <row r="142" spans="3:6" x14ac:dyDescent="0.25">
      <c r="C142" s="2" t="s">
        <v>12066</v>
      </c>
      <c r="D142" s="2" t="s">
        <v>122</v>
      </c>
      <c r="E142" s="2">
        <v>141</v>
      </c>
      <c r="F142" s="2">
        <v>2777.559</v>
      </c>
    </row>
    <row r="143" spans="3:6" x14ac:dyDescent="0.25">
      <c r="C143" s="2" t="s">
        <v>12067</v>
      </c>
      <c r="D143" s="2" t="s">
        <v>122</v>
      </c>
      <c r="E143" s="2">
        <v>70</v>
      </c>
      <c r="F143" s="2">
        <v>2465.82</v>
      </c>
    </row>
    <row r="144" spans="3:6" x14ac:dyDescent="0.25">
      <c r="C144" s="2" t="s">
        <v>12068</v>
      </c>
      <c r="D144" s="2" t="s">
        <v>122</v>
      </c>
      <c r="E144" s="2">
        <v>70</v>
      </c>
      <c r="F144" s="2">
        <v>2456.28</v>
      </c>
    </row>
    <row r="145" spans="3:6" x14ac:dyDescent="0.25">
      <c r="C145" s="2" t="s">
        <v>12069</v>
      </c>
      <c r="D145" s="2" t="s">
        <v>122</v>
      </c>
      <c r="E145" s="2">
        <v>100</v>
      </c>
      <c r="F145" s="2">
        <v>1894.189</v>
      </c>
    </row>
    <row r="146" spans="3:6" x14ac:dyDescent="0.25">
      <c r="C146" s="2" t="s">
        <v>12070</v>
      </c>
      <c r="D146" s="2" t="s">
        <v>122</v>
      </c>
      <c r="E146" s="2">
        <v>67</v>
      </c>
      <c r="F146" s="2">
        <v>1330.1</v>
      </c>
    </row>
    <row r="147" spans="3:6" x14ac:dyDescent="0.25">
      <c r="C147" s="2" t="s">
        <v>12071</v>
      </c>
      <c r="D147" s="2" t="s">
        <v>122</v>
      </c>
      <c r="E147" s="2">
        <v>33</v>
      </c>
      <c r="F147" s="2">
        <v>654.079</v>
      </c>
    </row>
    <row r="148" spans="3:6" x14ac:dyDescent="0.25">
      <c r="C148" s="2" t="s">
        <v>12072</v>
      </c>
      <c r="D148" s="2" t="s">
        <v>122</v>
      </c>
      <c r="E148" s="2">
        <v>62</v>
      </c>
      <c r="F148" s="2">
        <v>1288.4</v>
      </c>
    </row>
    <row r="149" spans="3:6" x14ac:dyDescent="0.25">
      <c r="C149" s="2" t="s">
        <v>12073</v>
      </c>
      <c r="D149" s="2" t="s">
        <v>122</v>
      </c>
      <c r="E149" s="2">
        <v>38</v>
      </c>
      <c r="F149" s="2">
        <v>804.65</v>
      </c>
    </row>
    <row r="150" spans="3:6" x14ac:dyDescent="0.25">
      <c r="C150" s="2" t="s">
        <v>12074</v>
      </c>
      <c r="D150" s="2" t="s">
        <v>122</v>
      </c>
      <c r="E150" s="2">
        <v>57</v>
      </c>
      <c r="F150" s="2">
        <v>1156.51</v>
      </c>
    </row>
    <row r="151" spans="3:6" x14ac:dyDescent="0.25">
      <c r="C151" s="2" t="s">
        <v>12075</v>
      </c>
      <c r="D151" s="2" t="s">
        <v>122</v>
      </c>
      <c r="E151" s="2">
        <v>43</v>
      </c>
      <c r="F151" s="2">
        <v>806.53</v>
      </c>
    </row>
    <row r="152" spans="3:6" x14ac:dyDescent="0.25">
      <c r="C152" s="2" t="s">
        <v>12076</v>
      </c>
      <c r="D152" s="2" t="s">
        <v>122</v>
      </c>
      <c r="E152" s="2">
        <v>141</v>
      </c>
      <c r="F152" s="2">
        <v>2929.17</v>
      </c>
    </row>
    <row r="153" spans="3:6" x14ac:dyDescent="0.25">
      <c r="C153" s="2" t="s">
        <v>12077</v>
      </c>
      <c r="D153" s="2" t="s">
        <v>122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324</v>
      </c>
      <c r="C155" s="2" t="s">
        <v>12078</v>
      </c>
      <c r="D155" s="2" t="s">
        <v>27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12079</v>
      </c>
      <c r="D156" s="2" t="s">
        <v>27</v>
      </c>
      <c r="E156" s="2">
        <v>96</v>
      </c>
      <c r="F156" s="2">
        <v>1833.02</v>
      </c>
    </row>
    <row r="157" spans="3:6" x14ac:dyDescent="0.25">
      <c r="C157" s="2" t="s">
        <v>12080</v>
      </c>
      <c r="D157" s="2" t="s">
        <v>27</v>
      </c>
      <c r="E157" s="2">
        <v>55</v>
      </c>
      <c r="F157" s="2">
        <v>980.59</v>
      </c>
    </row>
    <row r="158" spans="3:6" x14ac:dyDescent="0.25">
      <c r="C158" s="2" t="s">
        <v>12081</v>
      </c>
      <c r="D158" s="2" t="s">
        <v>27</v>
      </c>
      <c r="E158" s="2">
        <v>32</v>
      </c>
      <c r="F158" s="2">
        <v>579.72</v>
      </c>
    </row>
    <row r="159" spans="3:6" x14ac:dyDescent="0.25">
      <c r="C159" s="2" t="s">
        <v>12082</v>
      </c>
      <c r="D159" s="2" t="s">
        <v>27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8925</v>
      </c>
      <c r="C161" s="2" t="s">
        <v>12083</v>
      </c>
      <c r="D161" s="2" t="s">
        <v>122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12084</v>
      </c>
      <c r="D162" s="2" t="s">
        <v>122</v>
      </c>
      <c r="E162" s="2">
        <v>123</v>
      </c>
      <c r="F162" s="2">
        <v>2275.688</v>
      </c>
    </row>
    <row r="163" spans="3:6" x14ac:dyDescent="0.25">
      <c r="C163" s="2" t="s">
        <v>12085</v>
      </c>
      <c r="D163" s="2" t="s">
        <v>122</v>
      </c>
      <c r="E163" s="2">
        <v>134</v>
      </c>
      <c r="F163" s="2">
        <v>2758.22</v>
      </c>
    </row>
    <row r="164" spans="3:6" x14ac:dyDescent="0.25">
      <c r="C164" s="2" t="s">
        <v>12086</v>
      </c>
      <c r="D164" s="2" t="s">
        <v>122</v>
      </c>
      <c r="E164" s="2">
        <v>75</v>
      </c>
      <c r="F164" s="2">
        <v>1415.87</v>
      </c>
    </row>
    <row r="165" spans="3:6" x14ac:dyDescent="0.25">
      <c r="C165" s="2" t="s">
        <v>12087</v>
      </c>
      <c r="D165" s="2" t="s">
        <v>122</v>
      </c>
      <c r="E165" s="2">
        <v>57</v>
      </c>
      <c r="F165" s="2">
        <v>1183.57</v>
      </c>
    </row>
    <row r="166" spans="3:6" x14ac:dyDescent="0.25">
      <c r="C166" s="2" t="s">
        <v>12088</v>
      </c>
      <c r="D166" s="2" t="s">
        <v>122</v>
      </c>
      <c r="E166" s="2">
        <v>99</v>
      </c>
      <c r="F166" s="2">
        <v>2052.19</v>
      </c>
    </row>
    <row r="167" spans="3:6" x14ac:dyDescent="0.25">
      <c r="C167" s="2" t="s">
        <v>12089</v>
      </c>
      <c r="D167" s="2" t="s">
        <v>122</v>
      </c>
      <c r="E167" s="2">
        <v>48</v>
      </c>
      <c r="F167" s="2">
        <v>953.8</v>
      </c>
    </row>
    <row r="168" spans="3:6" x14ac:dyDescent="0.25">
      <c r="C168" s="2" t="s">
        <v>12090</v>
      </c>
      <c r="D168" s="2" t="s">
        <v>122</v>
      </c>
      <c r="E168" s="2">
        <v>102</v>
      </c>
      <c r="F168" s="2">
        <v>1931.02</v>
      </c>
    </row>
    <row r="169" spans="3:6" x14ac:dyDescent="0.25">
      <c r="C169" s="2" t="s">
        <v>12091</v>
      </c>
      <c r="D169" s="2" t="s">
        <v>122</v>
      </c>
      <c r="E169" s="2">
        <v>76</v>
      </c>
      <c r="F169" s="2">
        <v>1566.149</v>
      </c>
    </row>
    <row r="170" spans="3:6" x14ac:dyDescent="0.25">
      <c r="C170" s="2" t="s">
        <v>12092</v>
      </c>
      <c r="D170" s="2" t="s">
        <v>122</v>
      </c>
      <c r="E170" s="2">
        <v>26</v>
      </c>
      <c r="F170" s="2">
        <v>529.81</v>
      </c>
    </row>
    <row r="171" spans="3:6" x14ac:dyDescent="0.25">
      <c r="C171" s="2" t="s">
        <v>12093</v>
      </c>
      <c r="D171" s="2" t="s">
        <v>122</v>
      </c>
      <c r="E171" s="2">
        <v>121</v>
      </c>
      <c r="F171" s="2">
        <v>2406.38</v>
      </c>
    </row>
    <row r="172" spans="3:6" x14ac:dyDescent="0.25">
      <c r="C172" s="2" t="s">
        <v>12094</v>
      </c>
      <c r="D172" s="2" t="s">
        <v>122</v>
      </c>
      <c r="E172" s="2">
        <v>141</v>
      </c>
      <c r="F172" s="2">
        <v>2921.01</v>
      </c>
    </row>
    <row r="173" spans="3:6" x14ac:dyDescent="0.25">
      <c r="C173" s="2" t="s">
        <v>12095</v>
      </c>
      <c r="D173" s="2" t="s">
        <v>122</v>
      </c>
      <c r="E173" s="2">
        <v>141</v>
      </c>
      <c r="F173" s="2">
        <v>2870.459</v>
      </c>
    </row>
    <row r="174" spans="3:6" x14ac:dyDescent="0.25">
      <c r="C174" s="2" t="s">
        <v>12096</v>
      </c>
      <c r="D174" s="2" t="s">
        <v>122</v>
      </c>
      <c r="E174" s="2">
        <v>100</v>
      </c>
      <c r="F174" s="2">
        <v>307.65</v>
      </c>
    </row>
    <row r="175" spans="3:6" x14ac:dyDescent="0.25">
      <c r="C175" s="2" t="s">
        <v>12097</v>
      </c>
      <c r="D175" s="2" t="s">
        <v>122</v>
      </c>
      <c r="E175" s="2">
        <v>74</v>
      </c>
      <c r="F175" s="2">
        <v>1479.709</v>
      </c>
    </row>
    <row r="176" spans="3:6" x14ac:dyDescent="0.25">
      <c r="C176" s="2" t="s">
        <v>12098</v>
      </c>
      <c r="D176" s="2" t="s">
        <v>122</v>
      </c>
      <c r="E176" s="2">
        <v>47</v>
      </c>
      <c r="F176" s="2">
        <v>939.07</v>
      </c>
    </row>
    <row r="177" spans="3:6" x14ac:dyDescent="0.25">
      <c r="C177" s="2" t="s">
        <v>12099</v>
      </c>
      <c r="D177" s="2" t="s">
        <v>122</v>
      </c>
      <c r="E177" s="2">
        <v>141</v>
      </c>
      <c r="F177" s="2">
        <v>2819.24</v>
      </c>
    </row>
    <row r="178" spans="3:6" x14ac:dyDescent="0.25">
      <c r="C178" s="2" t="s">
        <v>12100</v>
      </c>
      <c r="D178" s="2" t="s">
        <v>122</v>
      </c>
      <c r="E178" s="2">
        <v>141</v>
      </c>
      <c r="F178" s="2">
        <v>2672.209</v>
      </c>
    </row>
    <row r="179" spans="3:6" x14ac:dyDescent="0.25">
      <c r="C179" s="2" t="s">
        <v>12101</v>
      </c>
      <c r="D179" s="2" t="s">
        <v>122</v>
      </c>
      <c r="E179" s="2">
        <v>77</v>
      </c>
      <c r="F179" s="2">
        <v>1533.3</v>
      </c>
    </row>
    <row r="180" spans="3:6" x14ac:dyDescent="0.25">
      <c r="C180" s="2" t="s">
        <v>12102</v>
      </c>
      <c r="D180" s="2" t="s">
        <v>122</v>
      </c>
      <c r="E180" s="2">
        <v>48</v>
      </c>
      <c r="F180" s="2">
        <v>951.87</v>
      </c>
    </row>
    <row r="181" spans="3:6" x14ac:dyDescent="0.25">
      <c r="C181" s="2" t="s">
        <v>12103</v>
      </c>
      <c r="D181" s="2" t="s">
        <v>122</v>
      </c>
      <c r="E181" s="2">
        <v>16</v>
      </c>
      <c r="F181" s="2">
        <v>302.329</v>
      </c>
    </row>
    <row r="182" spans="3:6" x14ac:dyDescent="0.25">
      <c r="C182" s="2" t="s">
        <v>12104</v>
      </c>
      <c r="D182" s="2" t="s">
        <v>122</v>
      </c>
      <c r="E182" s="2">
        <v>27</v>
      </c>
      <c r="F182" s="2">
        <v>557.53</v>
      </c>
    </row>
    <row r="183" spans="3:6" x14ac:dyDescent="0.25">
      <c r="C183" s="2" t="s">
        <v>12105</v>
      </c>
      <c r="D183" s="2" t="s">
        <v>122</v>
      </c>
      <c r="E183" s="2">
        <v>57</v>
      </c>
      <c r="F183" s="2">
        <v>1032.94</v>
      </c>
    </row>
    <row r="184" spans="3:6" x14ac:dyDescent="0.25">
      <c r="C184" s="2" t="s">
        <v>12106</v>
      </c>
      <c r="D184" s="2" t="s">
        <v>122</v>
      </c>
      <c r="E184" s="2">
        <v>57</v>
      </c>
      <c r="F184" s="2">
        <v>1157.72</v>
      </c>
    </row>
    <row r="185" spans="3:6" x14ac:dyDescent="0.25">
      <c r="C185" s="2" t="s">
        <v>12107</v>
      </c>
      <c r="D185" s="2" t="s">
        <v>122</v>
      </c>
      <c r="E185" s="2">
        <v>100</v>
      </c>
      <c r="F185" s="2">
        <v>1908.849</v>
      </c>
    </row>
    <row r="186" spans="3:6" x14ac:dyDescent="0.25">
      <c r="C186" s="2" t="s">
        <v>12108</v>
      </c>
      <c r="D186" s="2" t="s">
        <v>122</v>
      </c>
      <c r="E186" s="2">
        <v>43</v>
      </c>
      <c r="F186" s="2">
        <v>873.89</v>
      </c>
    </row>
    <row r="187" spans="3:6" x14ac:dyDescent="0.25">
      <c r="C187" s="2" t="s">
        <v>12109</v>
      </c>
      <c r="D187" s="2" t="s">
        <v>122</v>
      </c>
      <c r="E187" s="2">
        <v>128</v>
      </c>
      <c r="F187" s="2">
        <v>2630.83</v>
      </c>
    </row>
    <row r="188" spans="3:6" x14ac:dyDescent="0.25">
      <c r="C188" s="2" t="s">
        <v>12110</v>
      </c>
      <c r="D188" s="2" t="s">
        <v>122</v>
      </c>
      <c r="E188" s="2">
        <v>15</v>
      </c>
      <c r="F188" s="2">
        <v>319.5</v>
      </c>
    </row>
    <row r="189" spans="3:6" x14ac:dyDescent="0.25">
      <c r="C189" s="2" t="s">
        <v>12111</v>
      </c>
      <c r="D189" s="2" t="s">
        <v>122</v>
      </c>
      <c r="E189" s="2">
        <v>130</v>
      </c>
      <c r="F189" s="2">
        <v>2676.99</v>
      </c>
    </row>
    <row r="190" spans="3:6" x14ac:dyDescent="0.25">
      <c r="C190" s="2" t="s">
        <v>12112</v>
      </c>
      <c r="D190" s="2" t="s">
        <v>122</v>
      </c>
      <c r="E190" s="2">
        <v>13</v>
      </c>
      <c r="F190" s="2">
        <v>279.35</v>
      </c>
    </row>
    <row r="191" spans="3:6" x14ac:dyDescent="0.25">
      <c r="C191" s="2" t="s">
        <v>12113</v>
      </c>
      <c r="D191" s="2" t="s">
        <v>122</v>
      </c>
      <c r="E191" s="2">
        <v>107</v>
      </c>
      <c r="F191" s="2">
        <v>2136.29</v>
      </c>
    </row>
    <row r="192" spans="3:6" x14ac:dyDescent="0.25">
      <c r="C192" s="2" t="s">
        <v>12114</v>
      </c>
      <c r="D192" s="2" t="s">
        <v>122</v>
      </c>
      <c r="E192" s="2">
        <v>18</v>
      </c>
      <c r="F192" s="2">
        <v>365.46</v>
      </c>
    </row>
    <row r="193" spans="3:6" x14ac:dyDescent="0.25">
      <c r="C193" s="2" t="s">
        <v>12115</v>
      </c>
      <c r="D193" s="2" t="s">
        <v>122</v>
      </c>
      <c r="E193" s="2">
        <v>18</v>
      </c>
      <c r="F193" s="2">
        <v>329.27</v>
      </c>
    </row>
    <row r="194" spans="3:6" x14ac:dyDescent="0.25">
      <c r="C194" s="2" t="s">
        <v>12116</v>
      </c>
      <c r="D194" s="2" t="s">
        <v>122</v>
      </c>
      <c r="E194" s="2">
        <v>83</v>
      </c>
      <c r="F194" s="2">
        <v>1683.43</v>
      </c>
    </row>
    <row r="195" spans="3:6" x14ac:dyDescent="0.25">
      <c r="C195" s="2" t="s">
        <v>12117</v>
      </c>
      <c r="D195" s="2" t="s">
        <v>122</v>
      </c>
      <c r="E195" s="2">
        <v>26</v>
      </c>
      <c r="F195" s="2">
        <v>510.13</v>
      </c>
    </row>
    <row r="196" spans="3:6" x14ac:dyDescent="0.25">
      <c r="C196" s="2" t="s">
        <v>12118</v>
      </c>
      <c r="D196" s="2" t="s">
        <v>122</v>
      </c>
      <c r="E196" s="2">
        <v>34</v>
      </c>
      <c r="F196" s="2">
        <v>665.42</v>
      </c>
    </row>
    <row r="197" spans="3:6" x14ac:dyDescent="0.25">
      <c r="C197" s="2" t="s">
        <v>12119</v>
      </c>
      <c r="D197" s="2" t="s">
        <v>122</v>
      </c>
      <c r="E197" s="2">
        <v>71</v>
      </c>
      <c r="F197" s="2">
        <v>1450.95</v>
      </c>
    </row>
    <row r="198" spans="3:6" x14ac:dyDescent="0.25">
      <c r="C198" s="2" t="s">
        <v>12120</v>
      </c>
      <c r="D198" s="2" t="s">
        <v>122</v>
      </c>
      <c r="E198" s="2">
        <v>42</v>
      </c>
      <c r="F198" s="2">
        <v>892.58</v>
      </c>
    </row>
    <row r="199" spans="3:6" x14ac:dyDescent="0.25">
      <c r="C199" s="2" t="s">
        <v>12121</v>
      </c>
      <c r="D199" s="2" t="s">
        <v>122</v>
      </c>
      <c r="E199" s="2">
        <v>30</v>
      </c>
      <c r="F199" s="2">
        <v>604.08</v>
      </c>
    </row>
    <row r="200" spans="3:6" x14ac:dyDescent="0.25">
      <c r="C200" s="2" t="s">
        <v>12122</v>
      </c>
      <c r="D200" s="2" t="s">
        <v>122</v>
      </c>
      <c r="E200" s="2">
        <v>23</v>
      </c>
      <c r="F200" s="2">
        <v>504.16</v>
      </c>
    </row>
    <row r="201" spans="3:6" x14ac:dyDescent="0.25">
      <c r="C201" s="2" t="s">
        <v>12123</v>
      </c>
      <c r="D201" s="2" t="s">
        <v>122</v>
      </c>
      <c r="E201" s="2">
        <v>19</v>
      </c>
      <c r="F201" s="2">
        <v>379.44</v>
      </c>
    </row>
    <row r="202" spans="3:6" x14ac:dyDescent="0.25">
      <c r="C202" s="2" t="s">
        <v>12124</v>
      </c>
      <c r="D202" s="2" t="s">
        <v>122</v>
      </c>
      <c r="E202" s="2">
        <v>25</v>
      </c>
      <c r="F202" s="2">
        <v>514.23</v>
      </c>
    </row>
    <row r="203" spans="3:6" x14ac:dyDescent="0.25">
      <c r="C203" s="2" t="s">
        <v>12125</v>
      </c>
      <c r="D203" s="2" t="s">
        <v>122</v>
      </c>
      <c r="E203" s="2">
        <v>41</v>
      </c>
      <c r="F203" s="2">
        <v>763.31</v>
      </c>
    </row>
    <row r="204" spans="3:6" x14ac:dyDescent="0.25">
      <c r="C204" s="2" t="s">
        <v>12126</v>
      </c>
      <c r="D204" s="2" t="s">
        <v>122</v>
      </c>
      <c r="E204" s="2">
        <v>35</v>
      </c>
      <c r="F204" s="2">
        <v>696.53</v>
      </c>
    </row>
    <row r="205" spans="3:6" x14ac:dyDescent="0.25">
      <c r="C205" s="2" t="s">
        <v>12127</v>
      </c>
      <c r="D205" s="2" t="s">
        <v>122</v>
      </c>
      <c r="E205" s="2">
        <v>34</v>
      </c>
      <c r="F205" s="2">
        <v>697.06</v>
      </c>
    </row>
    <row r="206" spans="3:6" x14ac:dyDescent="0.25">
      <c r="C206" s="2" t="s">
        <v>12128</v>
      </c>
      <c r="D206" s="2" t="s">
        <v>122</v>
      </c>
      <c r="E206" s="2">
        <v>35</v>
      </c>
      <c r="F206" s="2">
        <v>686.439</v>
      </c>
    </row>
    <row r="207" spans="3:6" x14ac:dyDescent="0.25">
      <c r="C207" s="2" t="s">
        <v>12129</v>
      </c>
      <c r="D207" s="2" t="s">
        <v>122</v>
      </c>
      <c r="E207" s="2">
        <v>33</v>
      </c>
      <c r="F207" s="2">
        <v>697.579</v>
      </c>
    </row>
    <row r="208" spans="3:6" x14ac:dyDescent="0.25">
      <c r="C208" s="2" t="s">
        <v>12130</v>
      </c>
      <c r="D208" s="2" t="s">
        <v>122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10</v>
      </c>
      <c r="C210" s="2" t="s">
        <v>12131</v>
      </c>
      <c r="D210" s="2" t="s">
        <v>12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12132</v>
      </c>
      <c r="D211" s="2" t="s">
        <v>12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453</v>
      </c>
      <c r="C213" s="2" t="s">
        <v>12133</v>
      </c>
      <c r="D213" s="2" t="s">
        <v>204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12134</v>
      </c>
      <c r="D214" s="2" t="s">
        <v>204</v>
      </c>
      <c r="E214" s="2">
        <v>105</v>
      </c>
      <c r="F214" s="2">
        <v>0</v>
      </c>
    </row>
    <row r="215" spans="3:6" x14ac:dyDescent="0.25">
      <c r="C215" s="2" t="s">
        <v>12135</v>
      </c>
      <c r="D215" s="2" t="s">
        <v>204</v>
      </c>
      <c r="E215" s="2">
        <v>105</v>
      </c>
      <c r="F215" s="2">
        <v>0</v>
      </c>
    </row>
    <row r="216" spans="3:6" x14ac:dyDescent="0.25">
      <c r="C216" s="2" t="s">
        <v>12136</v>
      </c>
      <c r="D216" s="2" t="s">
        <v>204</v>
      </c>
      <c r="E216" s="2">
        <v>156</v>
      </c>
      <c r="F216" s="2">
        <v>3051.929</v>
      </c>
    </row>
    <row r="217" spans="3:6" x14ac:dyDescent="0.25">
      <c r="C217" s="2" t="s">
        <v>12137</v>
      </c>
      <c r="D217" s="2" t="s">
        <v>204</v>
      </c>
      <c r="E217" s="2">
        <v>156</v>
      </c>
      <c r="F217" s="2">
        <v>3101.799</v>
      </c>
    </row>
    <row r="218" spans="3:6" x14ac:dyDescent="0.25">
      <c r="C218" s="2" t="s">
        <v>12138</v>
      </c>
      <c r="D218" s="2" t="s">
        <v>204</v>
      </c>
      <c r="E218" s="2">
        <v>146</v>
      </c>
      <c r="F218" s="2">
        <v>2626.027</v>
      </c>
    </row>
    <row r="219" spans="3:6" x14ac:dyDescent="0.25">
      <c r="C219" s="2" t="s">
        <v>12139</v>
      </c>
      <c r="D219" s="2" t="s">
        <v>204</v>
      </c>
      <c r="E219" s="2">
        <v>18</v>
      </c>
      <c r="F219" s="2">
        <v>0</v>
      </c>
    </row>
    <row r="220" spans="3:6" x14ac:dyDescent="0.25">
      <c r="C220" s="2" t="s">
        <v>12140</v>
      </c>
      <c r="D220" s="2" t="s">
        <v>204</v>
      </c>
      <c r="E220" s="2">
        <v>133</v>
      </c>
      <c r="F220" s="2">
        <v>2642.979</v>
      </c>
    </row>
    <row r="221" spans="3:6" x14ac:dyDescent="0.25">
      <c r="C221" s="2" t="s">
        <v>12141</v>
      </c>
      <c r="D221" s="2" t="s">
        <v>204</v>
      </c>
      <c r="E221" s="2">
        <v>23</v>
      </c>
      <c r="F221" s="2">
        <v>0</v>
      </c>
    </row>
    <row r="222" spans="3:6" x14ac:dyDescent="0.25">
      <c r="C222" s="2" t="s">
        <v>12142</v>
      </c>
      <c r="D222" s="2" t="s">
        <v>204</v>
      </c>
      <c r="E222" s="2">
        <v>156</v>
      </c>
      <c r="F222" s="2">
        <v>3196.45</v>
      </c>
    </row>
    <row r="223" spans="3:6" x14ac:dyDescent="0.25">
      <c r="C223" s="2" t="s">
        <v>12143</v>
      </c>
      <c r="D223" s="2" t="s">
        <v>204</v>
      </c>
      <c r="E223" s="2">
        <v>156</v>
      </c>
      <c r="F223" s="2">
        <v>3103.41</v>
      </c>
    </row>
    <row r="224" spans="3:6" x14ac:dyDescent="0.25">
      <c r="C224" s="2" t="s">
        <v>12144</v>
      </c>
      <c r="D224" s="2" t="s">
        <v>204</v>
      </c>
      <c r="E224" s="2">
        <v>105</v>
      </c>
      <c r="F224" s="2">
        <v>2075.59</v>
      </c>
    </row>
    <row r="225" spans="3:6" x14ac:dyDescent="0.25">
      <c r="C225" s="2" t="s">
        <v>12145</v>
      </c>
      <c r="D225" s="2" t="s">
        <v>204</v>
      </c>
      <c r="E225" s="2">
        <v>156</v>
      </c>
      <c r="F225" s="2">
        <v>3065.528</v>
      </c>
    </row>
    <row r="226" spans="3:6" x14ac:dyDescent="0.25">
      <c r="C226" s="2" t="s">
        <v>12146</v>
      </c>
      <c r="D226" s="2" t="s">
        <v>214</v>
      </c>
      <c r="E226" s="2">
        <v>156</v>
      </c>
      <c r="F226" s="2">
        <v>3126.876</v>
      </c>
    </row>
    <row r="227" spans="3:6" x14ac:dyDescent="0.25">
      <c r="C227" s="2" t="s">
        <v>12147</v>
      </c>
      <c r="D227" s="2" t="s">
        <v>216</v>
      </c>
      <c r="E227" s="2">
        <v>134</v>
      </c>
      <c r="F227" s="2">
        <v>2750.109</v>
      </c>
    </row>
    <row r="228" spans="3:6" x14ac:dyDescent="0.25">
      <c r="C228" s="2" t="s">
        <v>12148</v>
      </c>
      <c r="D228" s="2" t="s">
        <v>216</v>
      </c>
      <c r="E228" s="2">
        <v>134</v>
      </c>
      <c r="F228" s="2">
        <v>2725.72</v>
      </c>
    </row>
    <row r="229" spans="3:6" x14ac:dyDescent="0.25">
      <c r="C229" s="2" t="s">
        <v>12149</v>
      </c>
      <c r="D229" s="2" t="s">
        <v>216</v>
      </c>
      <c r="E229" s="2">
        <v>134</v>
      </c>
      <c r="F229" s="2">
        <v>2769.84</v>
      </c>
    </row>
    <row r="230" spans="3:6" x14ac:dyDescent="0.25">
      <c r="C230" s="2" t="s">
        <v>12150</v>
      </c>
      <c r="D230" s="2" t="s">
        <v>216</v>
      </c>
      <c r="E230" s="2">
        <v>134</v>
      </c>
      <c r="F230" s="2">
        <v>2820.7</v>
      </c>
    </row>
    <row r="231" spans="3:6" x14ac:dyDescent="0.25">
      <c r="C231" s="2" t="s">
        <v>12151</v>
      </c>
      <c r="D231" s="2" t="s">
        <v>216</v>
      </c>
      <c r="E231" s="2">
        <v>134</v>
      </c>
      <c r="F231" s="2">
        <v>2712.17</v>
      </c>
    </row>
    <row r="232" spans="3:6" x14ac:dyDescent="0.25">
      <c r="C232" s="2" t="s">
        <v>12152</v>
      </c>
      <c r="D232" s="2" t="s">
        <v>216</v>
      </c>
      <c r="E232" s="2">
        <v>134</v>
      </c>
      <c r="F232" s="2">
        <v>2566.799</v>
      </c>
    </row>
    <row r="233" spans="3:6" x14ac:dyDescent="0.25">
      <c r="C233" s="2" t="s">
        <v>12153</v>
      </c>
      <c r="D233" s="2" t="s">
        <v>216</v>
      </c>
      <c r="E233" s="2">
        <v>61</v>
      </c>
      <c r="F233" s="2">
        <v>1123.34</v>
      </c>
    </row>
    <row r="234" spans="3:6" x14ac:dyDescent="0.25">
      <c r="C234" s="2" t="s">
        <v>12154</v>
      </c>
      <c r="D234" s="2" t="s">
        <v>216</v>
      </c>
      <c r="E234" s="2">
        <v>35</v>
      </c>
      <c r="F234" s="2">
        <v>693.188</v>
      </c>
    </row>
    <row r="235" spans="3:6" x14ac:dyDescent="0.25">
      <c r="C235" s="2" t="s">
        <v>12155</v>
      </c>
      <c r="D235" s="2" t="s">
        <v>347</v>
      </c>
      <c r="E235" s="2">
        <v>39</v>
      </c>
      <c r="F235" s="2">
        <v>745.938</v>
      </c>
    </row>
    <row r="236" spans="3:6" x14ac:dyDescent="0.25">
      <c r="C236" s="2" t="s">
        <v>12156</v>
      </c>
      <c r="D236" s="2" t="s">
        <v>347</v>
      </c>
      <c r="E236" s="2">
        <v>100</v>
      </c>
      <c r="F236" s="2">
        <v>1956.66</v>
      </c>
    </row>
    <row r="237" spans="3:6" x14ac:dyDescent="0.25">
      <c r="C237" s="2" t="s">
        <v>12157</v>
      </c>
      <c r="D237" s="2" t="s">
        <v>347</v>
      </c>
      <c r="E237" s="2">
        <v>17</v>
      </c>
      <c r="F237" s="2">
        <v>324.83</v>
      </c>
    </row>
    <row r="238" spans="3:6" x14ac:dyDescent="0.25">
      <c r="C238" s="2" t="s">
        <v>12158</v>
      </c>
      <c r="D238" s="2" t="s">
        <v>236</v>
      </c>
      <c r="E238" s="2">
        <v>7</v>
      </c>
      <c r="F238" s="2">
        <v>0</v>
      </c>
    </row>
    <row r="239" spans="3:6" x14ac:dyDescent="0.25">
      <c r="C239" s="2" t="s">
        <v>12159</v>
      </c>
      <c r="D239" s="2" t="s">
        <v>236</v>
      </c>
      <c r="E239" s="2">
        <v>80</v>
      </c>
      <c r="F239" s="2">
        <v>1585.44</v>
      </c>
    </row>
    <row r="240" spans="3:6" x14ac:dyDescent="0.25">
      <c r="C240" s="2" t="s">
        <v>12160</v>
      </c>
      <c r="D240" s="2" t="s">
        <v>236</v>
      </c>
      <c r="E240" s="2">
        <v>36</v>
      </c>
      <c r="F240" s="2">
        <v>689.09</v>
      </c>
    </row>
    <row r="241" spans="3:6" x14ac:dyDescent="0.25">
      <c r="C241" s="2" t="s">
        <v>12161</v>
      </c>
      <c r="D241" s="2" t="s">
        <v>236</v>
      </c>
      <c r="E241" s="2">
        <v>33</v>
      </c>
      <c r="F241" s="2">
        <v>617.97</v>
      </c>
    </row>
    <row r="242" spans="3:6" x14ac:dyDescent="0.25">
      <c r="C242" s="2" t="s">
        <v>12162</v>
      </c>
      <c r="D242" s="2" t="s">
        <v>236</v>
      </c>
      <c r="E242" s="2">
        <v>45</v>
      </c>
      <c r="F242" s="2">
        <v>869.95</v>
      </c>
    </row>
    <row r="243" spans="3:6" x14ac:dyDescent="0.25">
      <c r="C243" s="2" t="s">
        <v>12163</v>
      </c>
      <c r="D243" s="2" t="s">
        <v>236</v>
      </c>
      <c r="E243" s="2">
        <v>60</v>
      </c>
      <c r="F243" s="2">
        <v>1102.01</v>
      </c>
    </row>
    <row r="244" spans="3:6" x14ac:dyDescent="0.25">
      <c r="C244" s="2" t="s">
        <v>12164</v>
      </c>
      <c r="D244" s="2" t="s">
        <v>342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2380</v>
      </c>
      <c r="C246" s="2" t="s">
        <v>12165</v>
      </c>
      <c r="D246" s="2" t="s">
        <v>27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12166</v>
      </c>
      <c r="D247" s="2" t="s">
        <v>27</v>
      </c>
      <c r="E247" s="2">
        <v>63</v>
      </c>
      <c r="F247" s="2">
        <v>1250.41</v>
      </c>
    </row>
    <row r="248" spans="3:6" x14ac:dyDescent="0.25">
      <c r="C248" s="2" t="s">
        <v>12167</v>
      </c>
      <c r="D248" s="2" t="s">
        <v>27</v>
      </c>
      <c r="E248" s="2">
        <v>91</v>
      </c>
      <c r="F248" s="2">
        <v>1841.22</v>
      </c>
    </row>
    <row r="249" spans="3:6" x14ac:dyDescent="0.25">
      <c r="C249" s="2" t="s">
        <v>12168</v>
      </c>
      <c r="D249" s="2" t="s">
        <v>27</v>
      </c>
      <c r="E249" s="2">
        <v>92</v>
      </c>
      <c r="F249" s="2">
        <v>1786.28</v>
      </c>
    </row>
    <row r="250" spans="3:6" x14ac:dyDescent="0.25">
      <c r="C250" s="2" t="s">
        <v>12169</v>
      </c>
      <c r="D250" s="2" t="s">
        <v>27</v>
      </c>
      <c r="E250" s="2">
        <v>47</v>
      </c>
      <c r="F250" s="2">
        <v>854.47</v>
      </c>
    </row>
    <row r="251" spans="3:6" x14ac:dyDescent="0.25">
      <c r="C251" s="2" t="s">
        <v>12170</v>
      </c>
      <c r="D251" s="2" t="s">
        <v>27</v>
      </c>
      <c r="E251" s="2">
        <v>32</v>
      </c>
      <c r="F251" s="2">
        <v>524.27</v>
      </c>
    </row>
    <row r="252" spans="3:6" x14ac:dyDescent="0.25">
      <c r="C252" s="2" t="s">
        <v>12171</v>
      </c>
      <c r="D252" s="2" t="s">
        <v>27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2097</v>
      </c>
      <c r="C254" s="2" t="s">
        <v>12172</v>
      </c>
      <c r="D254" s="2" t="s">
        <v>27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12173</v>
      </c>
      <c r="D255" s="2" t="s">
        <v>27</v>
      </c>
      <c r="E255" s="2">
        <v>72</v>
      </c>
      <c r="F255" s="2">
        <v>1525.97</v>
      </c>
    </row>
    <row r="256" spans="3:6" x14ac:dyDescent="0.25">
      <c r="C256" s="2" t="s">
        <v>12174</v>
      </c>
      <c r="D256" s="2" t="s">
        <v>27</v>
      </c>
      <c r="E256" s="2">
        <v>16</v>
      </c>
      <c r="F256" s="2">
        <v>284.9</v>
      </c>
    </row>
    <row r="257" spans="3:6" x14ac:dyDescent="0.25">
      <c r="C257" s="2" t="s">
        <v>12175</v>
      </c>
      <c r="D257" s="2" t="s">
        <v>27</v>
      </c>
      <c r="E257" s="2">
        <v>26</v>
      </c>
      <c r="F257" s="2">
        <v>443.709</v>
      </c>
    </row>
    <row r="258" spans="3:6" x14ac:dyDescent="0.25">
      <c r="C258" s="2" t="s">
        <v>12176</v>
      </c>
      <c r="D258" s="2" t="s">
        <v>27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172</v>
      </c>
      <c r="C260" s="2" t="s">
        <v>12177</v>
      </c>
      <c r="D260" s="2" t="s">
        <v>9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12178</v>
      </c>
      <c r="D261" s="2" t="s">
        <v>9</v>
      </c>
      <c r="E261" s="2">
        <v>123</v>
      </c>
      <c r="F261" s="2">
        <v>2542.399</v>
      </c>
    </row>
    <row r="262" spans="3:6" x14ac:dyDescent="0.25">
      <c r="C262" s="2" t="s">
        <v>12179</v>
      </c>
      <c r="D262" s="2" t="s">
        <v>9</v>
      </c>
      <c r="E262" s="2">
        <v>123</v>
      </c>
      <c r="F262" s="2">
        <v>2195.67</v>
      </c>
    </row>
    <row r="263" spans="3:6" x14ac:dyDescent="0.25">
      <c r="C263" s="2" t="s">
        <v>12180</v>
      </c>
      <c r="D263" s="2" t="s">
        <v>9</v>
      </c>
      <c r="E263" s="2">
        <v>123</v>
      </c>
      <c r="F263" s="2">
        <v>2426.78</v>
      </c>
    </row>
    <row r="264" spans="3:6" x14ac:dyDescent="0.25">
      <c r="C264" s="2" t="s">
        <v>12181</v>
      </c>
      <c r="D264" s="2" t="s">
        <v>9</v>
      </c>
      <c r="E264" s="2">
        <v>102</v>
      </c>
      <c r="F264" s="2">
        <v>2040.949</v>
      </c>
    </row>
    <row r="265" spans="3:6" x14ac:dyDescent="0.25">
      <c r="C265" s="2" t="s">
        <v>12182</v>
      </c>
      <c r="D265" s="2" t="s">
        <v>9</v>
      </c>
      <c r="E265" s="2">
        <v>102</v>
      </c>
      <c r="F265" s="2">
        <v>2100.47</v>
      </c>
    </row>
    <row r="266" spans="3:6" x14ac:dyDescent="0.25">
      <c r="C266" s="2" t="s">
        <v>12183</v>
      </c>
      <c r="D266" s="2" t="s">
        <v>9</v>
      </c>
      <c r="E266" s="2">
        <v>102</v>
      </c>
      <c r="F266" s="2">
        <v>2051.25</v>
      </c>
    </row>
    <row r="267" spans="3:6" x14ac:dyDescent="0.25">
      <c r="C267" s="2" t="s">
        <v>12184</v>
      </c>
      <c r="D267" s="2" t="s">
        <v>9</v>
      </c>
      <c r="E267" s="2">
        <v>102</v>
      </c>
      <c r="F267" s="2">
        <v>2063.45</v>
      </c>
    </row>
    <row r="268" spans="3:6" x14ac:dyDescent="0.25">
      <c r="C268" s="2" t="s">
        <v>12185</v>
      </c>
      <c r="D268" s="2" t="s">
        <v>9</v>
      </c>
      <c r="E268" s="2">
        <v>102</v>
      </c>
      <c r="F268" s="2">
        <v>2165.17</v>
      </c>
    </row>
    <row r="269" spans="3:6" x14ac:dyDescent="0.25">
      <c r="C269" s="2" t="s">
        <v>12186</v>
      </c>
      <c r="D269" s="2" t="s">
        <v>9</v>
      </c>
      <c r="E269" s="2">
        <v>141</v>
      </c>
      <c r="F269" s="2">
        <v>2897.999</v>
      </c>
    </row>
    <row r="270" spans="3:6" x14ac:dyDescent="0.25">
      <c r="C270" s="2" t="s">
        <v>12187</v>
      </c>
      <c r="D270" s="2" t="s">
        <v>9</v>
      </c>
      <c r="E270" s="2">
        <v>141</v>
      </c>
      <c r="F270" s="2">
        <v>2862.14</v>
      </c>
    </row>
    <row r="271" spans="3:6" x14ac:dyDescent="0.25">
      <c r="C271" s="2" t="s">
        <v>12188</v>
      </c>
      <c r="D271" s="2" t="s">
        <v>9</v>
      </c>
      <c r="E271" s="2">
        <v>134</v>
      </c>
      <c r="F271" s="2">
        <v>2767.369</v>
      </c>
    </row>
    <row r="272" spans="3:6" x14ac:dyDescent="0.25">
      <c r="C272" s="2" t="s">
        <v>12189</v>
      </c>
      <c r="D272" s="2" t="s">
        <v>9</v>
      </c>
      <c r="E272" s="2">
        <v>102</v>
      </c>
      <c r="F272" s="2">
        <v>2093.57</v>
      </c>
    </row>
    <row r="273" spans="3:6" x14ac:dyDescent="0.25">
      <c r="C273" s="2" t="s">
        <v>12190</v>
      </c>
      <c r="D273" s="2" t="s">
        <v>9</v>
      </c>
      <c r="E273" s="2">
        <v>60</v>
      </c>
      <c r="F273" s="2">
        <v>250.209</v>
      </c>
    </row>
    <row r="274" spans="3:6" x14ac:dyDescent="0.25">
      <c r="C274" s="2" t="s">
        <v>12191</v>
      </c>
      <c r="D274" s="2" t="s">
        <v>9</v>
      </c>
      <c r="E274" s="2">
        <v>7</v>
      </c>
      <c r="F274" s="2" t="s">
        <v>8758</v>
      </c>
    </row>
    <row r="275" spans="3:6" x14ac:dyDescent="0.25">
      <c r="C275" s="2" t="s">
        <v>12192</v>
      </c>
      <c r="D275" s="2" t="s">
        <v>9</v>
      </c>
      <c r="E275" s="2">
        <v>60</v>
      </c>
      <c r="F275" s="2">
        <v>1113.86</v>
      </c>
    </row>
    <row r="276" spans="3:6" x14ac:dyDescent="0.25">
      <c r="C276" s="2" t="s">
        <v>12193</v>
      </c>
      <c r="D276" s="2" t="s">
        <v>9</v>
      </c>
      <c r="E276" s="2">
        <v>81</v>
      </c>
      <c r="F276" s="2">
        <v>1536.83</v>
      </c>
    </row>
    <row r="277" spans="3:6" x14ac:dyDescent="0.25">
      <c r="C277" s="2" t="s">
        <v>12194</v>
      </c>
      <c r="D277" s="2" t="s">
        <v>9</v>
      </c>
      <c r="E277" s="2">
        <v>57</v>
      </c>
      <c r="F277" s="2">
        <v>1102.32</v>
      </c>
    </row>
    <row r="278" spans="3:6" x14ac:dyDescent="0.25">
      <c r="C278" s="2" t="s">
        <v>12195</v>
      </c>
      <c r="D278" s="2" t="s">
        <v>9</v>
      </c>
      <c r="E278" s="2">
        <v>45</v>
      </c>
      <c r="F278" s="2">
        <v>894.22</v>
      </c>
    </row>
    <row r="279" spans="3:6" x14ac:dyDescent="0.25">
      <c r="C279" s="2" t="s">
        <v>12196</v>
      </c>
      <c r="D279" s="2" t="s">
        <v>9</v>
      </c>
      <c r="E279" s="2">
        <v>141</v>
      </c>
      <c r="F279" s="2">
        <v>2769.46</v>
      </c>
    </row>
    <row r="280" spans="3:6" x14ac:dyDescent="0.25">
      <c r="C280" s="2" t="s">
        <v>12197</v>
      </c>
      <c r="D280" s="2" t="s">
        <v>9</v>
      </c>
      <c r="E280" s="2">
        <v>141</v>
      </c>
      <c r="F280" s="2">
        <v>2926.64</v>
      </c>
    </row>
    <row r="281" spans="3:6" x14ac:dyDescent="0.25">
      <c r="C281" s="2" t="s">
        <v>12198</v>
      </c>
      <c r="D281" s="2" t="s">
        <v>9</v>
      </c>
      <c r="E281" s="2">
        <v>141</v>
      </c>
      <c r="F281" s="2">
        <v>2843.129</v>
      </c>
    </row>
    <row r="282" spans="3:6" x14ac:dyDescent="0.25">
      <c r="C282" s="2" t="s">
        <v>12199</v>
      </c>
      <c r="D282" s="2" t="s">
        <v>9</v>
      </c>
      <c r="E282" s="2">
        <v>141</v>
      </c>
      <c r="F282" s="2">
        <v>2851.37</v>
      </c>
    </row>
    <row r="283" spans="3:6" x14ac:dyDescent="0.25">
      <c r="C283" s="2" t="s">
        <v>12200</v>
      </c>
      <c r="D283" s="2" t="s">
        <v>9</v>
      </c>
      <c r="E283" s="2">
        <v>135</v>
      </c>
      <c r="F283" s="2">
        <v>570.599</v>
      </c>
    </row>
    <row r="284" spans="3:6" x14ac:dyDescent="0.25">
      <c r="C284" s="2" t="s">
        <v>12201</v>
      </c>
      <c r="D284" s="2" t="s">
        <v>9</v>
      </c>
      <c r="E284" s="2">
        <v>141</v>
      </c>
      <c r="F284" s="2">
        <v>2908.24</v>
      </c>
    </row>
    <row r="285" spans="3:6" x14ac:dyDescent="0.25">
      <c r="C285" s="2" t="s">
        <v>12202</v>
      </c>
      <c r="D285" s="2" t="s">
        <v>9</v>
      </c>
      <c r="E285" s="2">
        <v>141</v>
      </c>
      <c r="F285" s="2">
        <v>2950.49</v>
      </c>
    </row>
    <row r="286" spans="3:6" x14ac:dyDescent="0.25">
      <c r="C286" s="2" t="s">
        <v>12203</v>
      </c>
      <c r="D286" s="2" t="s">
        <v>9</v>
      </c>
      <c r="E286" s="2">
        <v>141</v>
      </c>
      <c r="F286" s="2">
        <v>2957.93</v>
      </c>
    </row>
    <row r="287" spans="3:6" x14ac:dyDescent="0.25">
      <c r="C287" s="2" t="s">
        <v>12204</v>
      </c>
      <c r="D287" s="2" t="s">
        <v>9</v>
      </c>
      <c r="E287" s="2">
        <v>55</v>
      </c>
      <c r="F287" s="2">
        <v>1105.66</v>
      </c>
    </row>
    <row r="288" spans="3:6" x14ac:dyDescent="0.25">
      <c r="C288" s="2" t="s">
        <v>12205</v>
      </c>
      <c r="D288" s="2" t="s">
        <v>9</v>
      </c>
      <c r="E288" s="2">
        <v>20</v>
      </c>
      <c r="F288" s="2">
        <v>380.99</v>
      </c>
    </row>
    <row r="289" spans="3:6" x14ac:dyDescent="0.25">
      <c r="C289" s="2" t="s">
        <v>12206</v>
      </c>
      <c r="D289" s="2" t="s">
        <v>9</v>
      </c>
      <c r="E289" s="2">
        <v>141</v>
      </c>
      <c r="F289" s="2">
        <v>2869.799</v>
      </c>
    </row>
    <row r="290" spans="3:6" x14ac:dyDescent="0.25">
      <c r="C290" s="2" t="s">
        <v>12207</v>
      </c>
      <c r="D290" s="2" t="s">
        <v>9</v>
      </c>
      <c r="E290" s="2">
        <v>141</v>
      </c>
      <c r="F290" s="2">
        <v>2880.559</v>
      </c>
    </row>
    <row r="291" spans="3:6" x14ac:dyDescent="0.25">
      <c r="C291" s="2" t="s">
        <v>12208</v>
      </c>
      <c r="D291" s="2" t="s">
        <v>9</v>
      </c>
      <c r="E291" s="2">
        <v>141</v>
      </c>
      <c r="F291" s="2">
        <v>2904.65</v>
      </c>
    </row>
    <row r="292" spans="3:6" x14ac:dyDescent="0.25">
      <c r="C292" s="2" t="s">
        <v>12209</v>
      </c>
      <c r="D292" s="2" t="s">
        <v>9</v>
      </c>
      <c r="E292" s="2">
        <v>141</v>
      </c>
      <c r="F292" s="2">
        <v>2849.67</v>
      </c>
    </row>
    <row r="293" spans="3:6" x14ac:dyDescent="0.25">
      <c r="C293" s="2" t="s">
        <v>12210</v>
      </c>
      <c r="D293" s="2" t="s">
        <v>9</v>
      </c>
      <c r="E293" s="2">
        <v>92</v>
      </c>
      <c r="F293" s="2">
        <v>1902.969</v>
      </c>
    </row>
    <row r="294" spans="3:6" x14ac:dyDescent="0.25">
      <c r="C294" s="2" t="s">
        <v>12211</v>
      </c>
      <c r="D294" s="2" t="s">
        <v>9</v>
      </c>
      <c r="E294" s="2">
        <v>49</v>
      </c>
      <c r="F294" s="2">
        <v>1008.43</v>
      </c>
    </row>
    <row r="295" spans="3:6" x14ac:dyDescent="0.25">
      <c r="C295" s="2" t="s">
        <v>12212</v>
      </c>
      <c r="D295" s="2" t="s">
        <v>9</v>
      </c>
      <c r="E295" s="2">
        <v>124</v>
      </c>
      <c r="F295" s="2">
        <v>2344.989</v>
      </c>
    </row>
    <row r="296" spans="3:6" x14ac:dyDescent="0.25">
      <c r="C296" s="2" t="s">
        <v>12213</v>
      </c>
      <c r="D296" s="2" t="s">
        <v>9</v>
      </c>
      <c r="E296" s="2">
        <v>76</v>
      </c>
      <c r="F296" s="2">
        <v>1475.21</v>
      </c>
    </row>
    <row r="297" spans="3:6" x14ac:dyDescent="0.25">
      <c r="C297" s="2" t="s">
        <v>12214</v>
      </c>
      <c r="D297" s="2" t="s">
        <v>9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183</v>
      </c>
      <c r="C299" s="2" t="s">
        <v>12215</v>
      </c>
      <c r="D299" s="2" t="s">
        <v>122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12216</v>
      </c>
      <c r="D300" s="2" t="s">
        <v>122</v>
      </c>
      <c r="E300" s="2">
        <v>72</v>
      </c>
      <c r="F300" s="2">
        <v>2452.676</v>
      </c>
    </row>
    <row r="301" spans="3:6" x14ac:dyDescent="0.25">
      <c r="C301" s="2" t="s">
        <v>12217</v>
      </c>
      <c r="D301" s="2" t="s">
        <v>122</v>
      </c>
      <c r="E301" s="2">
        <v>72</v>
      </c>
      <c r="F301" s="2">
        <v>2584.63</v>
      </c>
    </row>
    <row r="302" spans="3:6" x14ac:dyDescent="0.25">
      <c r="C302" s="2" t="s">
        <v>12218</v>
      </c>
      <c r="D302" s="2" t="s">
        <v>122</v>
      </c>
      <c r="E302" s="2">
        <v>72</v>
      </c>
      <c r="F302" s="2">
        <v>1960.129</v>
      </c>
    </row>
    <row r="303" spans="3:6" x14ac:dyDescent="0.25">
      <c r="C303" s="2" t="s">
        <v>12219</v>
      </c>
      <c r="D303" s="2" t="s">
        <v>122</v>
      </c>
      <c r="E303" s="2">
        <v>72</v>
      </c>
      <c r="F303" s="2">
        <v>1992.95</v>
      </c>
    </row>
    <row r="304" spans="3:6" x14ac:dyDescent="0.25">
      <c r="C304" s="2" t="s">
        <v>12220</v>
      </c>
      <c r="D304" s="2" t="s">
        <v>122</v>
      </c>
      <c r="E304" s="2">
        <v>105</v>
      </c>
      <c r="F304" s="2">
        <v>1539.147</v>
      </c>
    </row>
    <row r="305" spans="3:6" x14ac:dyDescent="0.25">
      <c r="C305" s="2" t="s">
        <v>12221</v>
      </c>
      <c r="D305" s="2" t="s">
        <v>122</v>
      </c>
      <c r="E305" s="2">
        <v>80</v>
      </c>
      <c r="F305" s="2">
        <v>2674.37</v>
      </c>
    </row>
    <row r="306" spans="3:6" x14ac:dyDescent="0.25">
      <c r="C306" s="2" t="s">
        <v>12222</v>
      </c>
      <c r="D306" s="2" t="s">
        <v>122</v>
      </c>
      <c r="E306" s="2">
        <v>144</v>
      </c>
      <c r="F306" s="2">
        <v>652.581</v>
      </c>
    </row>
    <row r="307" spans="3:6" x14ac:dyDescent="0.25">
      <c r="C307" s="2" t="s">
        <v>12223</v>
      </c>
      <c r="D307" s="2" t="s">
        <v>122</v>
      </c>
      <c r="E307" s="2">
        <v>79</v>
      </c>
      <c r="F307" s="2">
        <v>1528.788</v>
      </c>
    </row>
    <row r="308" spans="3:6" x14ac:dyDescent="0.25">
      <c r="C308" s="2" t="s">
        <v>12224</v>
      </c>
      <c r="D308" s="2" t="s">
        <v>122</v>
      </c>
      <c r="E308" s="2">
        <v>141</v>
      </c>
      <c r="F308" s="2">
        <v>2892.45</v>
      </c>
    </row>
    <row r="309" spans="3:6" x14ac:dyDescent="0.25">
      <c r="C309" s="2" t="s">
        <v>12225</v>
      </c>
      <c r="D309" s="2" t="s">
        <v>122</v>
      </c>
      <c r="E309" s="2">
        <v>65</v>
      </c>
      <c r="F309" s="2">
        <v>1305.72</v>
      </c>
    </row>
    <row r="310" spans="3:6" x14ac:dyDescent="0.25">
      <c r="C310" s="2" t="s">
        <v>12226</v>
      </c>
      <c r="D310" s="2" t="s">
        <v>122</v>
      </c>
      <c r="E310" s="2">
        <v>35</v>
      </c>
      <c r="F310" s="2">
        <v>637.87</v>
      </c>
    </row>
    <row r="311" spans="3:6" x14ac:dyDescent="0.25">
      <c r="C311" s="2" t="s">
        <v>12227</v>
      </c>
      <c r="D311" s="2" t="s">
        <v>122</v>
      </c>
      <c r="E311" s="2">
        <v>47</v>
      </c>
      <c r="F311" s="2">
        <v>956.63</v>
      </c>
    </row>
    <row r="312" spans="3:6" x14ac:dyDescent="0.25">
      <c r="C312" s="2" t="s">
        <v>12228</v>
      </c>
      <c r="D312" s="2" t="s">
        <v>122</v>
      </c>
      <c r="E312" s="2">
        <v>31</v>
      </c>
      <c r="F312" s="2">
        <v>392.29</v>
      </c>
    </row>
    <row r="313" spans="3:6" x14ac:dyDescent="0.25">
      <c r="C313" s="2" t="s">
        <v>12229</v>
      </c>
      <c r="D313" s="2" t="s">
        <v>122</v>
      </c>
      <c r="E313" s="2">
        <v>29</v>
      </c>
      <c r="F313" s="2">
        <v>554.41</v>
      </c>
    </row>
    <row r="314" spans="3:6" x14ac:dyDescent="0.25">
      <c r="C314" s="2" t="s">
        <v>12230</v>
      </c>
      <c r="D314" s="2" t="s">
        <v>122</v>
      </c>
      <c r="E314" s="2">
        <v>62</v>
      </c>
      <c r="F314" s="2">
        <v>1256.4</v>
      </c>
    </row>
    <row r="315" spans="3:6" x14ac:dyDescent="0.25">
      <c r="C315" s="2" t="s">
        <v>12231</v>
      </c>
      <c r="D315" s="2" t="s">
        <v>122</v>
      </c>
      <c r="E315" s="2">
        <v>15</v>
      </c>
      <c r="F315" s="2">
        <v>301.35</v>
      </c>
    </row>
    <row r="316" spans="3:6" x14ac:dyDescent="0.25">
      <c r="C316" s="2" t="s">
        <v>12232</v>
      </c>
      <c r="D316" s="2" t="s">
        <v>122</v>
      </c>
      <c r="E316" s="2">
        <v>15</v>
      </c>
      <c r="F316" s="2">
        <v>269.2</v>
      </c>
    </row>
    <row r="317" spans="3:6" x14ac:dyDescent="0.25">
      <c r="C317" s="2" t="s">
        <v>12233</v>
      </c>
      <c r="D317" s="2" t="s">
        <v>122</v>
      </c>
      <c r="E317" s="2">
        <v>12</v>
      </c>
      <c r="F317" s="2">
        <v>224.31</v>
      </c>
    </row>
    <row r="318" spans="3:6" x14ac:dyDescent="0.25">
      <c r="C318" s="2" t="s">
        <v>12234</v>
      </c>
      <c r="D318" s="2" t="s">
        <v>122</v>
      </c>
      <c r="E318" s="2">
        <v>7</v>
      </c>
      <c r="F318" s="2">
        <v>79.23</v>
      </c>
    </row>
    <row r="319" spans="3:6" x14ac:dyDescent="0.25">
      <c r="C319" s="2" t="s">
        <v>12235</v>
      </c>
      <c r="D319" s="2" t="s">
        <v>122</v>
      </c>
      <c r="E319" s="2">
        <v>7</v>
      </c>
      <c r="F319" s="2">
        <f>67.1+48.66</f>
        <v>115.75999999999999</v>
      </c>
    </row>
    <row r="320" spans="3:6" x14ac:dyDescent="0.25">
      <c r="C320" s="2" t="s">
        <v>12236</v>
      </c>
      <c r="D320" s="2" t="s">
        <v>122</v>
      </c>
      <c r="E320" s="2">
        <v>21</v>
      </c>
      <c r="F320" s="2">
        <f>319.8+20.1</f>
        <v>339.90000000000003</v>
      </c>
    </row>
    <row r="321" spans="3:6" x14ac:dyDescent="0.25">
      <c r="C321" s="2" t="s">
        <v>12237</v>
      </c>
      <c r="D321" s="2" t="s">
        <v>122</v>
      </c>
      <c r="E321" s="2">
        <v>68</v>
      </c>
      <c r="F321" s="2">
        <v>1394.61</v>
      </c>
    </row>
    <row r="322" spans="3:6" x14ac:dyDescent="0.25">
      <c r="C322" s="2" t="s">
        <v>12238</v>
      </c>
      <c r="D322" s="2" t="s">
        <v>122</v>
      </c>
      <c r="E322" s="2">
        <v>32</v>
      </c>
      <c r="F322" s="2">
        <v>643.1</v>
      </c>
    </row>
    <row r="323" spans="3:6" x14ac:dyDescent="0.25">
      <c r="C323" s="2" t="s">
        <v>12239</v>
      </c>
      <c r="D323" s="2" t="s">
        <v>122</v>
      </c>
      <c r="E323" s="2">
        <v>24</v>
      </c>
      <c r="F323" s="2">
        <v>422.619</v>
      </c>
    </row>
    <row r="324" spans="3:6" x14ac:dyDescent="0.25">
      <c r="C324" s="2" t="s">
        <v>12240</v>
      </c>
      <c r="D324" s="2" t="s">
        <v>122</v>
      </c>
      <c r="E324" s="2">
        <v>51</v>
      </c>
      <c r="F324" s="2">
        <v>1013.64</v>
      </c>
    </row>
    <row r="325" spans="3:6" x14ac:dyDescent="0.25">
      <c r="C325" s="2" t="s">
        <v>12241</v>
      </c>
      <c r="D325" s="2" t="s">
        <v>122</v>
      </c>
      <c r="E325" s="2">
        <v>121</v>
      </c>
      <c r="F325" s="2">
        <v>2433.65</v>
      </c>
    </row>
    <row r="326" spans="3:6" x14ac:dyDescent="0.25">
      <c r="C326" s="2" t="s">
        <v>12242</v>
      </c>
      <c r="D326" s="2" t="s">
        <v>122</v>
      </c>
      <c r="E326" s="2">
        <v>64</v>
      </c>
      <c r="F326" s="2">
        <v>1226.479</v>
      </c>
    </row>
    <row r="327" spans="3:6" x14ac:dyDescent="0.25">
      <c r="C327" s="2" t="s">
        <v>12243</v>
      </c>
      <c r="D327" s="2" t="s">
        <v>122</v>
      </c>
      <c r="E327" s="2">
        <v>21</v>
      </c>
      <c r="F327" s="2">
        <v>410.87</v>
      </c>
    </row>
    <row r="328" spans="3:6" x14ac:dyDescent="0.25">
      <c r="C328" s="2" t="s">
        <v>12244</v>
      </c>
      <c r="D328" s="2" t="s">
        <v>122</v>
      </c>
      <c r="E328" s="2">
        <v>19</v>
      </c>
      <c r="F328" s="2">
        <v>354.81</v>
      </c>
    </row>
    <row r="329" spans="3:6" x14ac:dyDescent="0.25">
      <c r="C329" s="2" t="s">
        <v>12245</v>
      </c>
      <c r="D329" s="2" t="s">
        <v>122</v>
      </c>
      <c r="E329" s="2">
        <v>17</v>
      </c>
      <c r="F329" s="2">
        <v>258.98</v>
      </c>
    </row>
    <row r="330" spans="3:6" x14ac:dyDescent="0.25">
      <c r="C330" s="2" t="s">
        <v>12246</v>
      </c>
      <c r="D330" s="2" t="s">
        <v>122</v>
      </c>
      <c r="E330" s="2">
        <v>74</v>
      </c>
      <c r="F330" s="2">
        <v>316.75</v>
      </c>
    </row>
    <row r="331" spans="3:6" x14ac:dyDescent="0.25">
      <c r="C331" s="2" t="s">
        <v>12247</v>
      </c>
      <c r="D331" s="2" t="s">
        <v>122</v>
      </c>
      <c r="E331" s="2">
        <v>94</v>
      </c>
      <c r="F331" s="2">
        <v>1936.18</v>
      </c>
    </row>
    <row r="332" spans="3:6" x14ac:dyDescent="0.25">
      <c r="C332" s="2" t="s">
        <v>12248</v>
      </c>
      <c r="D332" s="2" t="s">
        <v>122</v>
      </c>
      <c r="E332" s="2">
        <v>37</v>
      </c>
      <c r="F332" s="2">
        <v>764.85</v>
      </c>
    </row>
    <row r="333" spans="3:6" x14ac:dyDescent="0.25">
      <c r="C333" s="2" t="s">
        <v>12249</v>
      </c>
      <c r="D333" s="2" t="s">
        <v>122</v>
      </c>
      <c r="E333" s="2">
        <v>10</v>
      </c>
      <c r="F333" s="2">
        <v>214.36</v>
      </c>
    </row>
    <row r="334" spans="3:6" x14ac:dyDescent="0.25">
      <c r="C334" s="2" t="s">
        <v>12250</v>
      </c>
      <c r="D334" s="2" t="s">
        <v>122</v>
      </c>
      <c r="E334" s="2">
        <v>100</v>
      </c>
      <c r="F334" s="2">
        <v>2115.22</v>
      </c>
    </row>
    <row r="335" spans="3:6" x14ac:dyDescent="0.25">
      <c r="C335" s="2" t="s">
        <v>12251</v>
      </c>
      <c r="D335" s="2" t="s">
        <v>122</v>
      </c>
      <c r="E335" s="2">
        <v>9</v>
      </c>
      <c r="F335" s="2">
        <v>162.03</v>
      </c>
    </row>
    <row r="336" spans="3:6" x14ac:dyDescent="0.25">
      <c r="C336" s="2" t="s">
        <v>12252</v>
      </c>
      <c r="D336" s="2" t="s">
        <v>122</v>
      </c>
      <c r="E336" s="2">
        <v>14</v>
      </c>
      <c r="F336" s="2">
        <v>279.1</v>
      </c>
    </row>
    <row r="337" spans="3:6" x14ac:dyDescent="0.25">
      <c r="C337" s="2" t="s">
        <v>12253</v>
      </c>
      <c r="D337" s="2" t="s">
        <v>122</v>
      </c>
      <c r="E337" s="2">
        <v>39</v>
      </c>
      <c r="F337" s="2">
        <v>1385.19</v>
      </c>
    </row>
    <row r="338" spans="3:6" x14ac:dyDescent="0.25">
      <c r="C338" s="2" t="s">
        <v>12254</v>
      </c>
      <c r="D338" s="2" t="s">
        <v>122</v>
      </c>
      <c r="E338" s="2">
        <v>60</v>
      </c>
      <c r="F338" s="2">
        <v>1278.6</v>
      </c>
    </row>
    <row r="339" spans="3:6" x14ac:dyDescent="0.25">
      <c r="C339" s="2" t="s">
        <v>12255</v>
      </c>
      <c r="D339" s="2" t="s">
        <v>122</v>
      </c>
      <c r="E339" s="2">
        <v>81</v>
      </c>
      <c r="F339" s="2">
        <v>1676.99</v>
      </c>
    </row>
    <row r="340" spans="3:6" x14ac:dyDescent="0.25">
      <c r="C340" s="2" t="s">
        <v>12256</v>
      </c>
      <c r="D340" s="2" t="s">
        <v>122</v>
      </c>
      <c r="E340" s="2">
        <v>68</v>
      </c>
      <c r="F340" s="2">
        <v>1443.01</v>
      </c>
    </row>
    <row r="341" spans="3:6" x14ac:dyDescent="0.25">
      <c r="C341" s="2" t="s">
        <v>12257</v>
      </c>
      <c r="D341" s="2" t="s">
        <v>122</v>
      </c>
      <c r="E341" s="2">
        <v>34</v>
      </c>
      <c r="F341" s="2">
        <v>721.97</v>
      </c>
    </row>
    <row r="342" spans="3:6" x14ac:dyDescent="0.25">
      <c r="C342" s="2" t="s">
        <v>12258</v>
      </c>
      <c r="D342" s="2" t="s">
        <v>122</v>
      </c>
      <c r="E342" s="2">
        <v>21</v>
      </c>
      <c r="F342" s="2">
        <v>434.85</v>
      </c>
    </row>
    <row r="343" spans="3:6" x14ac:dyDescent="0.25">
      <c r="C343" s="2" t="s">
        <v>12259</v>
      </c>
      <c r="D343" s="2" t="s">
        <v>122</v>
      </c>
      <c r="E343" s="2">
        <v>18</v>
      </c>
      <c r="F343" s="2">
        <v>360</v>
      </c>
    </row>
    <row r="344" spans="3:6" x14ac:dyDescent="0.25">
      <c r="C344" s="2" t="s">
        <v>12260</v>
      </c>
      <c r="D344" s="2" t="s">
        <v>122</v>
      </c>
      <c r="E344" s="2">
        <v>141</v>
      </c>
      <c r="F344" s="2">
        <v>2797.089</v>
      </c>
    </row>
    <row r="345" spans="3:6" x14ac:dyDescent="0.25">
      <c r="C345" s="2" t="s">
        <v>12261</v>
      </c>
      <c r="D345" s="2" t="s">
        <v>122</v>
      </c>
      <c r="E345" s="2">
        <v>65</v>
      </c>
      <c r="F345" s="2">
        <v>1884.999</v>
      </c>
    </row>
    <row r="346" spans="3:6" x14ac:dyDescent="0.25">
      <c r="C346" s="2" t="s">
        <v>12262</v>
      </c>
      <c r="D346" s="2" t="s">
        <v>122</v>
      </c>
      <c r="E346" s="2">
        <v>11</v>
      </c>
      <c r="F346" s="2">
        <v>237.55</v>
      </c>
    </row>
    <row r="347" spans="3:6" x14ac:dyDescent="0.25">
      <c r="C347" s="2" t="s">
        <v>12263</v>
      </c>
      <c r="D347" s="2" t="s">
        <v>122</v>
      </c>
      <c r="E347" s="2">
        <v>141</v>
      </c>
      <c r="F347" s="2">
        <v>2888.44</v>
      </c>
    </row>
    <row r="348" spans="3:6" x14ac:dyDescent="0.25">
      <c r="C348" s="2" t="s">
        <v>12264</v>
      </c>
      <c r="D348" s="2" t="s">
        <v>122</v>
      </c>
      <c r="E348" s="2">
        <v>141</v>
      </c>
      <c r="F348" s="2">
        <v>2865.11</v>
      </c>
    </row>
    <row r="349" spans="3:6" x14ac:dyDescent="0.25">
      <c r="C349" s="2" t="s">
        <v>12265</v>
      </c>
      <c r="D349" s="2" t="s">
        <v>122</v>
      </c>
      <c r="E349" s="2">
        <v>40</v>
      </c>
      <c r="F349" s="2">
        <v>803.48</v>
      </c>
    </row>
    <row r="350" spans="3:6" x14ac:dyDescent="0.25">
      <c r="C350" s="2" t="s">
        <v>12266</v>
      </c>
      <c r="D350" s="2" t="s">
        <v>122</v>
      </c>
      <c r="E350" s="2">
        <v>36</v>
      </c>
      <c r="F350" s="2">
        <v>762.74</v>
      </c>
    </row>
    <row r="351" spans="3:6" x14ac:dyDescent="0.25">
      <c r="C351" s="2" t="s">
        <v>12267</v>
      </c>
      <c r="D351" s="2" t="s">
        <v>122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10</v>
      </c>
      <c r="C353" s="2" t="s">
        <v>12268</v>
      </c>
      <c r="D353" s="2" t="s">
        <v>12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12269</v>
      </c>
      <c r="D354" s="2" t="s">
        <v>12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12270</v>
      </c>
      <c r="C356" s="2" t="s">
        <v>12271</v>
      </c>
      <c r="D356" s="2" t="s">
        <v>12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12272</v>
      </c>
      <c r="D357" s="2" t="s">
        <v>12</v>
      </c>
      <c r="E357" s="2">
        <v>156</v>
      </c>
      <c r="F357" s="2">
        <v>3162.731</v>
      </c>
    </row>
    <row r="358" spans="3:6" x14ac:dyDescent="0.25">
      <c r="C358" s="2" t="s">
        <v>12273</v>
      </c>
      <c r="D358" s="2" t="s">
        <v>12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1101</v>
      </c>
      <c r="C360" s="2" t="s">
        <v>12274</v>
      </c>
      <c r="D360" s="2" t="s">
        <v>20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12275</v>
      </c>
      <c r="D361" s="2" t="s">
        <v>20</v>
      </c>
      <c r="E361" s="2">
        <v>244</v>
      </c>
      <c r="F361" s="2">
        <v>4769.743</v>
      </c>
    </row>
    <row r="362" spans="3:6" x14ac:dyDescent="0.25">
      <c r="C362" s="2" t="s">
        <v>12276</v>
      </c>
      <c r="D362" s="2" t="s">
        <v>20</v>
      </c>
      <c r="E362" s="2">
        <v>95</v>
      </c>
      <c r="F362" s="2">
        <v>2016.94</v>
      </c>
    </row>
    <row r="363" spans="3:6" x14ac:dyDescent="0.25">
      <c r="C363" s="2" t="s">
        <v>12277</v>
      </c>
      <c r="D363" s="2" t="s">
        <v>20</v>
      </c>
      <c r="E363" s="2">
        <v>268</v>
      </c>
      <c r="F363" s="2">
        <v>5140.53</v>
      </c>
    </row>
    <row r="364" spans="3:6" x14ac:dyDescent="0.25">
      <c r="C364" s="2" t="s">
        <v>12278</v>
      </c>
      <c r="D364" s="2" t="s">
        <v>20</v>
      </c>
      <c r="E364" s="2">
        <v>163</v>
      </c>
      <c r="F364" s="2">
        <v>3036.739</v>
      </c>
    </row>
    <row r="365" spans="3:6" x14ac:dyDescent="0.25">
      <c r="C365" s="2" t="s">
        <v>12279</v>
      </c>
      <c r="D365" s="2" t="s">
        <v>20</v>
      </c>
      <c r="E365" s="2">
        <v>268</v>
      </c>
      <c r="F365" s="2">
        <v>5021.249</v>
      </c>
    </row>
    <row r="366" spans="3:6" x14ac:dyDescent="0.25">
      <c r="C366" s="2" t="s">
        <v>12280</v>
      </c>
      <c r="D366" s="2" t="s">
        <v>20</v>
      </c>
      <c r="E366" s="2">
        <v>268</v>
      </c>
      <c r="F366" s="2">
        <v>5184.879</v>
      </c>
    </row>
    <row r="367" spans="3:6" x14ac:dyDescent="0.25">
      <c r="C367" s="2" t="s">
        <v>12281</v>
      </c>
      <c r="D367" s="2" t="s">
        <v>20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18</v>
      </c>
      <c r="C369" s="2" t="s">
        <v>12282</v>
      </c>
      <c r="D369" s="2" t="s">
        <v>20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12283</v>
      </c>
      <c r="D370" s="2" t="s">
        <v>20</v>
      </c>
      <c r="E370" s="2">
        <v>291</v>
      </c>
      <c r="F370" s="2">
        <v>5791.083</v>
      </c>
    </row>
    <row r="371" spans="3:6" x14ac:dyDescent="0.25">
      <c r="C371" s="2" t="s">
        <v>12284</v>
      </c>
      <c r="D371" s="2" t="s">
        <v>20</v>
      </c>
      <c r="E371" s="2">
        <v>129</v>
      </c>
      <c r="F371" s="2">
        <v>2640</v>
      </c>
    </row>
    <row r="372" spans="3:6" x14ac:dyDescent="0.25">
      <c r="C372" s="2" t="s">
        <v>12053</v>
      </c>
      <c r="D372" s="2" t="s">
        <v>20</v>
      </c>
      <c r="E372" s="2">
        <v>289</v>
      </c>
      <c r="F372" s="2">
        <v>6052</v>
      </c>
    </row>
    <row r="373" spans="3:6" x14ac:dyDescent="0.25">
      <c r="C373" s="2" t="s">
        <v>12054</v>
      </c>
      <c r="D373" s="2" t="s">
        <v>20</v>
      </c>
      <c r="E373" s="2">
        <v>243</v>
      </c>
      <c r="F373" s="2">
        <v>4940</v>
      </c>
    </row>
    <row r="374" spans="3:6" x14ac:dyDescent="0.25">
      <c r="C374" s="2" t="s">
        <v>12285</v>
      </c>
      <c r="D374" s="2" t="s">
        <v>20</v>
      </c>
      <c r="E374" s="2">
        <v>251</v>
      </c>
      <c r="F374" s="2">
        <v>4784.429</v>
      </c>
    </row>
    <row r="375" spans="3:6" x14ac:dyDescent="0.25">
      <c r="C375" s="2" t="s">
        <v>12286</v>
      </c>
      <c r="D375" s="2" t="s">
        <v>20</v>
      </c>
      <c r="E375" s="2">
        <v>102</v>
      </c>
      <c r="F375" s="2">
        <v>1934.789</v>
      </c>
    </row>
    <row r="376" spans="3:6" x14ac:dyDescent="0.25">
      <c r="C376" s="2" t="s">
        <v>12287</v>
      </c>
      <c r="D376" s="2" t="s">
        <v>20</v>
      </c>
      <c r="E376" s="2">
        <v>223</v>
      </c>
      <c r="F376" s="2">
        <v>4041.55</v>
      </c>
    </row>
    <row r="377" spans="3:6" x14ac:dyDescent="0.25">
      <c r="C377" s="2" t="s">
        <v>12288</v>
      </c>
      <c r="D377" s="2" t="s">
        <v>20</v>
      </c>
      <c r="E377" s="2">
        <v>298</v>
      </c>
      <c r="F377" s="2">
        <v>5538</v>
      </c>
    </row>
    <row r="378" spans="3:6" x14ac:dyDescent="0.25">
      <c r="C378" s="2" t="s">
        <v>12289</v>
      </c>
      <c r="D378" s="2" t="s">
        <v>20</v>
      </c>
      <c r="E378" s="2">
        <v>292</v>
      </c>
      <c r="F378" s="2">
        <v>5445.87</v>
      </c>
    </row>
    <row r="379" spans="3:6" x14ac:dyDescent="0.25">
      <c r="C379" s="2" t="s">
        <v>12290</v>
      </c>
      <c r="D379" s="2" t="s">
        <v>20</v>
      </c>
      <c r="E379" s="2">
        <v>204</v>
      </c>
      <c r="F379" s="2">
        <v>3998</v>
      </c>
    </row>
    <row r="380" spans="3:6" x14ac:dyDescent="0.25">
      <c r="C380" s="2" t="s">
        <v>12291</v>
      </c>
      <c r="D380" s="2" t="s">
        <v>20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324</v>
      </c>
      <c r="C382" s="2" t="s">
        <v>12292</v>
      </c>
      <c r="D382" s="2" t="s">
        <v>122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12293</v>
      </c>
      <c r="D383" s="2" t="s">
        <v>122</v>
      </c>
      <c r="E383" s="2">
        <v>61</v>
      </c>
      <c r="F383" s="2">
        <v>1209.45</v>
      </c>
    </row>
    <row r="384" spans="3:6" x14ac:dyDescent="0.25">
      <c r="C384" s="2" t="s">
        <v>12294</v>
      </c>
      <c r="D384" s="2" t="s">
        <v>122</v>
      </c>
      <c r="E384" s="2">
        <v>60</v>
      </c>
      <c r="F384" s="2">
        <v>1230.75</v>
      </c>
    </row>
    <row r="385" spans="3:6" x14ac:dyDescent="0.25">
      <c r="C385" s="2" t="s">
        <v>12295</v>
      </c>
      <c r="D385" s="2" t="s">
        <v>122</v>
      </c>
      <c r="E385" s="2">
        <v>141</v>
      </c>
      <c r="F385" s="2">
        <v>2959.31</v>
      </c>
    </row>
    <row r="386" spans="3:6" x14ac:dyDescent="0.25">
      <c r="C386" s="2" t="s">
        <v>12296</v>
      </c>
      <c r="D386" s="2" t="s">
        <v>122</v>
      </c>
      <c r="E386" s="2">
        <v>141</v>
      </c>
      <c r="F386" s="2">
        <v>2835.378</v>
      </c>
    </row>
    <row r="387" spans="3:6" x14ac:dyDescent="0.25">
      <c r="C387" s="2" t="s">
        <v>12297</v>
      </c>
      <c r="D387" s="2" t="s">
        <v>122</v>
      </c>
      <c r="E387" s="2">
        <v>83</v>
      </c>
      <c r="F387" s="2">
        <v>2332.083</v>
      </c>
    </row>
    <row r="388" spans="3:6" x14ac:dyDescent="0.25">
      <c r="C388" s="2" t="s">
        <v>12298</v>
      </c>
      <c r="D388" s="2" t="s">
        <v>122</v>
      </c>
      <c r="E388" s="2">
        <v>80</v>
      </c>
      <c r="F388" s="2">
        <v>1662.11</v>
      </c>
    </row>
    <row r="389" spans="3:6" x14ac:dyDescent="0.25">
      <c r="C389" s="2" t="s">
        <v>12299</v>
      </c>
      <c r="D389" s="2" t="s">
        <v>122</v>
      </c>
      <c r="E389" s="2">
        <v>61</v>
      </c>
      <c r="F389" s="2">
        <v>1251.38</v>
      </c>
    </row>
    <row r="390" spans="3:6" x14ac:dyDescent="0.25">
      <c r="C390" s="2" t="s">
        <v>12300</v>
      </c>
      <c r="D390" s="2" t="s">
        <v>122</v>
      </c>
      <c r="E390" s="2">
        <v>80</v>
      </c>
      <c r="F390" s="2">
        <v>1669.39</v>
      </c>
    </row>
    <row r="391" spans="3:6" x14ac:dyDescent="0.25">
      <c r="C391" s="2" t="s">
        <v>12301</v>
      </c>
      <c r="D391" s="2" t="s">
        <v>122</v>
      </c>
      <c r="E391" s="2">
        <v>61</v>
      </c>
      <c r="F391" s="2">
        <v>1172.529</v>
      </c>
    </row>
    <row r="392" spans="3:6" x14ac:dyDescent="0.25">
      <c r="C392" s="2" t="s">
        <v>12302</v>
      </c>
      <c r="D392" s="2" t="s">
        <v>122</v>
      </c>
      <c r="E392" s="2">
        <v>74</v>
      </c>
      <c r="F392" s="2">
        <v>1530.97</v>
      </c>
    </row>
    <row r="393" spans="3:6" x14ac:dyDescent="0.25">
      <c r="C393" s="2" t="s">
        <v>12303</v>
      </c>
      <c r="D393" s="2" t="s">
        <v>122</v>
      </c>
      <c r="E393" s="2">
        <v>43</v>
      </c>
      <c r="F393" s="2">
        <v>894.42</v>
      </c>
    </row>
    <row r="394" spans="3:6" x14ac:dyDescent="0.25">
      <c r="C394" s="2" t="s">
        <v>12304</v>
      </c>
      <c r="D394" s="2" t="s">
        <v>122</v>
      </c>
      <c r="E394" s="2">
        <v>24</v>
      </c>
      <c r="F394" s="2">
        <v>438.9</v>
      </c>
    </row>
    <row r="395" spans="3:6" x14ac:dyDescent="0.25">
      <c r="C395" s="2" t="s">
        <v>12305</v>
      </c>
      <c r="D395" s="2" t="s">
        <v>122</v>
      </c>
      <c r="E395" s="2">
        <v>100</v>
      </c>
      <c r="F395" s="2">
        <v>1984.729</v>
      </c>
    </row>
    <row r="396" spans="3:6" x14ac:dyDescent="0.25">
      <c r="C396" s="2" t="s">
        <v>12306</v>
      </c>
      <c r="D396" s="2" t="s">
        <v>122</v>
      </c>
      <c r="E396" s="2">
        <v>56</v>
      </c>
      <c r="F396" s="2">
        <v>1049.33</v>
      </c>
    </row>
    <row r="397" spans="3:6" x14ac:dyDescent="0.25">
      <c r="C397" s="2" t="s">
        <v>12307</v>
      </c>
      <c r="D397" s="2" t="s">
        <v>122</v>
      </c>
      <c r="E397" s="2">
        <v>44</v>
      </c>
      <c r="F397" s="2">
        <v>786.59</v>
      </c>
    </row>
    <row r="398" spans="3:6" x14ac:dyDescent="0.25">
      <c r="C398" s="2" t="s">
        <v>12308</v>
      </c>
      <c r="D398" s="2" t="s">
        <v>122</v>
      </c>
      <c r="E398" s="2">
        <v>72</v>
      </c>
      <c r="F398" s="2">
        <v>1992.95</v>
      </c>
    </row>
    <row r="399" spans="3:6" x14ac:dyDescent="0.25">
      <c r="C399" s="2" t="s">
        <v>12309</v>
      </c>
      <c r="D399" s="2" t="s">
        <v>122</v>
      </c>
      <c r="E399" s="2">
        <v>105</v>
      </c>
      <c r="F399" s="2">
        <v>1539.147</v>
      </c>
    </row>
    <row r="400" spans="3:6" x14ac:dyDescent="0.25">
      <c r="C400" s="2" t="s">
        <v>12310</v>
      </c>
      <c r="D400" s="2" t="s">
        <v>122</v>
      </c>
      <c r="E400" s="2">
        <v>141</v>
      </c>
      <c r="F400" s="2">
        <v>2905.97</v>
      </c>
    </row>
    <row r="401" spans="3:6" x14ac:dyDescent="0.25">
      <c r="C401" s="2" t="s">
        <v>12311</v>
      </c>
      <c r="D401" s="2" t="s">
        <v>122</v>
      </c>
      <c r="E401" s="2">
        <v>65</v>
      </c>
      <c r="F401" s="2">
        <v>1322.74</v>
      </c>
    </row>
    <row r="402" spans="3:6" x14ac:dyDescent="0.25">
      <c r="C402" s="2" t="s">
        <v>12312</v>
      </c>
      <c r="D402" s="2" t="s">
        <v>122</v>
      </c>
      <c r="E402" s="2">
        <v>35</v>
      </c>
      <c r="F402" s="2">
        <v>709.59</v>
      </c>
    </row>
    <row r="403" spans="3:6" x14ac:dyDescent="0.25">
      <c r="C403" s="2" t="s">
        <v>12313</v>
      </c>
      <c r="D403" s="2" t="s">
        <v>122</v>
      </c>
      <c r="E403" s="2">
        <v>82</v>
      </c>
      <c r="F403" s="2">
        <v>1630.328</v>
      </c>
    </row>
    <row r="404" spans="3:6" x14ac:dyDescent="0.25">
      <c r="C404" s="2" t="s">
        <v>12314</v>
      </c>
      <c r="D404" s="2" t="s">
        <v>122</v>
      </c>
      <c r="E404" s="2">
        <v>18</v>
      </c>
      <c r="F404" s="2">
        <v>330.89</v>
      </c>
    </row>
    <row r="405" spans="3:6" x14ac:dyDescent="0.25">
      <c r="C405" s="2" t="s">
        <v>12315</v>
      </c>
      <c r="D405" s="2" t="s">
        <v>122</v>
      </c>
      <c r="E405" s="2">
        <v>27</v>
      </c>
      <c r="F405" s="2">
        <v>550.02</v>
      </c>
    </row>
    <row r="406" spans="3:6" x14ac:dyDescent="0.25">
      <c r="C406" s="2" t="s">
        <v>12316</v>
      </c>
      <c r="D406" s="2" t="s">
        <v>122</v>
      </c>
      <c r="E406" s="2">
        <v>21</v>
      </c>
      <c r="F406" s="2">
        <v>431.72</v>
      </c>
    </row>
    <row r="407" spans="3:6" x14ac:dyDescent="0.25">
      <c r="C407" s="2" t="s">
        <v>12317</v>
      </c>
      <c r="D407" s="2" t="s">
        <v>122</v>
      </c>
      <c r="E407" s="2">
        <v>20</v>
      </c>
      <c r="F407" s="2">
        <v>398.83</v>
      </c>
    </row>
    <row r="408" spans="3:6" x14ac:dyDescent="0.25">
      <c r="C408" s="2" t="s">
        <v>12318</v>
      </c>
      <c r="D408" s="2" t="s">
        <v>122</v>
      </c>
      <c r="E408" s="2">
        <v>8</v>
      </c>
      <c r="F408" s="2">
        <v>132.38</v>
      </c>
    </row>
    <row r="409" spans="3:6" x14ac:dyDescent="0.25">
      <c r="C409" s="2" t="s">
        <v>12319</v>
      </c>
      <c r="D409" s="2" t="s">
        <v>122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2196</v>
      </c>
      <c r="C411" s="2" t="s">
        <v>12320</v>
      </c>
      <c r="D411" s="2" t="s">
        <v>9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12321</v>
      </c>
      <c r="D412" s="2" t="s">
        <v>9</v>
      </c>
      <c r="E412" s="2">
        <v>123</v>
      </c>
      <c r="F412" s="2">
        <v>2403.699</v>
      </c>
    </row>
    <row r="413" spans="3:6" x14ac:dyDescent="0.25">
      <c r="C413" s="2" t="s">
        <v>12322</v>
      </c>
      <c r="D413" s="2" t="s">
        <v>9</v>
      </c>
      <c r="E413" s="2">
        <v>123</v>
      </c>
      <c r="F413" s="2">
        <v>2251.258</v>
      </c>
    </row>
    <row r="414" spans="3:6" x14ac:dyDescent="0.25">
      <c r="C414" s="2" t="s">
        <v>12323</v>
      </c>
      <c r="D414" s="2" t="s">
        <v>9</v>
      </c>
      <c r="E414" s="2">
        <v>37</v>
      </c>
      <c r="F414" s="2">
        <v>685.64</v>
      </c>
    </row>
    <row r="415" spans="3:6" x14ac:dyDescent="0.25">
      <c r="C415" s="2" t="s">
        <v>12324</v>
      </c>
      <c r="D415" s="2" t="s">
        <v>9</v>
      </c>
      <c r="E415" s="2">
        <v>86</v>
      </c>
      <c r="F415" s="2">
        <v>1634.29</v>
      </c>
    </row>
    <row r="416" spans="3:6" x14ac:dyDescent="0.25">
      <c r="C416" s="2" t="s">
        <v>12325</v>
      </c>
      <c r="D416" s="2" t="s">
        <v>9</v>
      </c>
      <c r="E416" s="2">
        <v>102</v>
      </c>
      <c r="F416" s="2">
        <v>2074.289</v>
      </c>
    </row>
    <row r="417" spans="3:6" x14ac:dyDescent="0.25">
      <c r="C417" s="2" t="s">
        <v>12326</v>
      </c>
      <c r="D417" s="2" t="s">
        <v>9</v>
      </c>
      <c r="E417" s="2">
        <v>204</v>
      </c>
      <c r="F417" s="2">
        <v>4046.139</v>
      </c>
    </row>
    <row r="418" spans="3:6" x14ac:dyDescent="0.25">
      <c r="C418" s="2" t="s">
        <v>12327</v>
      </c>
      <c r="D418" s="2" t="s">
        <v>9</v>
      </c>
      <c r="E418" s="2">
        <v>141</v>
      </c>
      <c r="F418" s="2">
        <v>2871.999</v>
      </c>
    </row>
    <row r="419" spans="3:6" x14ac:dyDescent="0.25">
      <c r="C419" s="2" t="s">
        <v>12328</v>
      </c>
      <c r="D419" s="2" t="s">
        <v>9</v>
      </c>
      <c r="E419" s="2">
        <v>90</v>
      </c>
      <c r="F419" s="2">
        <v>416.201</v>
      </c>
    </row>
    <row r="420" spans="3:6" x14ac:dyDescent="0.25">
      <c r="C420" s="2" t="s">
        <v>12329</v>
      </c>
      <c r="D420" s="2" t="s">
        <v>9</v>
      </c>
      <c r="E420" s="2">
        <v>141</v>
      </c>
      <c r="F420" s="2">
        <v>2761.45</v>
      </c>
    </row>
    <row r="421" spans="3:6" x14ac:dyDescent="0.25">
      <c r="C421" s="2" t="s">
        <v>12330</v>
      </c>
      <c r="D421" s="2" t="s">
        <v>9</v>
      </c>
      <c r="E421" s="2">
        <v>142</v>
      </c>
      <c r="F421" s="2">
        <v>2949.17</v>
      </c>
    </row>
    <row r="422" spans="3:6" x14ac:dyDescent="0.25">
      <c r="C422" s="2" t="s">
        <v>12331</v>
      </c>
      <c r="D422" s="2" t="s">
        <v>9</v>
      </c>
      <c r="E422" s="2">
        <v>105</v>
      </c>
      <c r="F422" s="2">
        <v>439.479</v>
      </c>
    </row>
    <row r="423" spans="3:6" x14ac:dyDescent="0.25">
      <c r="C423" s="2" t="s">
        <v>12332</v>
      </c>
      <c r="D423" s="2" t="s">
        <v>9</v>
      </c>
      <c r="E423" s="2">
        <v>76</v>
      </c>
      <c r="F423" s="2">
        <v>1447.49</v>
      </c>
    </row>
    <row r="424" spans="3:6" x14ac:dyDescent="0.25">
      <c r="C424" s="2" t="s">
        <v>12333</v>
      </c>
      <c r="D424" s="2" t="s">
        <v>9</v>
      </c>
      <c r="E424" s="2">
        <v>66</v>
      </c>
      <c r="F424" s="2">
        <v>1069.6</v>
      </c>
    </row>
    <row r="425" spans="3:6" x14ac:dyDescent="0.25">
      <c r="C425" s="2" t="s">
        <v>12334</v>
      </c>
      <c r="D425" s="2" t="s">
        <v>9</v>
      </c>
      <c r="E425" s="2">
        <v>44</v>
      </c>
      <c r="F425" s="2">
        <v>862.77</v>
      </c>
    </row>
    <row r="426" spans="3:6" x14ac:dyDescent="0.25">
      <c r="C426" s="2" t="s">
        <v>12335</v>
      </c>
      <c r="D426" s="2" t="s">
        <v>9</v>
      </c>
      <c r="E426" s="2">
        <v>36</v>
      </c>
      <c r="F426" s="2">
        <v>668.26</v>
      </c>
    </row>
    <row r="427" spans="3:6" x14ac:dyDescent="0.25">
      <c r="C427" s="2" t="s">
        <v>12336</v>
      </c>
      <c r="D427" s="2" t="s">
        <v>9</v>
      </c>
      <c r="E427" s="2">
        <v>22</v>
      </c>
      <c r="F427" s="2">
        <v>442.83</v>
      </c>
    </row>
    <row r="428" spans="3:6" x14ac:dyDescent="0.25">
      <c r="C428" s="2" t="s">
        <v>12337</v>
      </c>
      <c r="D428" s="2" t="s">
        <v>9</v>
      </c>
      <c r="E428" s="2">
        <v>134</v>
      </c>
      <c r="F428" s="2">
        <v>2696.57</v>
      </c>
    </row>
    <row r="429" spans="3:6" x14ac:dyDescent="0.25">
      <c r="C429" s="2" t="s">
        <v>12338</v>
      </c>
      <c r="D429" s="2" t="s">
        <v>9</v>
      </c>
      <c r="E429" s="2">
        <v>102</v>
      </c>
      <c r="F429" s="2">
        <v>1956.04</v>
      </c>
    </row>
    <row r="430" spans="3:6" x14ac:dyDescent="0.25">
      <c r="C430" s="2" t="s">
        <v>12339</v>
      </c>
      <c r="D430" s="2" t="s">
        <v>9</v>
      </c>
      <c r="E430" s="2">
        <v>141</v>
      </c>
      <c r="F430" s="2">
        <v>2912.68</v>
      </c>
    </row>
    <row r="431" spans="3:6" x14ac:dyDescent="0.25">
      <c r="C431" s="2" t="s">
        <v>12340</v>
      </c>
      <c r="D431" s="2" t="s">
        <v>9</v>
      </c>
      <c r="E431" s="2">
        <v>141</v>
      </c>
      <c r="F431" s="2">
        <v>2964.63</v>
      </c>
    </row>
    <row r="432" spans="3:6" x14ac:dyDescent="0.25">
      <c r="C432" s="2" t="s">
        <v>12341</v>
      </c>
      <c r="D432" s="2" t="s">
        <v>9</v>
      </c>
      <c r="E432" s="2">
        <v>55</v>
      </c>
      <c r="F432" s="2">
        <v>1112.029</v>
      </c>
    </row>
    <row r="433" spans="3:6" x14ac:dyDescent="0.25">
      <c r="C433" s="2" t="s">
        <v>12342</v>
      </c>
      <c r="D433" s="2" t="s">
        <v>9</v>
      </c>
      <c r="E433" s="2">
        <v>86</v>
      </c>
      <c r="F433" s="2">
        <v>1733.36</v>
      </c>
    </row>
    <row r="434" spans="3:6" x14ac:dyDescent="0.25">
      <c r="C434" s="2" t="s">
        <v>12343</v>
      </c>
      <c r="D434" s="2" t="s">
        <v>9</v>
      </c>
      <c r="E434" s="2">
        <v>141</v>
      </c>
      <c r="F434" s="2">
        <v>2752.41</v>
      </c>
    </row>
    <row r="435" spans="3:6" x14ac:dyDescent="0.25">
      <c r="C435" s="2" t="s">
        <v>12344</v>
      </c>
      <c r="D435" s="2" t="s">
        <v>9</v>
      </c>
      <c r="E435" s="2">
        <v>53</v>
      </c>
      <c r="F435" s="2">
        <v>1036.589</v>
      </c>
    </row>
    <row r="436" spans="3:6" x14ac:dyDescent="0.25">
      <c r="C436" s="2" t="s">
        <v>12345</v>
      </c>
      <c r="D436" s="2" t="s">
        <v>9</v>
      </c>
      <c r="E436" s="2">
        <v>49</v>
      </c>
      <c r="F436" s="2">
        <v>978.75</v>
      </c>
    </row>
    <row r="437" spans="3:6" x14ac:dyDescent="0.25">
      <c r="C437" s="2" t="s">
        <v>12346</v>
      </c>
      <c r="D437" s="2" t="s">
        <v>9</v>
      </c>
      <c r="E437" s="2">
        <v>140</v>
      </c>
      <c r="F437" s="2">
        <v>2884.499</v>
      </c>
    </row>
    <row r="438" spans="3:6" x14ac:dyDescent="0.25">
      <c r="C438" s="2" t="s">
        <v>12347</v>
      </c>
      <c r="D438" s="2" t="s">
        <v>9</v>
      </c>
      <c r="E438" s="2">
        <v>243</v>
      </c>
      <c r="F438" s="2">
        <v>5039.78</v>
      </c>
    </row>
    <row r="439" spans="3:6" x14ac:dyDescent="0.25">
      <c r="C439" s="2" t="s">
        <v>12348</v>
      </c>
      <c r="D439" s="2" t="s">
        <v>9</v>
      </c>
      <c r="E439" s="2">
        <v>141</v>
      </c>
      <c r="F439" s="2">
        <v>2907.38</v>
      </c>
    </row>
    <row r="440" spans="3:6" x14ac:dyDescent="0.25">
      <c r="C440" s="2" t="s">
        <v>12349</v>
      </c>
      <c r="D440" s="2" t="s">
        <v>9</v>
      </c>
      <c r="E440" s="2">
        <v>141</v>
      </c>
      <c r="F440" s="2">
        <v>2941.24</v>
      </c>
    </row>
    <row r="441" spans="3:6" x14ac:dyDescent="0.25">
      <c r="C441" s="2" t="s">
        <v>12350</v>
      </c>
      <c r="D441" s="2" t="s">
        <v>9</v>
      </c>
      <c r="E441" s="2">
        <v>98</v>
      </c>
      <c r="F441" s="2">
        <v>1958.77</v>
      </c>
    </row>
    <row r="442" spans="3:6" x14ac:dyDescent="0.25">
      <c r="C442" s="2" t="s">
        <v>12351</v>
      </c>
      <c r="D442" s="2" t="s">
        <v>9</v>
      </c>
      <c r="E442" s="2">
        <v>43</v>
      </c>
      <c r="F442" s="2">
        <v>857.06</v>
      </c>
    </row>
    <row r="443" spans="3:6" x14ac:dyDescent="0.25">
      <c r="C443" s="2" t="s">
        <v>12352</v>
      </c>
      <c r="D443" s="2" t="s">
        <v>9</v>
      </c>
      <c r="E443" s="2">
        <v>9</v>
      </c>
      <c r="F443" s="2">
        <v>68.69</v>
      </c>
    </row>
    <row r="444" spans="3:6" x14ac:dyDescent="0.25">
      <c r="C444" s="2" t="s">
        <v>12353</v>
      </c>
      <c r="D444" s="2" t="s">
        <v>9</v>
      </c>
      <c r="E444" s="2">
        <v>33</v>
      </c>
      <c r="F444" s="2">
        <v>665.52</v>
      </c>
    </row>
    <row r="445" spans="3:6" x14ac:dyDescent="0.25">
      <c r="C445" s="2" t="s">
        <v>12354</v>
      </c>
      <c r="D445" s="2" t="s">
        <v>9</v>
      </c>
      <c r="E445" s="2">
        <v>33</v>
      </c>
      <c r="F445" s="2">
        <v>631.9</v>
      </c>
    </row>
    <row r="446" spans="3:6" x14ac:dyDescent="0.25">
      <c r="C446" s="2" t="s">
        <v>12355</v>
      </c>
      <c r="D446" s="2" t="s">
        <v>9</v>
      </c>
      <c r="E446" s="2">
        <v>141</v>
      </c>
      <c r="F446" s="2">
        <v>2909.58</v>
      </c>
    </row>
    <row r="447" spans="3:6" x14ac:dyDescent="0.25">
      <c r="C447" s="2" t="s">
        <v>12356</v>
      </c>
      <c r="D447" s="2" t="s">
        <v>9</v>
      </c>
      <c r="E447" s="2">
        <v>82</v>
      </c>
      <c r="F447" s="2">
        <v>1623.2</v>
      </c>
    </row>
    <row r="448" spans="3:6" x14ac:dyDescent="0.25">
      <c r="C448" s="2" t="s">
        <v>12357</v>
      </c>
      <c r="D448" s="2" t="s">
        <v>9</v>
      </c>
      <c r="E448" s="2">
        <v>60</v>
      </c>
      <c r="F448" s="2">
        <v>1211.56</v>
      </c>
    </row>
    <row r="449" spans="3:6" x14ac:dyDescent="0.25">
      <c r="C449" s="2" t="s">
        <v>12358</v>
      </c>
      <c r="D449" s="2" t="s">
        <v>9</v>
      </c>
      <c r="E449" s="2">
        <v>79</v>
      </c>
      <c r="F449" s="2">
        <v>1601.449</v>
      </c>
    </row>
    <row r="450" spans="3:6" x14ac:dyDescent="0.25">
      <c r="C450" s="2" t="s">
        <v>12359</v>
      </c>
      <c r="D450" s="2" t="s">
        <v>9</v>
      </c>
      <c r="E450" s="2">
        <v>45</v>
      </c>
      <c r="F450" s="2">
        <v>797.49</v>
      </c>
    </row>
    <row r="451" spans="3:6" x14ac:dyDescent="0.25">
      <c r="C451" s="2" t="s">
        <v>12360</v>
      </c>
      <c r="D451" s="2" t="s">
        <v>9</v>
      </c>
      <c r="E451" s="2">
        <v>17</v>
      </c>
      <c r="F451" s="2">
        <v>316.41</v>
      </c>
    </row>
    <row r="452" spans="3:6" x14ac:dyDescent="0.25">
      <c r="C452" s="2" t="s">
        <v>12361</v>
      </c>
      <c r="D452" s="2" t="s">
        <v>9</v>
      </c>
      <c r="E452" s="2">
        <v>22</v>
      </c>
      <c r="F452" s="2">
        <v>453.4</v>
      </c>
    </row>
    <row r="453" spans="3:6" x14ac:dyDescent="0.25">
      <c r="C453" s="2" t="s">
        <v>12362</v>
      </c>
      <c r="D453" s="2" t="s">
        <v>9</v>
      </c>
      <c r="E453" s="2">
        <v>75</v>
      </c>
      <c r="F453" s="2">
        <v>1537.26</v>
      </c>
    </row>
    <row r="454" spans="3:6" x14ac:dyDescent="0.25">
      <c r="C454" s="2" t="s">
        <v>12363</v>
      </c>
      <c r="D454" s="2" t="s">
        <v>9</v>
      </c>
      <c r="E454" s="2">
        <v>36</v>
      </c>
      <c r="F454" s="2">
        <v>671.97</v>
      </c>
    </row>
    <row r="455" spans="3:6" x14ac:dyDescent="0.25">
      <c r="C455" s="2" t="s">
        <v>12364</v>
      </c>
      <c r="D455" s="2" t="s">
        <v>9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10</v>
      </c>
      <c r="C457" s="2" t="s">
        <v>12365</v>
      </c>
      <c r="D457" s="2" t="s">
        <v>12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12366</v>
      </c>
      <c r="D458" s="2" t="s">
        <v>12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380</v>
      </c>
      <c r="C460" s="2" t="s">
        <v>12367</v>
      </c>
      <c r="D460" s="2" t="s">
        <v>20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12368</v>
      </c>
      <c r="D461" s="2" t="s">
        <v>20</v>
      </c>
      <c r="E461" s="2">
        <v>250</v>
      </c>
      <c r="F461" s="2">
        <v>5082.343</v>
      </c>
    </row>
    <row r="462" spans="3:6" x14ac:dyDescent="0.25">
      <c r="C462" s="2" t="s">
        <v>12369</v>
      </c>
      <c r="D462" s="2" t="s">
        <v>20</v>
      </c>
      <c r="E462" s="2">
        <v>289</v>
      </c>
      <c r="F462" s="2">
        <v>4920.809</v>
      </c>
    </row>
    <row r="463" spans="3:6" x14ac:dyDescent="0.25">
      <c r="C463" s="2" t="s">
        <v>12370</v>
      </c>
      <c r="D463" s="2" t="s">
        <v>20</v>
      </c>
      <c r="E463" s="2">
        <v>251</v>
      </c>
      <c r="F463" s="2">
        <v>4825.368</v>
      </c>
    </row>
    <row r="464" spans="3:6" x14ac:dyDescent="0.25">
      <c r="C464" s="2" t="s">
        <v>12371</v>
      </c>
      <c r="D464" s="2" t="s">
        <v>20</v>
      </c>
      <c r="E464" s="2">
        <v>149</v>
      </c>
      <c r="F464" s="2">
        <v>2794.21</v>
      </c>
    </row>
    <row r="465" spans="3:6" x14ac:dyDescent="0.25">
      <c r="C465" s="2" t="s">
        <v>12372</v>
      </c>
      <c r="D465" s="2" t="s">
        <v>20</v>
      </c>
      <c r="E465" s="2">
        <v>102</v>
      </c>
      <c r="F465" s="2">
        <v>2067.43</v>
      </c>
    </row>
    <row r="466" spans="3:6" x14ac:dyDescent="0.25">
      <c r="C466" s="2" t="s">
        <v>12373</v>
      </c>
      <c r="D466" s="2" t="s">
        <v>20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2094</v>
      </c>
      <c r="C468" s="2" t="s">
        <v>12374</v>
      </c>
      <c r="D468" s="2" t="s">
        <v>12375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1434</v>
      </c>
      <c r="C470" s="2" t="s">
        <v>12376</v>
      </c>
      <c r="D470" s="2" t="s">
        <v>122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12377</v>
      </c>
      <c r="D471" s="2" t="s">
        <v>122</v>
      </c>
      <c r="E471" s="2">
        <v>91</v>
      </c>
      <c r="F471" s="2">
        <v>1914.03</v>
      </c>
    </row>
    <row r="472" spans="3:6" x14ac:dyDescent="0.25">
      <c r="C472" s="2" t="s">
        <v>12378</v>
      </c>
      <c r="D472" s="2" t="s">
        <v>122</v>
      </c>
      <c r="E472" s="2">
        <v>47</v>
      </c>
      <c r="F472" s="2">
        <v>948.35</v>
      </c>
    </row>
    <row r="473" spans="3:6" x14ac:dyDescent="0.25">
      <c r="C473" s="2" t="s">
        <v>12379</v>
      </c>
      <c r="D473" s="2" t="s">
        <v>122</v>
      </c>
      <c r="E473" s="2">
        <v>74</v>
      </c>
      <c r="F473" s="2">
        <v>1503.9</v>
      </c>
    </row>
    <row r="474" spans="3:6" x14ac:dyDescent="0.25">
      <c r="C474" s="2" t="s">
        <v>12380</v>
      </c>
      <c r="D474" s="2" t="s">
        <v>122</v>
      </c>
      <c r="E474" s="2">
        <v>141</v>
      </c>
      <c r="F474" s="2">
        <v>3046.97</v>
      </c>
    </row>
    <row r="475" spans="3:6" x14ac:dyDescent="0.25">
      <c r="C475" s="2" t="s">
        <v>12381</v>
      </c>
      <c r="D475" s="2" t="s">
        <v>122</v>
      </c>
      <c r="E475" s="2">
        <v>142</v>
      </c>
      <c r="F475" s="2">
        <v>2871.42</v>
      </c>
    </row>
    <row r="476" spans="3:6" x14ac:dyDescent="0.25">
      <c r="C476" s="2" t="s">
        <v>12382</v>
      </c>
      <c r="D476" s="2" t="s">
        <v>122</v>
      </c>
      <c r="E476" s="2">
        <v>52</v>
      </c>
      <c r="F476" s="2">
        <v>1041.61</v>
      </c>
    </row>
    <row r="477" spans="3:6" x14ac:dyDescent="0.25">
      <c r="C477" s="2" t="s">
        <v>12383</v>
      </c>
      <c r="D477" s="2" t="s">
        <v>122</v>
      </c>
      <c r="E477" s="2">
        <v>89</v>
      </c>
      <c r="F477" s="2">
        <v>1773.47</v>
      </c>
    </row>
    <row r="478" spans="3:6" x14ac:dyDescent="0.25">
      <c r="C478" s="2" t="s">
        <v>12384</v>
      </c>
      <c r="D478" s="2" t="s">
        <v>122</v>
      </c>
      <c r="E478" s="2">
        <v>141</v>
      </c>
      <c r="F478" s="2">
        <v>3002.61</v>
      </c>
    </row>
    <row r="479" spans="3:6" x14ac:dyDescent="0.25">
      <c r="C479" s="2" t="s">
        <v>12385</v>
      </c>
      <c r="D479" s="2" t="s">
        <v>122</v>
      </c>
      <c r="E479" s="2">
        <v>141</v>
      </c>
      <c r="F479" s="2">
        <v>2899.34</v>
      </c>
    </row>
    <row r="480" spans="3:6" x14ac:dyDescent="0.25">
      <c r="C480" s="2" t="s">
        <v>12386</v>
      </c>
      <c r="D480" s="2" t="s">
        <v>122</v>
      </c>
      <c r="E480" s="2">
        <v>141</v>
      </c>
      <c r="F480" s="2">
        <v>2879.439</v>
      </c>
    </row>
    <row r="481" spans="3:6" x14ac:dyDescent="0.25">
      <c r="C481" s="2" t="s">
        <v>12387</v>
      </c>
      <c r="D481" s="2" t="s">
        <v>122</v>
      </c>
      <c r="E481" s="2">
        <v>141</v>
      </c>
      <c r="F481" s="2">
        <v>2901.94</v>
      </c>
    </row>
    <row r="482" spans="3:6" x14ac:dyDescent="0.25">
      <c r="C482" s="2" t="s">
        <v>12388</v>
      </c>
      <c r="D482" s="2" t="s">
        <v>122</v>
      </c>
      <c r="E482" s="2">
        <v>33</v>
      </c>
      <c r="F482" s="2">
        <v>662.45</v>
      </c>
    </row>
    <row r="483" spans="3:6" x14ac:dyDescent="0.25">
      <c r="C483" s="2" t="s">
        <v>12389</v>
      </c>
      <c r="D483" s="2" t="s">
        <v>122</v>
      </c>
      <c r="E483" s="2">
        <v>51</v>
      </c>
      <c r="F483" s="2">
        <v>1093.14</v>
      </c>
    </row>
    <row r="484" spans="3:6" x14ac:dyDescent="0.25">
      <c r="C484" s="2" t="s">
        <v>12390</v>
      </c>
      <c r="D484" s="2" t="s">
        <v>122</v>
      </c>
      <c r="E484" s="2">
        <v>57</v>
      </c>
      <c r="F484" s="2">
        <v>1191.59</v>
      </c>
    </row>
    <row r="485" spans="3:6" x14ac:dyDescent="0.25">
      <c r="C485" s="2" t="s">
        <v>12391</v>
      </c>
      <c r="D485" s="2" t="s">
        <v>122</v>
      </c>
      <c r="E485" s="2">
        <v>100</v>
      </c>
      <c r="F485" s="2">
        <v>2029.299</v>
      </c>
    </row>
    <row r="486" spans="3:6" x14ac:dyDescent="0.25">
      <c r="C486" s="2" t="s">
        <v>12392</v>
      </c>
      <c r="D486" s="2" t="s">
        <v>122</v>
      </c>
      <c r="E486" s="2">
        <v>70</v>
      </c>
      <c r="F486" s="2">
        <v>1448.73</v>
      </c>
    </row>
    <row r="487" spans="3:6" x14ac:dyDescent="0.25">
      <c r="C487" s="2" t="s">
        <v>12393</v>
      </c>
      <c r="D487" s="2" t="s">
        <v>122</v>
      </c>
      <c r="E487" s="2">
        <v>30</v>
      </c>
      <c r="F487" s="2">
        <v>603.28</v>
      </c>
    </row>
    <row r="488" spans="3:6" x14ac:dyDescent="0.25">
      <c r="C488" s="2" t="s">
        <v>12394</v>
      </c>
      <c r="D488" s="2" t="s">
        <v>122</v>
      </c>
      <c r="E488" s="2">
        <v>80</v>
      </c>
      <c r="F488" s="2">
        <v>1674.05</v>
      </c>
    </row>
    <row r="489" spans="3:6" x14ac:dyDescent="0.25">
      <c r="C489" s="2" t="s">
        <v>12395</v>
      </c>
      <c r="D489" s="2" t="s">
        <v>122</v>
      </c>
      <c r="E489" s="2">
        <v>11</v>
      </c>
      <c r="F489" s="2">
        <v>200.6</v>
      </c>
    </row>
    <row r="490" spans="3:6" x14ac:dyDescent="0.25">
      <c r="C490" s="2" t="s">
        <v>12396</v>
      </c>
      <c r="D490" s="2" t="s">
        <v>122</v>
      </c>
      <c r="E490" s="2">
        <v>30</v>
      </c>
      <c r="F490" s="2">
        <v>578.43</v>
      </c>
    </row>
    <row r="491" spans="3:6" x14ac:dyDescent="0.25">
      <c r="C491" s="2" t="s">
        <v>12397</v>
      </c>
      <c r="D491" s="2" t="s">
        <v>122</v>
      </c>
      <c r="E491" s="2">
        <v>20</v>
      </c>
      <c r="F491" s="2">
        <v>379.95</v>
      </c>
    </row>
    <row r="492" spans="3:6" x14ac:dyDescent="0.25">
      <c r="C492" s="2" t="s">
        <v>12398</v>
      </c>
      <c r="D492" s="2" t="s">
        <v>122</v>
      </c>
      <c r="E492" s="2">
        <v>28</v>
      </c>
      <c r="F492" s="2">
        <v>577.06</v>
      </c>
    </row>
    <row r="493" spans="3:6" x14ac:dyDescent="0.25">
      <c r="C493" s="2" t="s">
        <v>12399</v>
      </c>
      <c r="D493" s="2" t="s">
        <v>122</v>
      </c>
      <c r="E493" s="2">
        <v>42</v>
      </c>
      <c r="F493" s="2">
        <v>852.08</v>
      </c>
    </row>
    <row r="494" spans="3:6" x14ac:dyDescent="0.25">
      <c r="C494" s="2" t="s">
        <v>12400</v>
      </c>
      <c r="D494" s="2" t="s">
        <v>122</v>
      </c>
      <c r="E494" s="2">
        <v>30</v>
      </c>
      <c r="F494" s="2">
        <v>615.8</v>
      </c>
    </row>
    <row r="495" spans="3:6" x14ac:dyDescent="0.25">
      <c r="C495" s="2" t="s">
        <v>12401</v>
      </c>
      <c r="D495" s="2" t="s">
        <v>122</v>
      </c>
      <c r="E495" s="2">
        <v>100</v>
      </c>
      <c r="F495" s="2">
        <v>2019.14</v>
      </c>
    </row>
    <row r="496" spans="3:6" x14ac:dyDescent="0.25">
      <c r="C496" s="2" t="s">
        <v>12402</v>
      </c>
      <c r="D496" s="2" t="s">
        <v>122</v>
      </c>
      <c r="E496" s="2">
        <v>20</v>
      </c>
      <c r="F496" s="2">
        <v>415.05</v>
      </c>
    </row>
    <row r="497" spans="3:6" x14ac:dyDescent="0.25">
      <c r="C497" s="2" t="s">
        <v>12403</v>
      </c>
      <c r="D497" s="2" t="s">
        <v>122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324</v>
      </c>
      <c r="C499" s="2" t="s">
        <v>12404</v>
      </c>
      <c r="D499" s="2" t="s">
        <v>27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12405</v>
      </c>
      <c r="D500" s="2" t="s">
        <v>27</v>
      </c>
      <c r="E500" s="2">
        <v>9</v>
      </c>
      <c r="F500" s="2">
        <v>235.97</v>
      </c>
    </row>
    <row r="501" spans="3:6" x14ac:dyDescent="0.25">
      <c r="C501" s="2" t="s">
        <v>12406</v>
      </c>
      <c r="D501" s="2" t="s">
        <v>27</v>
      </c>
      <c r="E501" s="2">
        <v>49</v>
      </c>
      <c r="F501" s="2">
        <v>854.17</v>
      </c>
    </row>
    <row r="502" spans="3:6" x14ac:dyDescent="0.25">
      <c r="C502" s="2" t="s">
        <v>12407</v>
      </c>
      <c r="D502" s="2" t="s">
        <v>27</v>
      </c>
      <c r="E502" s="2">
        <v>93</v>
      </c>
      <c r="F502" s="2">
        <v>1844.079</v>
      </c>
    </row>
    <row r="503" spans="3:6" x14ac:dyDescent="0.25">
      <c r="C503" s="2" t="s">
        <v>12408</v>
      </c>
      <c r="D503" s="2" t="s">
        <v>27</v>
      </c>
      <c r="E503" s="2">
        <v>90</v>
      </c>
      <c r="F503" s="2">
        <v>1832.4</v>
      </c>
    </row>
    <row r="504" spans="3:6" x14ac:dyDescent="0.25">
      <c r="C504" s="2" t="s">
        <v>12409</v>
      </c>
      <c r="D504" s="2" t="s">
        <v>27</v>
      </c>
      <c r="E504" s="2" t="s">
        <v>8758</v>
      </c>
      <c r="F504" s="2" t="s">
        <v>8758</v>
      </c>
    </row>
    <row r="506" spans="1:7" x14ac:dyDescent="0.25">
      <c r="A506" s="1">
        <v>46147</v>
      </c>
      <c r="B506" s="2" t="s">
        <v>10</v>
      </c>
      <c r="C506" s="2" t="s">
        <v>12410</v>
      </c>
      <c r="D506" s="2" t="s">
        <v>12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12411</v>
      </c>
      <c r="D507" s="2" t="s">
        <v>12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90</v>
      </c>
      <c r="C509" s="2" t="s">
        <v>12412</v>
      </c>
      <c r="D509" s="2" t="s">
        <v>42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12413</v>
      </c>
      <c r="D510" s="2" t="s">
        <v>42</v>
      </c>
      <c r="E510" s="2">
        <v>141</v>
      </c>
      <c r="F510" s="2">
        <v>2824.339</v>
      </c>
    </row>
    <row r="511" spans="3:6" x14ac:dyDescent="0.25">
      <c r="C511" s="2" t="s">
        <v>12414</v>
      </c>
      <c r="D511" s="2" t="s">
        <v>42</v>
      </c>
      <c r="E511" s="2">
        <v>81</v>
      </c>
      <c r="F511" s="2">
        <v>1607.831</v>
      </c>
    </row>
    <row r="512" spans="3:6" x14ac:dyDescent="0.25">
      <c r="C512" s="2" t="s">
        <v>12415</v>
      </c>
      <c r="D512" s="2" t="s">
        <v>42</v>
      </c>
      <c r="E512" s="2">
        <v>82</v>
      </c>
      <c r="F512" s="2">
        <v>1658.11</v>
      </c>
    </row>
    <row r="513" spans="3:6" x14ac:dyDescent="0.25">
      <c r="C513" s="2" t="s">
        <v>12416</v>
      </c>
      <c r="D513" s="2" t="s">
        <v>42</v>
      </c>
      <c r="E513" s="2">
        <v>116</v>
      </c>
      <c r="F513" s="2">
        <v>2085.184</v>
      </c>
    </row>
    <row r="514" spans="3:6" x14ac:dyDescent="0.25">
      <c r="C514" s="2" t="s">
        <v>12417</v>
      </c>
      <c r="D514" s="2" t="s">
        <v>42</v>
      </c>
      <c r="E514" s="2">
        <v>100</v>
      </c>
      <c r="F514" s="2">
        <v>1986.58</v>
      </c>
    </row>
    <row r="515" spans="3:6" x14ac:dyDescent="0.25">
      <c r="C515" s="2" t="s">
        <v>12418</v>
      </c>
      <c r="D515" s="2" t="s">
        <v>42</v>
      </c>
      <c r="E515" s="2">
        <v>69</v>
      </c>
      <c r="F515" s="2">
        <v>1196.216</v>
      </c>
    </row>
    <row r="516" spans="3:6" x14ac:dyDescent="0.25">
      <c r="C516" s="2" t="s">
        <v>12419</v>
      </c>
      <c r="D516" s="2" t="s">
        <v>42</v>
      </c>
      <c r="E516" s="2">
        <v>141</v>
      </c>
      <c r="F516" s="2">
        <v>3247.39</v>
      </c>
    </row>
    <row r="517" spans="3:6" x14ac:dyDescent="0.25">
      <c r="C517" s="2" t="s">
        <v>12420</v>
      </c>
      <c r="D517" s="2" t="s">
        <v>42</v>
      </c>
      <c r="E517" s="2">
        <v>141</v>
      </c>
      <c r="F517" s="2">
        <v>2833.137</v>
      </c>
    </row>
    <row r="518" spans="3:6" x14ac:dyDescent="0.25">
      <c r="C518" s="2" t="s">
        <v>12421</v>
      </c>
      <c r="D518" s="2" t="s">
        <v>42</v>
      </c>
      <c r="E518" s="2">
        <v>123</v>
      </c>
      <c r="F518" s="2">
        <v>2549.177</v>
      </c>
    </row>
    <row r="519" spans="3:6" x14ac:dyDescent="0.25">
      <c r="C519" s="2" t="s">
        <v>12422</v>
      </c>
      <c r="D519" s="2" t="s">
        <v>42</v>
      </c>
      <c r="E519" s="2">
        <v>75</v>
      </c>
      <c r="F519" s="2">
        <v>404.18</v>
      </c>
    </row>
    <row r="520" spans="3:6" x14ac:dyDescent="0.25">
      <c r="C520" s="2" t="s">
        <v>12423</v>
      </c>
      <c r="D520" s="2" t="s">
        <v>42</v>
      </c>
      <c r="E520" s="2">
        <v>20</v>
      </c>
      <c r="F520" s="2">
        <v>103.05</v>
      </c>
    </row>
    <row r="521" spans="3:6" x14ac:dyDescent="0.25">
      <c r="C521" s="2" t="s">
        <v>12424</v>
      </c>
      <c r="D521" s="2" t="s">
        <v>42</v>
      </c>
      <c r="E521" s="2">
        <v>123</v>
      </c>
      <c r="F521" s="2">
        <v>2488.884</v>
      </c>
    </row>
    <row r="522" spans="3:6" x14ac:dyDescent="0.25">
      <c r="C522" s="2" t="s">
        <v>12425</v>
      </c>
      <c r="D522" s="2" t="s">
        <v>42</v>
      </c>
      <c r="E522" s="2">
        <v>123</v>
      </c>
      <c r="F522" s="2">
        <v>2527.93</v>
      </c>
    </row>
    <row r="523" spans="3:6" x14ac:dyDescent="0.25">
      <c r="C523" s="2" t="s">
        <v>12426</v>
      </c>
      <c r="D523" s="2" t="s">
        <v>42</v>
      </c>
      <c r="E523" s="2">
        <v>10</v>
      </c>
      <c r="F523" s="2">
        <v>225.2</v>
      </c>
    </row>
    <row r="524" spans="3:6" x14ac:dyDescent="0.25">
      <c r="C524" s="2" t="s">
        <v>12427</v>
      </c>
      <c r="D524" s="2" t="s">
        <v>42</v>
      </c>
      <c r="E524" s="2">
        <v>65</v>
      </c>
      <c r="F524" s="2">
        <v>1415.72</v>
      </c>
    </row>
    <row r="525" spans="3:6" x14ac:dyDescent="0.25">
      <c r="C525" s="2" t="s">
        <v>12428</v>
      </c>
      <c r="D525" s="2" t="s">
        <v>42</v>
      </c>
      <c r="E525" s="2">
        <v>31</v>
      </c>
      <c r="F525" s="2">
        <v>633.08</v>
      </c>
    </row>
    <row r="526" spans="3:6" x14ac:dyDescent="0.25">
      <c r="C526" s="2" t="s">
        <v>12429</v>
      </c>
      <c r="D526" s="2" t="s">
        <v>42</v>
      </c>
      <c r="E526" s="2">
        <v>54</v>
      </c>
      <c r="F526" s="2">
        <v>1111.15</v>
      </c>
    </row>
    <row r="527" spans="3:6" x14ac:dyDescent="0.25">
      <c r="C527" s="2" t="s">
        <v>12430</v>
      </c>
      <c r="D527" s="2" t="s">
        <v>42</v>
      </c>
      <c r="E527" s="2">
        <v>23</v>
      </c>
      <c r="F527" s="2">
        <v>432.66</v>
      </c>
    </row>
    <row r="528" spans="3:6" x14ac:dyDescent="0.25">
      <c r="C528" s="2" t="s">
        <v>12431</v>
      </c>
      <c r="D528" s="2" t="s">
        <v>42</v>
      </c>
      <c r="E528" s="2">
        <v>23</v>
      </c>
      <c r="F528" s="2">
        <v>438.18</v>
      </c>
    </row>
    <row r="529" spans="3:6" x14ac:dyDescent="0.25">
      <c r="C529" s="2" t="s">
        <v>12432</v>
      </c>
      <c r="D529" s="2" t="s">
        <v>42</v>
      </c>
      <c r="E529" s="2">
        <v>15</v>
      </c>
      <c r="F529" s="2">
        <v>229.22</v>
      </c>
    </row>
    <row r="530" spans="3:6" x14ac:dyDescent="0.25">
      <c r="C530" s="2" t="s">
        <v>12433</v>
      </c>
      <c r="D530" s="2" t="s">
        <v>42</v>
      </c>
      <c r="E530" s="2">
        <v>12</v>
      </c>
      <c r="F530" s="2">
        <v>182.439</v>
      </c>
    </row>
    <row r="531" spans="3:6" x14ac:dyDescent="0.25">
      <c r="C531" s="2" t="s">
        <v>12434</v>
      </c>
      <c r="D531" s="2" t="s">
        <v>42</v>
      </c>
      <c r="E531" s="2">
        <v>101</v>
      </c>
      <c r="F531" s="2">
        <v>1983.712</v>
      </c>
    </row>
    <row r="532" spans="3:6" x14ac:dyDescent="0.25">
      <c r="C532" s="2" t="s">
        <v>12435</v>
      </c>
      <c r="D532" s="2" t="s">
        <v>42</v>
      </c>
      <c r="E532" s="2">
        <v>21</v>
      </c>
      <c r="F532" s="2">
        <v>354.24</v>
      </c>
    </row>
    <row r="533" spans="3:6" x14ac:dyDescent="0.25">
      <c r="C533" s="2" t="s">
        <v>12436</v>
      </c>
      <c r="D533" s="2" t="s">
        <v>42</v>
      </c>
      <c r="E533" s="2">
        <v>141</v>
      </c>
      <c r="F533" s="2">
        <v>2791.58</v>
      </c>
    </row>
    <row r="534" spans="3:6" x14ac:dyDescent="0.25">
      <c r="C534" s="2" t="s">
        <v>12437</v>
      </c>
      <c r="D534" s="2" t="s">
        <v>42</v>
      </c>
      <c r="E534" s="2">
        <v>69</v>
      </c>
      <c r="F534" s="2">
        <v>988.936</v>
      </c>
    </row>
    <row r="535" spans="3:6" x14ac:dyDescent="0.25">
      <c r="C535" s="2" t="s">
        <v>12438</v>
      </c>
      <c r="D535" s="2" t="s">
        <v>42</v>
      </c>
      <c r="E535" s="2">
        <v>48</v>
      </c>
      <c r="F535" s="2">
        <v>967.58</v>
      </c>
    </row>
    <row r="536" spans="3:6" x14ac:dyDescent="0.25">
      <c r="C536" s="2" t="s">
        <v>12439</v>
      </c>
      <c r="D536" s="2" t="s">
        <v>42</v>
      </c>
      <c r="E536" s="2">
        <v>75</v>
      </c>
      <c r="F536" s="2">
        <v>375.83</v>
      </c>
    </row>
    <row r="537" spans="3:6" x14ac:dyDescent="0.25">
      <c r="C537" s="2" t="s">
        <v>12440</v>
      </c>
      <c r="D537" s="2" t="s">
        <v>42</v>
      </c>
      <c r="E537" s="2">
        <v>141</v>
      </c>
      <c r="F537" s="2">
        <v>2917.36</v>
      </c>
    </row>
    <row r="538" spans="3:6" x14ac:dyDescent="0.25">
      <c r="C538" s="2" t="s">
        <v>12441</v>
      </c>
      <c r="D538" s="2" t="s">
        <v>42</v>
      </c>
      <c r="E538" s="2">
        <v>59</v>
      </c>
      <c r="F538" s="2">
        <v>1106.498</v>
      </c>
    </row>
    <row r="539" spans="3:6" x14ac:dyDescent="0.25">
      <c r="C539" s="2" t="s">
        <v>12442</v>
      </c>
      <c r="D539" s="2" t="s">
        <v>42</v>
      </c>
      <c r="E539" s="2">
        <v>46</v>
      </c>
      <c r="F539" s="2">
        <v>955</v>
      </c>
    </row>
    <row r="540" spans="3:6" x14ac:dyDescent="0.25">
      <c r="C540" s="2" t="s">
        <v>12443</v>
      </c>
      <c r="D540" s="2" t="s">
        <v>42</v>
      </c>
      <c r="E540" s="2">
        <v>18</v>
      </c>
      <c r="F540" s="2">
        <v>370.77</v>
      </c>
    </row>
    <row r="541" spans="3:6" x14ac:dyDescent="0.25">
      <c r="C541" s="2" t="s">
        <v>12444</v>
      </c>
      <c r="D541" s="2" t="s">
        <v>42</v>
      </c>
      <c r="E541" s="2">
        <v>39</v>
      </c>
      <c r="F541" s="2">
        <v>809.35</v>
      </c>
    </row>
    <row r="542" spans="3:6" x14ac:dyDescent="0.25">
      <c r="C542" s="2" t="s">
        <v>12445</v>
      </c>
      <c r="D542" s="2" t="s">
        <v>42</v>
      </c>
      <c r="E542" s="2">
        <v>24</v>
      </c>
      <c r="F542" s="2">
        <v>505.05</v>
      </c>
    </row>
    <row r="543" spans="3:6" x14ac:dyDescent="0.25">
      <c r="C543" s="2" t="s">
        <v>12446</v>
      </c>
      <c r="D543" s="2" t="s">
        <v>42</v>
      </c>
      <c r="E543" s="2">
        <v>109</v>
      </c>
      <c r="F543" s="2">
        <v>2152.78</v>
      </c>
    </row>
    <row r="544" spans="3:6" x14ac:dyDescent="0.25">
      <c r="C544" s="2" t="s">
        <v>12447</v>
      </c>
      <c r="D544" s="2" t="s">
        <v>42</v>
      </c>
      <c r="E544" s="2">
        <v>84</v>
      </c>
      <c r="F544" s="2">
        <v>1680.08</v>
      </c>
    </row>
    <row r="545" spans="3:6" x14ac:dyDescent="0.25">
      <c r="C545" s="2" t="s">
        <v>12448</v>
      </c>
      <c r="D545" s="2" t="s">
        <v>42</v>
      </c>
      <c r="E545" s="2">
        <v>18</v>
      </c>
      <c r="F545" s="2">
        <v>296.32</v>
      </c>
    </row>
    <row r="546" spans="3:6" x14ac:dyDescent="0.25">
      <c r="C546" s="2" t="s">
        <v>12449</v>
      </c>
      <c r="D546" s="2" t="s">
        <v>42</v>
      </c>
      <c r="E546" s="2">
        <v>8</v>
      </c>
      <c r="F546" s="2">
        <v>141.129</v>
      </c>
    </row>
    <row r="547" spans="3:6" x14ac:dyDescent="0.25">
      <c r="C547" s="2" t="s">
        <v>12450</v>
      </c>
      <c r="D547" s="2" t="s">
        <v>42</v>
      </c>
      <c r="E547" s="2">
        <v>115</v>
      </c>
      <c r="F547" s="2">
        <v>2316.902</v>
      </c>
    </row>
    <row r="548" spans="3:6" x14ac:dyDescent="0.25">
      <c r="C548" s="2" t="s">
        <v>12451</v>
      </c>
      <c r="D548" s="2" t="s">
        <v>42</v>
      </c>
      <c r="E548" s="2">
        <v>20</v>
      </c>
      <c r="F548" s="2">
        <v>422.65</v>
      </c>
    </row>
    <row r="549" spans="3:6" x14ac:dyDescent="0.25">
      <c r="C549" s="2" t="s">
        <v>12452</v>
      </c>
      <c r="D549" s="2" t="s">
        <v>42</v>
      </c>
      <c r="E549" s="2">
        <v>91</v>
      </c>
      <c r="F549" s="2">
        <v>2040.38</v>
      </c>
    </row>
    <row r="550" spans="3:6" x14ac:dyDescent="0.25">
      <c r="C550" s="2" t="s">
        <v>12453</v>
      </c>
      <c r="D550" s="2" t="s">
        <v>42</v>
      </c>
      <c r="E550" s="2">
        <v>30</v>
      </c>
      <c r="F550" s="2">
        <v>614.84</v>
      </c>
    </row>
    <row r="551" spans="3:6" x14ac:dyDescent="0.25">
      <c r="C551" s="2" t="s">
        <v>12454</v>
      </c>
      <c r="D551" s="2" t="s">
        <v>42</v>
      </c>
      <c r="E551" s="2">
        <v>26</v>
      </c>
      <c r="F551" s="2">
        <v>527.09</v>
      </c>
    </row>
    <row r="552" spans="3:6" x14ac:dyDescent="0.25">
      <c r="C552" s="2" t="s">
        <v>12455</v>
      </c>
      <c r="D552" s="2" t="s">
        <v>42</v>
      </c>
      <c r="E552" s="2">
        <v>70</v>
      </c>
      <c r="F552" s="2">
        <v>1442.069</v>
      </c>
    </row>
    <row r="553" spans="3:6" x14ac:dyDescent="0.25">
      <c r="C553" s="2" t="s">
        <v>12456</v>
      </c>
      <c r="D553" s="2" t="s">
        <v>42</v>
      </c>
      <c r="E553" s="2">
        <v>89</v>
      </c>
      <c r="F553" s="2">
        <v>1796.119</v>
      </c>
    </row>
    <row r="554" spans="3:6" x14ac:dyDescent="0.25">
      <c r="C554" s="2" t="s">
        <v>12457</v>
      </c>
      <c r="D554" s="2" t="s">
        <v>42</v>
      </c>
      <c r="E554" s="2">
        <v>30</v>
      </c>
      <c r="F554" s="2">
        <v>154.75</v>
      </c>
    </row>
    <row r="555" spans="3:6" x14ac:dyDescent="0.25">
      <c r="C555" s="2" t="s">
        <v>12458</v>
      </c>
      <c r="D555" s="2" t="s">
        <v>42</v>
      </c>
      <c r="E555" s="2">
        <v>26</v>
      </c>
      <c r="F555" s="2">
        <v>489.949</v>
      </c>
    </row>
    <row r="556" spans="3:6" x14ac:dyDescent="0.25">
      <c r="C556" s="2" t="s">
        <v>12459</v>
      </c>
      <c r="D556" s="2" t="s">
        <v>42</v>
      </c>
      <c r="E556" s="2">
        <v>116</v>
      </c>
      <c r="F556" s="2">
        <v>2363.95</v>
      </c>
    </row>
    <row r="557" spans="3:6" x14ac:dyDescent="0.25">
      <c r="C557" s="2" t="s">
        <v>12460</v>
      </c>
      <c r="D557" s="2" t="s">
        <v>42</v>
      </c>
      <c r="E557" s="2">
        <v>9</v>
      </c>
      <c r="F557" s="2">
        <v>185.58</v>
      </c>
    </row>
    <row r="558" spans="3:6" x14ac:dyDescent="0.25">
      <c r="C558" s="2" t="s">
        <v>12461</v>
      </c>
      <c r="D558" s="2" t="s">
        <v>42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12462</v>
      </c>
      <c r="C560" s="2" t="s">
        <v>12463</v>
      </c>
      <c r="D560" s="2" t="s">
        <v>20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12464</v>
      </c>
      <c r="D561" s="2" t="s">
        <v>20</v>
      </c>
      <c r="E561" s="2">
        <v>102</v>
      </c>
      <c r="F561" s="2">
        <v>1867.689</v>
      </c>
    </row>
    <row r="562" spans="3:6" x14ac:dyDescent="0.25">
      <c r="C562" s="2" t="s">
        <v>12465</v>
      </c>
      <c r="D562" s="2" t="s">
        <v>20</v>
      </c>
      <c r="E562" s="2">
        <v>251</v>
      </c>
      <c r="F562" s="2">
        <v>4816.699</v>
      </c>
    </row>
    <row r="563" spans="3:6" x14ac:dyDescent="0.25">
      <c r="C563" s="2" t="s">
        <v>12466</v>
      </c>
      <c r="D563" s="2" t="s">
        <v>20</v>
      </c>
      <c r="E563" s="2">
        <v>204</v>
      </c>
      <c r="F563" s="2">
        <v>3937.78</v>
      </c>
    </row>
    <row r="564" spans="3:6" x14ac:dyDescent="0.25">
      <c r="C564" s="2" t="s">
        <v>12467</v>
      </c>
      <c r="D564" s="2" t="s">
        <v>20</v>
      </c>
      <c r="E564" s="2">
        <v>251</v>
      </c>
      <c r="F564" s="2">
        <v>4879.619</v>
      </c>
    </row>
    <row r="565" spans="3:6" x14ac:dyDescent="0.25">
      <c r="C565" s="2" t="s">
        <v>12468</v>
      </c>
      <c r="D565" s="2" t="s">
        <v>20</v>
      </c>
      <c r="E565" s="2">
        <v>137</v>
      </c>
      <c r="F565" s="2">
        <v>2525.449</v>
      </c>
    </row>
    <row r="566" spans="3:6" x14ac:dyDescent="0.25">
      <c r="C566" s="2" t="s">
        <v>12469</v>
      </c>
      <c r="D566" s="2" t="s">
        <v>20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1434</v>
      </c>
      <c r="C568" s="2" t="s">
        <v>12470</v>
      </c>
      <c r="D568" s="2" t="s">
        <v>122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12471</v>
      </c>
      <c r="D569" s="2" t="s">
        <v>122</v>
      </c>
      <c r="E569" s="2">
        <v>141</v>
      </c>
      <c r="F569" s="2">
        <v>2992.86</v>
      </c>
    </row>
    <row r="570" spans="3:6" x14ac:dyDescent="0.25">
      <c r="C570" s="2" t="s">
        <v>12472</v>
      </c>
      <c r="D570" s="2" t="s">
        <v>122</v>
      </c>
      <c r="E570" s="2">
        <v>141</v>
      </c>
      <c r="F570" s="2">
        <v>2935.61</v>
      </c>
    </row>
    <row r="571" spans="3:6" x14ac:dyDescent="0.25">
      <c r="C571" s="2" t="s">
        <v>12473</v>
      </c>
      <c r="D571" s="2" t="s">
        <v>122</v>
      </c>
      <c r="E571" s="2">
        <v>141</v>
      </c>
      <c r="F571" s="2">
        <v>2943.07</v>
      </c>
    </row>
    <row r="572" spans="3:6" x14ac:dyDescent="0.25">
      <c r="C572" s="2" t="s">
        <v>12474</v>
      </c>
      <c r="D572" s="2" t="s">
        <v>122</v>
      </c>
      <c r="E572" s="2">
        <v>141</v>
      </c>
      <c r="F572" s="2">
        <v>2915.26</v>
      </c>
    </row>
    <row r="573" spans="3:6" x14ac:dyDescent="0.25">
      <c r="C573" s="2" t="s">
        <v>12475</v>
      </c>
      <c r="D573" s="2" t="s">
        <v>122</v>
      </c>
      <c r="E573" s="2">
        <v>68</v>
      </c>
      <c r="F573" s="2">
        <v>1398.749</v>
      </c>
    </row>
    <row r="574" spans="3:6" x14ac:dyDescent="0.25">
      <c r="C574" s="2" t="s">
        <v>12476</v>
      </c>
      <c r="D574" s="2" t="s">
        <v>122</v>
      </c>
      <c r="E574" s="2">
        <v>33</v>
      </c>
      <c r="F574" s="2">
        <v>686.14</v>
      </c>
    </row>
    <row r="575" spans="3:6" x14ac:dyDescent="0.25">
      <c r="C575" s="2" t="s">
        <v>12477</v>
      </c>
      <c r="D575" s="2" t="s">
        <v>122</v>
      </c>
      <c r="E575" s="2">
        <v>85</v>
      </c>
      <c r="F575" s="2">
        <v>1746.84</v>
      </c>
    </row>
    <row r="576" spans="3:6" x14ac:dyDescent="0.25">
      <c r="C576" s="2" t="s">
        <v>12478</v>
      </c>
      <c r="D576" s="2" t="s">
        <v>122</v>
      </c>
      <c r="E576" s="2">
        <v>15</v>
      </c>
      <c r="F576" s="2">
        <v>318.49</v>
      </c>
    </row>
    <row r="577" spans="3:6" x14ac:dyDescent="0.25">
      <c r="C577" s="2" t="s">
        <v>12479</v>
      </c>
      <c r="D577" s="2" t="s">
        <v>122</v>
      </c>
      <c r="E577" s="2">
        <v>141</v>
      </c>
      <c r="F577" s="2">
        <v>2967.23</v>
      </c>
    </row>
    <row r="578" spans="3:6" x14ac:dyDescent="0.25">
      <c r="C578" s="2" t="s">
        <v>12480</v>
      </c>
      <c r="D578" s="2" t="s">
        <v>122</v>
      </c>
      <c r="E578" s="2">
        <v>101</v>
      </c>
      <c r="F578" s="2">
        <v>2077.72</v>
      </c>
    </row>
    <row r="579" spans="3:6" x14ac:dyDescent="0.25">
      <c r="C579" s="2" t="s">
        <v>12481</v>
      </c>
      <c r="D579" s="2" t="s">
        <v>122</v>
      </c>
      <c r="E579" s="2">
        <v>101</v>
      </c>
      <c r="F579" s="2">
        <v>2112.58</v>
      </c>
    </row>
    <row r="580" spans="3:6" x14ac:dyDescent="0.25">
      <c r="C580" s="2" t="s">
        <v>12482</v>
      </c>
      <c r="D580" s="2" t="s">
        <v>122</v>
      </c>
      <c r="E580" s="2">
        <v>101</v>
      </c>
      <c r="F580" s="2">
        <v>2179.79</v>
      </c>
    </row>
    <row r="581" spans="3:6" x14ac:dyDescent="0.25">
      <c r="C581" s="2" t="s">
        <v>12483</v>
      </c>
      <c r="D581" s="2" t="s">
        <v>122</v>
      </c>
      <c r="E581" s="2">
        <v>65</v>
      </c>
      <c r="F581" s="2">
        <v>1362.09</v>
      </c>
    </row>
    <row r="582" spans="3:6" x14ac:dyDescent="0.25">
      <c r="C582" s="2" t="s">
        <v>12484</v>
      </c>
      <c r="D582" s="2" t="s">
        <v>122</v>
      </c>
      <c r="E582" s="2">
        <v>76</v>
      </c>
      <c r="F582" s="2">
        <v>1599.41</v>
      </c>
    </row>
    <row r="583" spans="3:6" x14ac:dyDescent="0.25">
      <c r="C583" s="2" t="s">
        <v>12485</v>
      </c>
      <c r="D583" s="2" t="s">
        <v>122</v>
      </c>
      <c r="E583" s="2">
        <v>141</v>
      </c>
      <c r="F583" s="2">
        <v>2962.89</v>
      </c>
    </row>
    <row r="584" spans="3:6" x14ac:dyDescent="0.25">
      <c r="C584" s="2" t="s">
        <v>12486</v>
      </c>
      <c r="D584" s="2" t="s">
        <v>122</v>
      </c>
      <c r="E584" s="2">
        <v>66</v>
      </c>
      <c r="F584" s="2">
        <v>1385.88</v>
      </c>
    </row>
    <row r="585" spans="3:6" x14ac:dyDescent="0.25">
      <c r="C585" s="2" t="s">
        <v>12487</v>
      </c>
      <c r="D585" s="2" t="s">
        <v>122</v>
      </c>
      <c r="E585" s="2">
        <v>55</v>
      </c>
      <c r="F585" s="2">
        <v>1161.57</v>
      </c>
    </row>
    <row r="586" spans="3:6" x14ac:dyDescent="0.25">
      <c r="C586" s="2" t="s">
        <v>12488</v>
      </c>
      <c r="D586" s="2" t="s">
        <v>122</v>
      </c>
      <c r="E586" s="2">
        <v>141</v>
      </c>
      <c r="F586" s="2">
        <v>2813.98</v>
      </c>
    </row>
    <row r="587" spans="3:6" x14ac:dyDescent="0.25">
      <c r="C587" s="2" t="s">
        <v>12489</v>
      </c>
      <c r="D587" s="2" t="s">
        <v>122</v>
      </c>
      <c r="E587" s="2">
        <v>48</v>
      </c>
      <c r="F587" s="2">
        <v>949.61</v>
      </c>
    </row>
    <row r="588" spans="3:6" x14ac:dyDescent="0.25">
      <c r="C588" s="2" t="s">
        <v>12490</v>
      </c>
      <c r="D588" s="2" t="s">
        <v>122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1289</v>
      </c>
      <c r="C590" s="2" t="s">
        <v>12491</v>
      </c>
      <c r="D590" s="2" t="s">
        <v>9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12492</v>
      </c>
      <c r="D591" s="2" t="s">
        <v>9</v>
      </c>
      <c r="E591" s="2">
        <v>102</v>
      </c>
      <c r="F591" s="2">
        <v>2090.3</v>
      </c>
    </row>
    <row r="592" spans="3:6" x14ac:dyDescent="0.25">
      <c r="C592" s="2" t="s">
        <v>12493</v>
      </c>
      <c r="D592" s="2" t="s">
        <v>9</v>
      </c>
      <c r="E592" s="2">
        <v>102</v>
      </c>
      <c r="F592" s="2">
        <v>2051.289</v>
      </c>
    </row>
    <row r="593" spans="3:6" x14ac:dyDescent="0.25">
      <c r="C593" s="2" t="s">
        <v>12494</v>
      </c>
      <c r="D593" s="2" t="s">
        <v>9</v>
      </c>
      <c r="E593" s="2">
        <v>141</v>
      </c>
      <c r="F593" s="2">
        <v>2936.49</v>
      </c>
    </row>
    <row r="594" spans="3:6" x14ac:dyDescent="0.25">
      <c r="C594" s="2" t="s">
        <v>12495</v>
      </c>
      <c r="D594" s="2" t="s">
        <v>9</v>
      </c>
      <c r="E594" s="2">
        <v>141</v>
      </c>
      <c r="F594" s="2">
        <v>2833.32</v>
      </c>
    </row>
    <row r="595" spans="3:6" x14ac:dyDescent="0.25">
      <c r="C595" s="2" t="s">
        <v>12496</v>
      </c>
      <c r="D595" s="2" t="s">
        <v>9</v>
      </c>
      <c r="E595" s="2">
        <v>102</v>
      </c>
      <c r="F595" s="2">
        <v>2094.01</v>
      </c>
    </row>
    <row r="596" spans="3:6" x14ac:dyDescent="0.25">
      <c r="C596" s="2" t="s">
        <v>12497</v>
      </c>
      <c r="D596" s="2" t="s">
        <v>9</v>
      </c>
      <c r="E596" s="2">
        <v>134</v>
      </c>
      <c r="F596" s="2">
        <v>2715.17</v>
      </c>
    </row>
    <row r="597" spans="3:6" x14ac:dyDescent="0.25">
      <c r="C597" s="2" t="s">
        <v>12498</v>
      </c>
      <c r="D597" s="2" t="s">
        <v>9</v>
      </c>
      <c r="E597" s="2">
        <v>102</v>
      </c>
      <c r="F597" s="2">
        <v>2074.95</v>
      </c>
    </row>
    <row r="598" spans="3:6" x14ac:dyDescent="0.25">
      <c r="C598" s="2" t="s">
        <v>12499</v>
      </c>
      <c r="D598" s="2" t="s">
        <v>9</v>
      </c>
      <c r="E598" s="2">
        <v>82</v>
      </c>
      <c r="F598" s="2">
        <v>349.479</v>
      </c>
    </row>
    <row r="599" spans="3:6" x14ac:dyDescent="0.25">
      <c r="C599" s="2" t="s">
        <v>12500</v>
      </c>
      <c r="D599" s="2" t="s">
        <v>9</v>
      </c>
      <c r="E599" s="2">
        <v>123</v>
      </c>
      <c r="F599" s="2">
        <v>2516.94</v>
      </c>
    </row>
    <row r="600" spans="3:6" x14ac:dyDescent="0.25">
      <c r="C600" s="2" t="s">
        <v>12501</v>
      </c>
      <c r="D600" s="2" t="s">
        <v>9</v>
      </c>
      <c r="E600" s="2">
        <v>123</v>
      </c>
      <c r="F600" s="2">
        <v>2467.16</v>
      </c>
    </row>
    <row r="601" spans="3:6" x14ac:dyDescent="0.25">
      <c r="C601" s="2" t="s">
        <v>12502</v>
      </c>
      <c r="D601" s="2" t="s">
        <v>9</v>
      </c>
      <c r="E601" s="2">
        <v>124</v>
      </c>
      <c r="F601" s="2">
        <v>2510.61</v>
      </c>
    </row>
    <row r="602" spans="3:6" x14ac:dyDescent="0.25">
      <c r="C602" s="2" t="s">
        <v>12503</v>
      </c>
      <c r="D602" s="2" t="s">
        <v>9</v>
      </c>
      <c r="E602" s="2">
        <v>123</v>
      </c>
      <c r="F602" s="2">
        <v>2475.18</v>
      </c>
    </row>
    <row r="603" spans="3:6" x14ac:dyDescent="0.25">
      <c r="C603" s="2" t="s">
        <v>12504</v>
      </c>
      <c r="D603" s="2" t="s">
        <v>9</v>
      </c>
      <c r="E603" s="2">
        <v>93</v>
      </c>
      <c r="F603" s="2">
        <v>1753.268</v>
      </c>
    </row>
    <row r="604" spans="3:6" x14ac:dyDescent="0.25">
      <c r="C604" s="2" t="s">
        <v>12505</v>
      </c>
      <c r="D604" s="2" t="s">
        <v>9</v>
      </c>
      <c r="E604" s="2">
        <v>48</v>
      </c>
      <c r="F604" s="2">
        <v>922.33</v>
      </c>
    </row>
    <row r="605" spans="3:6" x14ac:dyDescent="0.25">
      <c r="C605" s="2" t="s">
        <v>12506</v>
      </c>
      <c r="D605" s="2" t="s">
        <v>9</v>
      </c>
      <c r="E605" s="2">
        <v>141</v>
      </c>
      <c r="F605" s="2">
        <v>2773.549</v>
      </c>
    </row>
    <row r="606" spans="3:6" x14ac:dyDescent="0.25">
      <c r="C606" s="2" t="s">
        <v>12507</v>
      </c>
      <c r="D606" s="2" t="s">
        <v>9</v>
      </c>
      <c r="E606" s="2">
        <v>141</v>
      </c>
      <c r="F606" s="2">
        <v>2829.59</v>
      </c>
    </row>
    <row r="607" spans="3:6" x14ac:dyDescent="0.25">
      <c r="C607" s="2" t="s">
        <v>12508</v>
      </c>
      <c r="D607" s="2" t="s">
        <v>9</v>
      </c>
      <c r="E607" s="2">
        <v>141</v>
      </c>
      <c r="F607" s="2">
        <v>2877.58</v>
      </c>
    </row>
    <row r="608" spans="3:6" x14ac:dyDescent="0.25">
      <c r="C608" s="2" t="s">
        <v>12509</v>
      </c>
      <c r="D608" s="2" t="s">
        <v>9</v>
      </c>
      <c r="E608" s="2">
        <v>141</v>
      </c>
      <c r="F608" s="2">
        <v>2832.9</v>
      </c>
    </row>
    <row r="609" spans="3:6" x14ac:dyDescent="0.25">
      <c r="C609" s="2" t="s">
        <v>12510</v>
      </c>
      <c r="D609" s="2" t="s">
        <v>9</v>
      </c>
      <c r="E609" s="2">
        <v>282</v>
      </c>
      <c r="F609" s="2">
        <v>5702.829</v>
      </c>
    </row>
    <row r="610" spans="3:6" x14ac:dyDescent="0.25">
      <c r="C610" s="2" t="s">
        <v>12511</v>
      </c>
      <c r="D610" s="2" t="s">
        <v>9</v>
      </c>
      <c r="E610" s="2">
        <v>141</v>
      </c>
      <c r="F610" s="2">
        <v>2906.09</v>
      </c>
    </row>
    <row r="611" spans="3:6" x14ac:dyDescent="0.25">
      <c r="C611" s="2" t="s">
        <v>12512</v>
      </c>
      <c r="D611" s="2" t="s">
        <v>9</v>
      </c>
      <c r="E611" s="2">
        <v>102</v>
      </c>
      <c r="F611" s="2">
        <v>2096.9</v>
      </c>
    </row>
    <row r="612" spans="3:6" x14ac:dyDescent="0.25">
      <c r="C612" s="2" t="s">
        <v>12513</v>
      </c>
      <c r="D612" s="2" t="s">
        <v>9</v>
      </c>
      <c r="E612" s="2">
        <v>20</v>
      </c>
      <c r="F612" s="2">
        <v>394.83</v>
      </c>
    </row>
    <row r="613" spans="3:6" x14ac:dyDescent="0.25">
      <c r="C613" s="2" t="s">
        <v>12514</v>
      </c>
      <c r="D613" s="2" t="s">
        <v>9</v>
      </c>
      <c r="E613" s="2">
        <v>82</v>
      </c>
      <c r="F613" s="2">
        <v>1566.27</v>
      </c>
    </row>
    <row r="614" spans="3:6" x14ac:dyDescent="0.25">
      <c r="C614" s="2" t="s">
        <v>12515</v>
      </c>
      <c r="D614" s="2" t="s">
        <v>9</v>
      </c>
      <c r="E614" s="2">
        <v>141</v>
      </c>
      <c r="F614" s="2">
        <v>2922.96</v>
      </c>
    </row>
    <row r="615" spans="3:6" x14ac:dyDescent="0.25">
      <c r="C615" s="2" t="s">
        <v>12516</v>
      </c>
      <c r="D615" s="2" t="s">
        <v>9</v>
      </c>
      <c r="E615" s="2">
        <v>30</v>
      </c>
      <c r="F615" s="2">
        <v>575.53</v>
      </c>
    </row>
    <row r="616" spans="3:6" x14ac:dyDescent="0.25">
      <c r="C616" s="2" t="s">
        <v>12517</v>
      </c>
      <c r="D616" s="2" t="s">
        <v>9</v>
      </c>
      <c r="E616" s="2">
        <v>45</v>
      </c>
      <c r="F616" s="2">
        <v>934.89</v>
      </c>
    </row>
    <row r="617" spans="3:6" x14ac:dyDescent="0.25">
      <c r="C617" s="2" t="s">
        <v>12518</v>
      </c>
      <c r="D617" s="2" t="s">
        <v>9</v>
      </c>
      <c r="E617" s="2">
        <v>141</v>
      </c>
      <c r="F617" s="2">
        <v>2891.499</v>
      </c>
    </row>
    <row r="618" spans="3:6" x14ac:dyDescent="0.25">
      <c r="C618" s="2" t="s">
        <v>12519</v>
      </c>
      <c r="D618" s="2" t="s">
        <v>9</v>
      </c>
      <c r="E618" s="2">
        <v>63</v>
      </c>
      <c r="F618" s="2">
        <v>1285.169</v>
      </c>
    </row>
    <row r="619" spans="3:6" x14ac:dyDescent="0.25">
      <c r="C619" s="2" t="s">
        <v>12520</v>
      </c>
      <c r="D619" s="2" t="s">
        <v>9</v>
      </c>
      <c r="E619" s="2">
        <v>63</v>
      </c>
      <c r="F619" s="2">
        <v>1213.2</v>
      </c>
    </row>
    <row r="620" spans="3:6" x14ac:dyDescent="0.25">
      <c r="C620" s="2" t="s">
        <v>12521</v>
      </c>
      <c r="D620" s="2" t="s">
        <v>9</v>
      </c>
      <c r="E620" s="2">
        <v>15</v>
      </c>
      <c r="F620" s="2">
        <v>298.07</v>
      </c>
    </row>
    <row r="621" spans="3:6" x14ac:dyDescent="0.25">
      <c r="C621" s="2" t="s">
        <v>12522</v>
      </c>
      <c r="D621" s="2" t="s">
        <v>9</v>
      </c>
      <c r="E621" s="2">
        <v>35</v>
      </c>
      <c r="F621" s="2">
        <v>701.98</v>
      </c>
    </row>
    <row r="622" spans="3:6" x14ac:dyDescent="0.25">
      <c r="C622" s="2" t="s">
        <v>12523</v>
      </c>
      <c r="D622" s="2" t="s">
        <v>9</v>
      </c>
      <c r="E622" s="2">
        <v>80</v>
      </c>
      <c r="F622" s="2">
        <v>1656.11</v>
      </c>
    </row>
    <row r="623" spans="3:6" x14ac:dyDescent="0.25">
      <c r="C623" s="2" t="s">
        <v>12524</v>
      </c>
      <c r="D623" s="2" t="s">
        <v>9</v>
      </c>
      <c r="E623" s="2">
        <v>24</v>
      </c>
      <c r="F623" s="2">
        <v>479.66</v>
      </c>
    </row>
    <row r="624" spans="3:6" x14ac:dyDescent="0.25">
      <c r="C624" s="2" t="s">
        <v>12525</v>
      </c>
      <c r="D624" s="2" t="s">
        <v>9</v>
      </c>
      <c r="E624" s="2">
        <v>48</v>
      </c>
      <c r="F624" s="2">
        <v>947.05</v>
      </c>
    </row>
    <row r="625" spans="3:6" x14ac:dyDescent="0.25">
      <c r="C625" s="2" t="s">
        <v>12526</v>
      </c>
      <c r="D625" s="2" t="s">
        <v>9</v>
      </c>
      <c r="E625" s="2">
        <v>93</v>
      </c>
      <c r="F625" s="2">
        <v>1915.08</v>
      </c>
    </row>
    <row r="626" spans="3:6" x14ac:dyDescent="0.25">
      <c r="C626" s="2" t="s">
        <v>12527</v>
      </c>
      <c r="D626" s="2" t="s">
        <v>9</v>
      </c>
      <c r="E626" s="2">
        <v>39</v>
      </c>
      <c r="F626" s="2">
        <v>790</v>
      </c>
    </row>
    <row r="627" spans="3:6" x14ac:dyDescent="0.25">
      <c r="C627" s="2" t="s">
        <v>12528</v>
      </c>
      <c r="D627" s="2" t="s">
        <v>9</v>
      </c>
      <c r="E627" s="2">
        <v>59</v>
      </c>
      <c r="F627" s="2">
        <v>1116.7</v>
      </c>
    </row>
    <row r="628" spans="3:6" x14ac:dyDescent="0.25">
      <c r="C628" s="2" t="s">
        <v>12529</v>
      </c>
      <c r="D628" s="2" t="s">
        <v>9</v>
      </c>
      <c r="E628" s="2">
        <v>43</v>
      </c>
      <c r="F628" s="2">
        <v>885.98</v>
      </c>
    </row>
    <row r="629" spans="3:6" x14ac:dyDescent="0.25">
      <c r="C629" s="2" t="s">
        <v>12530</v>
      </c>
      <c r="D629" s="2" t="s">
        <v>9</v>
      </c>
      <c r="E629" s="2">
        <v>43</v>
      </c>
      <c r="F629" s="2">
        <v>728.409</v>
      </c>
    </row>
    <row r="630" spans="3:6" x14ac:dyDescent="0.25">
      <c r="C630" s="2" t="s">
        <v>12531</v>
      </c>
      <c r="D630" s="2" t="s">
        <v>9</v>
      </c>
      <c r="E630" s="2">
        <v>72</v>
      </c>
      <c r="F630" s="2">
        <v>1372.64</v>
      </c>
    </row>
    <row r="631" spans="3:6" x14ac:dyDescent="0.25">
      <c r="C631" s="2" t="s">
        <v>12532</v>
      </c>
      <c r="D631" s="2" t="s">
        <v>9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120</v>
      </c>
      <c r="C633" s="2" t="s">
        <v>12533</v>
      </c>
      <c r="D633" s="2" t="s">
        <v>42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12534</v>
      </c>
      <c r="D634" s="2" t="s">
        <v>42</v>
      </c>
      <c r="E634" s="2">
        <v>56</v>
      </c>
      <c r="F634" s="2">
        <v>1149.35</v>
      </c>
    </row>
    <row r="635" spans="3:6" x14ac:dyDescent="0.25">
      <c r="C635" s="2" t="s">
        <v>12535</v>
      </c>
      <c r="D635" s="2" t="s">
        <v>42</v>
      </c>
      <c r="E635" s="2">
        <v>75</v>
      </c>
      <c r="F635" s="2">
        <v>409.39</v>
      </c>
    </row>
    <row r="636" spans="3:6" x14ac:dyDescent="0.25">
      <c r="C636" s="2" t="s">
        <v>12536</v>
      </c>
      <c r="D636" s="2" t="s">
        <v>42</v>
      </c>
      <c r="E636" s="2">
        <v>44</v>
      </c>
      <c r="F636" s="2">
        <v>911.21</v>
      </c>
    </row>
    <row r="637" spans="3:6" x14ac:dyDescent="0.25">
      <c r="C637" s="2" t="s">
        <v>12537</v>
      </c>
      <c r="D637" s="2" t="s">
        <v>42</v>
      </c>
      <c r="E637" s="2">
        <v>143</v>
      </c>
      <c r="F637" s="2">
        <v>2931.729</v>
      </c>
    </row>
    <row r="638" spans="3:6" x14ac:dyDescent="0.25">
      <c r="C638" s="2" t="s">
        <v>12538</v>
      </c>
      <c r="D638" s="2" t="s">
        <v>42</v>
      </c>
      <c r="E638" s="2">
        <v>30</v>
      </c>
      <c r="F638" s="2">
        <v>616.18</v>
      </c>
    </row>
    <row r="639" spans="3:6" x14ac:dyDescent="0.25">
      <c r="C639" s="2" t="s">
        <v>12539</v>
      </c>
      <c r="D639" s="2" t="s">
        <v>42</v>
      </c>
      <c r="E639" s="2">
        <v>69</v>
      </c>
      <c r="F639" s="2">
        <v>1200.75</v>
      </c>
    </row>
    <row r="640" spans="3:6" x14ac:dyDescent="0.25">
      <c r="C640" s="2" t="s">
        <v>12540</v>
      </c>
      <c r="D640" s="2" t="s">
        <v>42</v>
      </c>
      <c r="E640" s="2">
        <v>75</v>
      </c>
      <c r="F640" s="2">
        <v>381.12</v>
      </c>
    </row>
    <row r="641" spans="3:6" x14ac:dyDescent="0.25">
      <c r="C641" s="2" t="s">
        <v>12541</v>
      </c>
      <c r="D641" s="2" t="s">
        <v>42</v>
      </c>
      <c r="E641" s="2">
        <v>65</v>
      </c>
      <c r="F641" s="2">
        <v>1438.23</v>
      </c>
    </row>
    <row r="642" spans="3:6" x14ac:dyDescent="0.25">
      <c r="C642" s="2" t="s">
        <v>12542</v>
      </c>
      <c r="D642" s="2" t="s">
        <v>42</v>
      </c>
      <c r="E642" s="2">
        <v>47</v>
      </c>
      <c r="F642" s="2">
        <v>964.354</v>
      </c>
    </row>
    <row r="643" spans="3:6" x14ac:dyDescent="0.25">
      <c r="C643" s="2" t="s">
        <v>12543</v>
      </c>
      <c r="D643" s="2" t="s">
        <v>42</v>
      </c>
      <c r="E643" s="2">
        <v>141</v>
      </c>
      <c r="F643" s="2">
        <v>2855.19</v>
      </c>
    </row>
    <row r="644" spans="3:6" x14ac:dyDescent="0.25">
      <c r="C644" s="2" t="s">
        <v>12544</v>
      </c>
      <c r="D644" s="2" t="s">
        <v>42</v>
      </c>
      <c r="E644" s="2">
        <v>105</v>
      </c>
      <c r="F644" s="2">
        <v>2163.4</v>
      </c>
    </row>
    <row r="645" spans="3:6" x14ac:dyDescent="0.25">
      <c r="C645" s="2" t="s">
        <v>12545</v>
      </c>
      <c r="D645" s="2" t="s">
        <v>42</v>
      </c>
      <c r="E645" s="2">
        <v>111</v>
      </c>
      <c r="F645" s="2">
        <v>2251.659</v>
      </c>
    </row>
    <row r="646" spans="3:6" x14ac:dyDescent="0.25">
      <c r="C646" s="2" t="s">
        <v>12546</v>
      </c>
      <c r="D646" s="2" t="s">
        <v>42</v>
      </c>
      <c r="E646" s="2">
        <v>50</v>
      </c>
      <c r="F646" s="2">
        <v>1006.24</v>
      </c>
    </row>
    <row r="647" spans="3:6" x14ac:dyDescent="0.25">
      <c r="C647" s="2" t="s">
        <v>12547</v>
      </c>
      <c r="D647" s="2" t="s">
        <v>42</v>
      </c>
      <c r="E647" s="2">
        <v>141</v>
      </c>
      <c r="F647" s="2">
        <v>2908.076</v>
      </c>
    </row>
    <row r="648" spans="3:6" x14ac:dyDescent="0.25">
      <c r="C648" s="2" t="s">
        <v>12548</v>
      </c>
      <c r="D648" s="2" t="s">
        <v>42</v>
      </c>
      <c r="E648" s="2">
        <v>141</v>
      </c>
      <c r="F648" s="2">
        <v>2816.58</v>
      </c>
    </row>
    <row r="649" spans="3:6" x14ac:dyDescent="0.25">
      <c r="C649" s="2" t="s">
        <v>12549</v>
      </c>
      <c r="D649" s="2" t="s">
        <v>42</v>
      </c>
      <c r="E649" s="2">
        <v>102</v>
      </c>
      <c r="F649" s="2">
        <v>2077.03</v>
      </c>
    </row>
    <row r="650" spans="3:6" x14ac:dyDescent="0.25">
      <c r="C650" s="2" t="s">
        <v>12550</v>
      </c>
      <c r="D650" s="2" t="s">
        <v>42</v>
      </c>
      <c r="E650" s="2">
        <v>97</v>
      </c>
      <c r="F650" s="2">
        <v>1916.48</v>
      </c>
    </row>
    <row r="651" spans="3:6" x14ac:dyDescent="0.25">
      <c r="C651" s="2" t="s">
        <v>12551</v>
      </c>
      <c r="D651" s="2" t="s">
        <v>42</v>
      </c>
      <c r="E651" s="2">
        <v>44</v>
      </c>
      <c r="F651" s="2">
        <v>972.11</v>
      </c>
    </row>
    <row r="652" spans="3:6" x14ac:dyDescent="0.25">
      <c r="C652" s="2" t="s">
        <v>12552</v>
      </c>
      <c r="D652" s="2" t="s">
        <v>42</v>
      </c>
      <c r="E652" s="2">
        <v>35</v>
      </c>
      <c r="F652" s="2">
        <v>748.07</v>
      </c>
    </row>
    <row r="653" spans="3:6" x14ac:dyDescent="0.25">
      <c r="C653" s="2" t="s">
        <v>12553</v>
      </c>
      <c r="D653" s="2" t="s">
        <v>42</v>
      </c>
      <c r="E653" s="2">
        <v>28</v>
      </c>
      <c r="F653" s="2">
        <v>521.68</v>
      </c>
    </row>
    <row r="654" spans="3:6" x14ac:dyDescent="0.25">
      <c r="C654" s="2" t="s">
        <v>12554</v>
      </c>
      <c r="D654" s="2" t="s">
        <v>42</v>
      </c>
      <c r="E654" s="2">
        <v>10</v>
      </c>
      <c r="F654" s="2">
        <v>248.2</v>
      </c>
    </row>
    <row r="655" spans="3:6" x14ac:dyDescent="0.25">
      <c r="C655" s="2" t="s">
        <v>12555</v>
      </c>
      <c r="D655" s="2" t="s">
        <v>42</v>
      </c>
      <c r="E655" s="2">
        <v>30</v>
      </c>
      <c r="F655" s="2">
        <v>151.89</v>
      </c>
    </row>
    <row r="656" spans="3:6" x14ac:dyDescent="0.25">
      <c r="C656" s="2" t="s">
        <v>12556</v>
      </c>
      <c r="D656" s="2" t="s">
        <v>42</v>
      </c>
      <c r="E656" s="2">
        <v>52</v>
      </c>
      <c r="F656" s="2">
        <v>1045.506</v>
      </c>
    </row>
    <row r="657" spans="3:6" x14ac:dyDescent="0.25">
      <c r="C657" s="2" t="s">
        <v>12557</v>
      </c>
      <c r="D657" s="2" t="s">
        <v>42</v>
      </c>
      <c r="E657" s="2">
        <v>57</v>
      </c>
      <c r="F657" s="2">
        <v>1164.49</v>
      </c>
    </row>
    <row r="658" spans="3:6" x14ac:dyDescent="0.25">
      <c r="C658" s="2" t="s">
        <v>12558</v>
      </c>
      <c r="D658" s="2" t="s">
        <v>42</v>
      </c>
      <c r="E658" s="2">
        <v>101</v>
      </c>
      <c r="F658" s="2">
        <v>2058.599</v>
      </c>
    </row>
    <row r="659" spans="3:6" x14ac:dyDescent="0.25">
      <c r="C659" s="2" t="s">
        <v>12559</v>
      </c>
      <c r="D659" s="2" t="s">
        <v>42</v>
      </c>
      <c r="E659" s="2">
        <v>141</v>
      </c>
      <c r="F659" s="2">
        <v>2865.036</v>
      </c>
    </row>
    <row r="660" spans="3:6" x14ac:dyDescent="0.25">
      <c r="C660" s="2" t="s">
        <v>12560</v>
      </c>
      <c r="D660" s="2" t="s">
        <v>42</v>
      </c>
      <c r="E660" s="2">
        <v>32</v>
      </c>
      <c r="F660" s="2">
        <v>637.691</v>
      </c>
    </row>
    <row r="661" spans="3:6" x14ac:dyDescent="0.25">
      <c r="C661" s="2" t="s">
        <v>12561</v>
      </c>
      <c r="D661" s="2" t="s">
        <v>42</v>
      </c>
      <c r="E661" s="2">
        <v>115</v>
      </c>
      <c r="F661" s="2">
        <v>1861.457</v>
      </c>
    </row>
    <row r="662" spans="3:6" x14ac:dyDescent="0.25">
      <c r="C662" s="2" t="s">
        <v>12562</v>
      </c>
      <c r="D662" s="2" t="s">
        <v>42</v>
      </c>
      <c r="E662" s="2">
        <v>141</v>
      </c>
      <c r="F662" s="2">
        <v>3163.709</v>
      </c>
    </row>
    <row r="663" spans="3:6" x14ac:dyDescent="0.25">
      <c r="C663" s="2" t="s">
        <v>12563</v>
      </c>
      <c r="D663" s="2" t="s">
        <v>42</v>
      </c>
      <c r="E663" s="2">
        <v>123</v>
      </c>
      <c r="F663" s="2">
        <v>2639.41</v>
      </c>
    </row>
    <row r="664" spans="3:6" x14ac:dyDescent="0.25">
      <c r="C664" s="2" t="s">
        <v>12564</v>
      </c>
      <c r="D664" s="2" t="s">
        <v>42</v>
      </c>
      <c r="E664" s="2">
        <v>20</v>
      </c>
      <c r="F664" s="2">
        <v>110</v>
      </c>
    </row>
    <row r="665" spans="3:6" x14ac:dyDescent="0.25">
      <c r="C665" s="2" t="s">
        <v>12565</v>
      </c>
      <c r="D665" s="2" t="s">
        <v>42</v>
      </c>
      <c r="E665" s="2">
        <v>102</v>
      </c>
      <c r="F665" s="2">
        <v>2109.37</v>
      </c>
    </row>
    <row r="666" spans="3:6" x14ac:dyDescent="0.25">
      <c r="C666" s="2" t="s">
        <v>12566</v>
      </c>
      <c r="D666" s="2" t="s">
        <v>42</v>
      </c>
      <c r="E666" s="2">
        <v>143</v>
      </c>
      <c r="F666" s="2">
        <v>2834.54</v>
      </c>
    </row>
    <row r="667" spans="3:6" x14ac:dyDescent="0.25">
      <c r="C667" s="2" t="s">
        <v>12567</v>
      </c>
      <c r="D667" s="2" t="s">
        <v>42</v>
      </c>
      <c r="E667" s="2">
        <v>40</v>
      </c>
      <c r="F667" s="2">
        <v>796.65</v>
      </c>
    </row>
    <row r="668" spans="3:6" x14ac:dyDescent="0.25">
      <c r="C668" s="2" t="s">
        <v>12568</v>
      </c>
      <c r="D668" s="2" t="s">
        <v>42</v>
      </c>
      <c r="E668" s="2">
        <v>37</v>
      </c>
      <c r="F668" s="2">
        <v>790.01</v>
      </c>
    </row>
    <row r="669" spans="3:6" x14ac:dyDescent="0.25">
      <c r="C669" s="2" t="s">
        <v>12569</v>
      </c>
      <c r="D669" s="2" t="s">
        <v>42</v>
      </c>
      <c r="E669" s="2">
        <v>47</v>
      </c>
      <c r="F669" s="2">
        <v>947.64</v>
      </c>
    </row>
    <row r="670" spans="3:6" x14ac:dyDescent="0.25">
      <c r="C670" s="2" t="s">
        <v>12570</v>
      </c>
      <c r="D670" s="2" t="s">
        <v>42</v>
      </c>
      <c r="E670" s="2">
        <v>10</v>
      </c>
      <c r="F670" s="2">
        <v>207.29</v>
      </c>
    </row>
    <row r="671" spans="3:6" x14ac:dyDescent="0.25">
      <c r="C671" s="2" t="s">
        <v>12571</v>
      </c>
      <c r="D671" s="2" t="s">
        <v>42</v>
      </c>
      <c r="E671" s="2">
        <v>38</v>
      </c>
      <c r="F671" s="2">
        <v>754.709</v>
      </c>
    </row>
    <row r="672" spans="3:6" x14ac:dyDescent="0.25">
      <c r="C672" s="2" t="s">
        <v>12572</v>
      </c>
      <c r="D672" s="2" t="s">
        <v>42</v>
      </c>
      <c r="E672" s="2">
        <v>9</v>
      </c>
      <c r="F672" s="2">
        <v>168.07</v>
      </c>
    </row>
    <row r="673" spans="3:6" x14ac:dyDescent="0.25">
      <c r="C673" s="2" t="s">
        <v>12573</v>
      </c>
      <c r="D673" s="2" t="s">
        <v>42</v>
      </c>
      <c r="E673" s="2">
        <v>11</v>
      </c>
      <c r="F673" s="2">
        <v>164.18</v>
      </c>
    </row>
    <row r="674" spans="3:6" x14ac:dyDescent="0.25">
      <c r="C674" s="2" t="s">
        <v>12574</v>
      </c>
      <c r="D674" s="2" t="s">
        <v>42</v>
      </c>
      <c r="E674" s="2">
        <v>81</v>
      </c>
      <c r="F674" s="2">
        <v>1740.16</v>
      </c>
    </row>
    <row r="675" spans="3:6" x14ac:dyDescent="0.25">
      <c r="C675" s="2" t="s">
        <v>12575</v>
      </c>
      <c r="D675" s="2" t="s">
        <v>42</v>
      </c>
      <c r="E675" s="2">
        <v>91</v>
      </c>
      <c r="F675" s="2">
        <v>1815.451</v>
      </c>
    </row>
    <row r="676" spans="3:6" x14ac:dyDescent="0.25">
      <c r="C676" s="2" t="s">
        <v>12576</v>
      </c>
      <c r="D676" s="2" t="s">
        <v>42</v>
      </c>
      <c r="E676" s="2">
        <v>12</v>
      </c>
      <c r="F676" s="2">
        <v>234.65</v>
      </c>
    </row>
    <row r="677" spans="3:6" x14ac:dyDescent="0.25">
      <c r="C677" s="2" t="s">
        <v>12577</v>
      </c>
      <c r="D677" s="2" t="s">
        <v>42</v>
      </c>
      <c r="E677" s="2">
        <v>12</v>
      </c>
      <c r="F677" s="2">
        <v>215.81</v>
      </c>
    </row>
    <row r="678" spans="3:6" x14ac:dyDescent="0.25">
      <c r="C678" s="2" t="s">
        <v>12578</v>
      </c>
      <c r="D678" s="2" t="s">
        <v>42</v>
      </c>
      <c r="E678" s="2">
        <v>83</v>
      </c>
      <c r="F678" s="2">
        <v>1701.66</v>
      </c>
    </row>
    <row r="679" spans="3:6" x14ac:dyDescent="0.25">
      <c r="C679" s="2" t="s">
        <v>12579</v>
      </c>
      <c r="D679" s="2" t="s">
        <v>42</v>
      </c>
      <c r="E679" s="2">
        <v>67</v>
      </c>
      <c r="F679" s="2">
        <v>1418.28</v>
      </c>
    </row>
    <row r="680" spans="3:6" x14ac:dyDescent="0.25">
      <c r="C680" s="2" t="s">
        <v>12580</v>
      </c>
      <c r="D680" s="2" t="s">
        <v>42</v>
      </c>
      <c r="E680" s="2">
        <v>17</v>
      </c>
      <c r="F680" s="2">
        <v>340.77</v>
      </c>
    </row>
    <row r="681" spans="3:6" x14ac:dyDescent="0.25">
      <c r="C681" s="2" t="s">
        <v>12581</v>
      </c>
      <c r="D681" s="2" t="s">
        <v>42</v>
      </c>
      <c r="E681" s="2">
        <v>20</v>
      </c>
      <c r="F681" s="2">
        <v>441.03</v>
      </c>
    </row>
    <row r="682" spans="3:6" x14ac:dyDescent="0.25">
      <c r="C682" s="2" t="s">
        <v>12582</v>
      </c>
      <c r="D682" s="2" t="s">
        <v>42</v>
      </c>
      <c r="E682" s="2">
        <v>141</v>
      </c>
      <c r="F682" s="2">
        <v>2961.77</v>
      </c>
    </row>
    <row r="683" spans="3:6" x14ac:dyDescent="0.25">
      <c r="C683" s="2" t="s">
        <v>12583</v>
      </c>
      <c r="D683" s="2" t="s">
        <v>42</v>
      </c>
      <c r="E683" s="2">
        <v>25</v>
      </c>
      <c r="F683" s="2">
        <v>52.407</v>
      </c>
    </row>
    <row r="684" spans="3:6" x14ac:dyDescent="0.25">
      <c r="C684" s="2" t="s">
        <v>12584</v>
      </c>
      <c r="D684" s="2" t="s">
        <v>42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10</v>
      </c>
      <c r="C686" s="2" t="s">
        <v>12585</v>
      </c>
      <c r="D686" s="2" t="s">
        <v>12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12586</v>
      </c>
      <c r="D687" s="2" t="s">
        <v>12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12462</v>
      </c>
      <c r="C689" s="2" t="s">
        <v>12587</v>
      </c>
      <c r="D689" s="2" t="s">
        <v>20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12588</v>
      </c>
      <c r="D690" s="2" t="s">
        <v>20</v>
      </c>
      <c r="E690" s="2">
        <v>88</v>
      </c>
      <c r="F690" s="2">
        <v>1704.569</v>
      </c>
    </row>
    <row r="691" spans="3:6" x14ac:dyDescent="0.25">
      <c r="C691" s="2" t="s">
        <v>12589</v>
      </c>
      <c r="D691" s="2" t="s">
        <v>20</v>
      </c>
      <c r="E691" s="2">
        <v>102</v>
      </c>
      <c r="F691" s="2">
        <v>1969.819</v>
      </c>
    </row>
    <row r="692" spans="3:6" x14ac:dyDescent="0.25">
      <c r="C692" s="2" t="s">
        <v>12590</v>
      </c>
      <c r="D692" s="2" t="s">
        <v>20</v>
      </c>
      <c r="E692" s="2">
        <v>266</v>
      </c>
      <c r="F692" s="2">
        <v>5059.912</v>
      </c>
    </row>
    <row r="693" spans="3:6" x14ac:dyDescent="0.25">
      <c r="C693" s="2" t="s">
        <v>12591</v>
      </c>
      <c r="D693" s="2" t="s">
        <v>20</v>
      </c>
      <c r="E693" s="2">
        <v>156</v>
      </c>
      <c r="F693" s="2">
        <v>3348.692</v>
      </c>
    </row>
    <row r="694" spans="3:6" x14ac:dyDescent="0.25">
      <c r="C694" s="2" t="s">
        <v>12592</v>
      </c>
      <c r="D694" s="2" t="s">
        <v>20</v>
      </c>
      <c r="E694" s="2">
        <v>102</v>
      </c>
      <c r="F694" s="2">
        <v>2012.63</v>
      </c>
    </row>
    <row r="695" spans="3:6" x14ac:dyDescent="0.25">
      <c r="C695" s="2" t="s">
        <v>12593</v>
      </c>
      <c r="D695" s="2" t="s">
        <v>20</v>
      </c>
      <c r="E695" s="2">
        <v>149</v>
      </c>
      <c r="F695" s="2">
        <v>2883.97</v>
      </c>
    </row>
    <row r="696" spans="3:6" x14ac:dyDescent="0.25">
      <c r="C696" s="2" t="s">
        <v>12594</v>
      </c>
      <c r="D696" s="2" t="s">
        <v>20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2736</v>
      </c>
      <c r="C698" s="2" t="s">
        <v>12595</v>
      </c>
      <c r="D698" s="2" t="s">
        <v>342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206</v>
      </c>
      <c r="C700" s="2" t="s">
        <v>12596</v>
      </c>
      <c r="D700" s="2" t="s">
        <v>27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12597</v>
      </c>
      <c r="D701" s="2" t="s">
        <v>27</v>
      </c>
      <c r="E701" s="2">
        <v>93</v>
      </c>
      <c r="F701" s="2">
        <v>1855.79</v>
      </c>
    </row>
    <row r="702" spans="3:6" x14ac:dyDescent="0.25">
      <c r="C702" s="2" t="s">
        <v>12598</v>
      </c>
      <c r="D702" s="2" t="s">
        <v>27</v>
      </c>
      <c r="E702" s="2">
        <v>56</v>
      </c>
      <c r="F702" s="2">
        <v>1095.299</v>
      </c>
    </row>
    <row r="703" spans="3:6" x14ac:dyDescent="0.25">
      <c r="C703" s="2" t="s">
        <v>12599</v>
      </c>
      <c r="D703" s="2" t="s">
        <v>27</v>
      </c>
      <c r="E703" s="2">
        <v>80</v>
      </c>
      <c r="F703" s="2">
        <v>1470.349</v>
      </c>
    </row>
    <row r="704" spans="3:6" x14ac:dyDescent="0.25">
      <c r="C704" s="2" t="s">
        <v>12600</v>
      </c>
      <c r="D704" s="2" t="s">
        <v>27</v>
      </c>
      <c r="E704" s="2">
        <v>21</v>
      </c>
      <c r="F704" s="2">
        <v>360.87</v>
      </c>
    </row>
    <row r="705" spans="3:6" x14ac:dyDescent="0.25">
      <c r="C705" s="2" t="s">
        <v>12601</v>
      </c>
      <c r="D705" s="2" t="s">
        <v>27</v>
      </c>
      <c r="E705" s="2">
        <v>42</v>
      </c>
      <c r="F705" s="2">
        <v>715.45</v>
      </c>
    </row>
    <row r="706" spans="3:6" x14ac:dyDescent="0.25">
      <c r="C706" s="2" t="s">
        <v>12602</v>
      </c>
      <c r="D706" s="2" t="s">
        <v>27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10</v>
      </c>
      <c r="C708" s="2" t="s">
        <v>12603</v>
      </c>
      <c r="D708" s="2" t="s">
        <v>12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12604</v>
      </c>
      <c r="D709" s="2" t="s">
        <v>12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1286</v>
      </c>
      <c r="C711" s="2" t="s">
        <v>12605</v>
      </c>
      <c r="D711" s="2" t="s">
        <v>1288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12606</v>
      </c>
      <c r="D712" s="2" t="s">
        <v>1288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12462</v>
      </c>
      <c r="C714" s="2" t="s">
        <v>12607</v>
      </c>
      <c r="D714" s="2" t="s">
        <v>20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12608</v>
      </c>
      <c r="D715" s="2" t="s">
        <v>20</v>
      </c>
      <c r="E715" s="2">
        <v>102</v>
      </c>
      <c r="F715" s="2">
        <v>1979.13</v>
      </c>
    </row>
    <row r="716" spans="3:6" x14ac:dyDescent="0.25">
      <c r="C716" s="2" t="s">
        <v>12609</v>
      </c>
      <c r="D716" s="2" t="s">
        <v>20</v>
      </c>
      <c r="E716" s="2">
        <v>149</v>
      </c>
      <c r="F716" s="2">
        <v>2787.42</v>
      </c>
    </row>
    <row r="717" spans="3:6" x14ac:dyDescent="0.25">
      <c r="C717" s="2" t="s">
        <v>12610</v>
      </c>
      <c r="D717" s="2" t="s">
        <v>20</v>
      </c>
      <c r="E717" s="2">
        <v>149</v>
      </c>
      <c r="F717" s="2">
        <v>2771.259</v>
      </c>
    </row>
    <row r="718" spans="3:6" x14ac:dyDescent="0.25">
      <c r="C718" s="2" t="s">
        <v>12611</v>
      </c>
      <c r="D718" s="2" t="s">
        <v>20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7022</v>
      </c>
      <c r="C720" s="2" t="s">
        <v>12612</v>
      </c>
      <c r="D720" s="2" t="s">
        <v>20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12613</v>
      </c>
      <c r="D721" s="2" t="s">
        <v>20</v>
      </c>
      <c r="E721" s="2">
        <v>123</v>
      </c>
      <c r="F721" s="2">
        <v>2484.893</v>
      </c>
    </row>
    <row r="722" spans="3:6" x14ac:dyDescent="0.25">
      <c r="C722" s="2" t="s">
        <v>12614</v>
      </c>
      <c r="D722" s="2" t="s">
        <v>20</v>
      </c>
      <c r="E722" s="2">
        <v>294</v>
      </c>
      <c r="F722" s="2">
        <v>5755.401</v>
      </c>
    </row>
    <row r="723" spans="3:6" x14ac:dyDescent="0.25">
      <c r="C723" s="2" t="s">
        <v>12615</v>
      </c>
      <c r="D723" s="2" t="s">
        <v>20</v>
      </c>
      <c r="E723" s="2">
        <v>268</v>
      </c>
      <c r="F723" s="2">
        <v>5170.579</v>
      </c>
    </row>
    <row r="724" spans="3:6" x14ac:dyDescent="0.25">
      <c r="C724" s="2" t="s">
        <v>12616</v>
      </c>
      <c r="D724" s="2" t="s">
        <v>20</v>
      </c>
      <c r="E724" s="2">
        <v>105</v>
      </c>
      <c r="F724" s="2">
        <v>2060.99</v>
      </c>
    </row>
    <row r="725" spans="3:6" x14ac:dyDescent="0.25">
      <c r="C725" s="2" t="s">
        <v>12617</v>
      </c>
      <c r="D725" s="2" t="s">
        <v>20</v>
      </c>
      <c r="E725" s="2">
        <v>163</v>
      </c>
      <c r="F725" s="2">
        <v>3192.16</v>
      </c>
    </row>
    <row r="726" spans="3:6" x14ac:dyDescent="0.25">
      <c r="C726" s="2" t="s">
        <v>12618</v>
      </c>
      <c r="D726" s="2" t="s">
        <v>20</v>
      </c>
      <c r="E726" s="2">
        <v>210</v>
      </c>
      <c r="F726" s="2">
        <v>4179.099</v>
      </c>
    </row>
    <row r="727" spans="3:6" x14ac:dyDescent="0.25">
      <c r="C727" s="2" t="s">
        <v>12619</v>
      </c>
      <c r="D727" s="2" t="s">
        <v>20</v>
      </c>
      <c r="E727" s="2">
        <v>163</v>
      </c>
      <c r="F727" s="2">
        <v>3020.429</v>
      </c>
    </row>
    <row r="728" spans="3:6" x14ac:dyDescent="0.25">
      <c r="C728" s="2" t="s">
        <v>12620</v>
      </c>
      <c r="D728" s="2" t="s">
        <v>20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2097</v>
      </c>
      <c r="C730" s="2" t="s">
        <v>12621</v>
      </c>
      <c r="D730" s="2" t="s">
        <v>27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12622</v>
      </c>
      <c r="D731" s="2" t="s">
        <v>27</v>
      </c>
      <c r="E731" s="2">
        <v>23</v>
      </c>
      <c r="F731" s="2">
        <v>458.83</v>
      </c>
    </row>
    <row r="732" spans="3:6" x14ac:dyDescent="0.25">
      <c r="C732" s="2" t="s">
        <v>12623</v>
      </c>
      <c r="D732" s="2" t="s">
        <v>27</v>
      </c>
      <c r="E732" s="2">
        <v>16</v>
      </c>
      <c r="F732" s="2">
        <v>264.81</v>
      </c>
    </row>
    <row r="733" spans="3:6" x14ac:dyDescent="0.25">
      <c r="C733" s="2" t="s">
        <v>12624</v>
      </c>
      <c r="D733" s="2" t="s">
        <v>27</v>
      </c>
      <c r="E733" s="2">
        <v>90</v>
      </c>
      <c r="F733" s="2">
        <v>1763.52</v>
      </c>
    </row>
    <row r="734" spans="3:6" x14ac:dyDescent="0.25">
      <c r="C734" s="2" t="s">
        <v>12625</v>
      </c>
      <c r="D734" s="2" t="s">
        <v>27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120</v>
      </c>
      <c r="C736" s="2" t="s">
        <v>12626</v>
      </c>
      <c r="D736" s="2" t="s">
        <v>122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12627</v>
      </c>
      <c r="D737" s="2" t="s">
        <v>122</v>
      </c>
      <c r="E737" s="2">
        <v>123</v>
      </c>
      <c r="F737" s="2">
        <v>2497</v>
      </c>
    </row>
    <row r="738" spans="3:6" x14ac:dyDescent="0.25">
      <c r="C738" s="2" t="s">
        <v>12628</v>
      </c>
      <c r="D738" s="2" t="s">
        <v>122</v>
      </c>
      <c r="E738" s="2">
        <v>102</v>
      </c>
      <c r="F738" s="2">
        <v>2115.9</v>
      </c>
    </row>
    <row r="739" spans="3:6" x14ac:dyDescent="0.25">
      <c r="C739" s="2" t="s">
        <v>12629</v>
      </c>
      <c r="D739" s="2" t="s">
        <v>122</v>
      </c>
      <c r="E739" s="2">
        <v>102</v>
      </c>
      <c r="F739" s="2">
        <v>2191.7</v>
      </c>
    </row>
    <row r="740" spans="3:6" x14ac:dyDescent="0.25">
      <c r="C740" s="2" t="s">
        <v>12630</v>
      </c>
      <c r="D740" s="2" t="s">
        <v>122</v>
      </c>
      <c r="E740" s="2">
        <v>75</v>
      </c>
      <c r="F740" s="2">
        <v>1587.02</v>
      </c>
    </row>
    <row r="741" spans="3:6" x14ac:dyDescent="0.25">
      <c r="C741" s="2" t="s">
        <v>12631</v>
      </c>
      <c r="D741" s="2" t="s">
        <v>122</v>
      </c>
      <c r="E741" s="2">
        <v>102</v>
      </c>
      <c r="F741" s="2">
        <v>2142.51</v>
      </c>
    </row>
    <row r="742" spans="3:6" x14ac:dyDescent="0.25">
      <c r="C742" s="2" t="s">
        <v>12632</v>
      </c>
      <c r="D742" s="2" t="s">
        <v>122</v>
      </c>
      <c r="E742" s="2">
        <v>65</v>
      </c>
      <c r="F742" s="2">
        <v>1398.67</v>
      </c>
    </row>
    <row r="743" spans="3:6" x14ac:dyDescent="0.25">
      <c r="C743" s="2" t="s">
        <v>12633</v>
      </c>
      <c r="D743" s="2" t="s">
        <v>122</v>
      </c>
      <c r="E743" s="2">
        <v>37</v>
      </c>
      <c r="F743" s="2">
        <v>758.77</v>
      </c>
    </row>
    <row r="744" spans="3:6" x14ac:dyDescent="0.25">
      <c r="C744" s="2" t="s">
        <v>12634</v>
      </c>
      <c r="D744" s="2" t="s">
        <v>122</v>
      </c>
      <c r="E744" s="2">
        <v>15</v>
      </c>
      <c r="F744" s="2">
        <v>310.01</v>
      </c>
    </row>
    <row r="745" spans="3:6" x14ac:dyDescent="0.25">
      <c r="C745" s="2" t="s">
        <v>12635</v>
      </c>
      <c r="D745" s="2" t="s">
        <v>122</v>
      </c>
      <c r="E745" s="2">
        <v>108</v>
      </c>
      <c r="F745" s="2">
        <v>2292.81</v>
      </c>
    </row>
    <row r="746" spans="3:6" x14ac:dyDescent="0.25">
      <c r="C746" s="2" t="s">
        <v>12636</v>
      </c>
      <c r="D746" s="2" t="s">
        <v>122</v>
      </c>
      <c r="E746" s="2">
        <v>134</v>
      </c>
      <c r="F746" s="2">
        <v>2719.339</v>
      </c>
    </row>
    <row r="747" spans="3:6" x14ac:dyDescent="0.25">
      <c r="C747" s="2" t="s">
        <v>12637</v>
      </c>
      <c r="D747" s="2" t="s">
        <v>122</v>
      </c>
      <c r="E747" s="2">
        <v>64</v>
      </c>
      <c r="F747" s="2">
        <v>1296.89</v>
      </c>
    </row>
    <row r="748" spans="3:6" x14ac:dyDescent="0.25">
      <c r="C748" s="2" t="s">
        <v>12638</v>
      </c>
      <c r="D748" s="2" t="s">
        <v>122</v>
      </c>
      <c r="E748" s="2">
        <v>59</v>
      </c>
      <c r="F748" s="2">
        <v>1177.02</v>
      </c>
    </row>
    <row r="749" spans="3:6" x14ac:dyDescent="0.25">
      <c r="C749" s="2" t="s">
        <v>12639</v>
      </c>
      <c r="D749" s="2" t="s">
        <v>122</v>
      </c>
      <c r="E749" s="2">
        <v>141</v>
      </c>
      <c r="F749" s="2">
        <v>2966.49</v>
      </c>
    </row>
    <row r="750" spans="3:6" x14ac:dyDescent="0.25">
      <c r="C750" s="2" t="s">
        <v>12640</v>
      </c>
      <c r="D750" s="2" t="s">
        <v>122</v>
      </c>
      <c r="E750" s="2">
        <v>141</v>
      </c>
      <c r="F750" s="2">
        <v>2963.07</v>
      </c>
    </row>
    <row r="751" spans="3:6" x14ac:dyDescent="0.25">
      <c r="C751" s="2" t="s">
        <v>12641</v>
      </c>
      <c r="D751" s="2" t="s">
        <v>122</v>
      </c>
      <c r="E751" s="2">
        <v>60</v>
      </c>
      <c r="F751" s="2">
        <v>1161.55</v>
      </c>
    </row>
    <row r="752" spans="3:6" x14ac:dyDescent="0.25">
      <c r="C752" s="2" t="s">
        <v>12642</v>
      </c>
      <c r="D752" s="2" t="s">
        <v>122</v>
      </c>
      <c r="E752" s="2">
        <v>60</v>
      </c>
      <c r="F752" s="2">
        <v>1179.719</v>
      </c>
    </row>
    <row r="753" spans="3:6" x14ac:dyDescent="0.25">
      <c r="C753" s="2" t="s">
        <v>12643</v>
      </c>
      <c r="D753" s="2" t="s">
        <v>122</v>
      </c>
      <c r="E753" s="2">
        <v>21</v>
      </c>
      <c r="F753" s="2">
        <v>411.34</v>
      </c>
    </row>
    <row r="754" spans="3:6" x14ac:dyDescent="0.25">
      <c r="C754" s="2" t="s">
        <v>12644</v>
      </c>
      <c r="D754" s="2" t="s">
        <v>122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12645</v>
      </c>
      <c r="D755" s="2" t="s">
        <v>122</v>
      </c>
      <c r="E755" s="2">
        <v>103</v>
      </c>
      <c r="F755" s="2">
        <v>2176.97</v>
      </c>
    </row>
    <row r="756" spans="3:6" x14ac:dyDescent="0.25">
      <c r="C756" s="2" t="s">
        <v>12646</v>
      </c>
      <c r="D756" s="2" t="s">
        <v>122</v>
      </c>
      <c r="E756" s="2">
        <v>28</v>
      </c>
      <c r="F756" s="2">
        <v>533.09</v>
      </c>
    </row>
    <row r="757" spans="3:6" x14ac:dyDescent="0.25">
      <c r="C757" s="2" t="s">
        <v>12647</v>
      </c>
      <c r="D757" s="2" t="s">
        <v>122</v>
      </c>
      <c r="E757" s="2">
        <v>10</v>
      </c>
      <c r="F757" s="2">
        <v>202.3</v>
      </c>
    </row>
    <row r="758" spans="3:6" x14ac:dyDescent="0.25">
      <c r="C758" s="2" t="s">
        <v>12648</v>
      </c>
      <c r="D758" s="2" t="s">
        <v>122</v>
      </c>
      <c r="E758" s="2">
        <v>114</v>
      </c>
      <c r="F758" s="2">
        <v>1490.965</v>
      </c>
    </row>
    <row r="759" spans="3:6" x14ac:dyDescent="0.25">
      <c r="C759" s="2" t="s">
        <v>12649</v>
      </c>
      <c r="D759" s="2" t="s">
        <v>122</v>
      </c>
      <c r="E759" s="2">
        <v>116</v>
      </c>
      <c r="F759" s="2">
        <v>2273.765</v>
      </c>
    </row>
    <row r="760" spans="3:6" x14ac:dyDescent="0.25">
      <c r="C760" s="2" t="s">
        <v>12650</v>
      </c>
      <c r="D760" s="2" t="s">
        <v>122</v>
      </c>
      <c r="E760" s="2">
        <v>141</v>
      </c>
      <c r="F760" s="2">
        <v>2988.58</v>
      </c>
    </row>
    <row r="761" spans="3:6" x14ac:dyDescent="0.25">
      <c r="C761" s="2" t="s">
        <v>12651</v>
      </c>
      <c r="D761" s="2" t="s">
        <v>122</v>
      </c>
      <c r="E761" s="2">
        <v>32</v>
      </c>
      <c r="F761" s="2">
        <v>602.98</v>
      </c>
    </row>
    <row r="762" spans="3:6" x14ac:dyDescent="0.25">
      <c r="C762" s="2" t="s">
        <v>12652</v>
      </c>
      <c r="D762" s="2" t="s">
        <v>122</v>
      </c>
      <c r="E762" s="2">
        <v>27</v>
      </c>
      <c r="F762" s="2">
        <v>596.97</v>
      </c>
    </row>
    <row r="763" spans="3:6" x14ac:dyDescent="0.25">
      <c r="C763" s="2" t="s">
        <v>12653</v>
      </c>
      <c r="D763" s="2" t="s">
        <v>122</v>
      </c>
      <c r="E763" s="2">
        <v>68</v>
      </c>
      <c r="F763" s="2">
        <v>1415.75</v>
      </c>
    </row>
    <row r="764" spans="3:6" x14ac:dyDescent="0.25">
      <c r="C764" s="2" t="s">
        <v>12654</v>
      </c>
      <c r="D764" s="2" t="s">
        <v>122</v>
      </c>
      <c r="E764" s="2">
        <v>14</v>
      </c>
      <c r="F764" s="2">
        <v>295.86</v>
      </c>
    </row>
    <row r="765" spans="3:6" x14ac:dyDescent="0.25">
      <c r="C765" s="2" t="s">
        <v>12655</v>
      </c>
      <c r="D765" s="2" t="s">
        <v>122</v>
      </c>
      <c r="E765" s="2">
        <v>141</v>
      </c>
      <c r="F765" s="2">
        <v>2936.1</v>
      </c>
    </row>
    <row r="766" spans="3:6" x14ac:dyDescent="0.25">
      <c r="C766" s="2" t="s">
        <v>12656</v>
      </c>
      <c r="D766" s="2" t="s">
        <v>122</v>
      </c>
      <c r="E766" s="2">
        <v>56</v>
      </c>
      <c r="F766" s="2">
        <v>1183.46</v>
      </c>
    </row>
    <row r="767" spans="3:6" x14ac:dyDescent="0.25">
      <c r="C767" s="2" t="s">
        <v>12657</v>
      </c>
      <c r="D767" s="2" t="s">
        <v>122</v>
      </c>
      <c r="E767" s="2">
        <v>85</v>
      </c>
      <c r="F767" s="2">
        <v>1648.799</v>
      </c>
    </row>
    <row r="768" spans="3:6" x14ac:dyDescent="0.25">
      <c r="C768" s="2" t="s">
        <v>12658</v>
      </c>
      <c r="D768" s="2" t="s">
        <v>122</v>
      </c>
      <c r="E768" s="2">
        <v>33</v>
      </c>
      <c r="F768" s="2">
        <v>682.419</v>
      </c>
    </row>
    <row r="769" spans="3:6" x14ac:dyDescent="0.25">
      <c r="C769" s="2" t="s">
        <v>12659</v>
      </c>
      <c r="D769" s="2" t="s">
        <v>122</v>
      </c>
      <c r="E769" s="2">
        <v>27</v>
      </c>
      <c r="F769" s="2">
        <v>560.069</v>
      </c>
    </row>
    <row r="770" spans="3:6" x14ac:dyDescent="0.25">
      <c r="C770" s="2" t="s">
        <v>12660</v>
      </c>
      <c r="D770" s="2" t="s">
        <v>122</v>
      </c>
      <c r="E770" s="2">
        <v>40</v>
      </c>
      <c r="F770" s="2">
        <v>755.532</v>
      </c>
    </row>
    <row r="771" spans="3:6" x14ac:dyDescent="0.25">
      <c r="C771" s="2" t="s">
        <v>12661</v>
      </c>
      <c r="D771" s="2" t="s">
        <v>122</v>
      </c>
      <c r="E771" s="2">
        <v>26</v>
      </c>
      <c r="F771" s="2">
        <v>494</v>
      </c>
    </row>
    <row r="772" spans="3:6" x14ac:dyDescent="0.25">
      <c r="C772" s="2" t="s">
        <v>12662</v>
      </c>
      <c r="D772" s="2" t="s">
        <v>122</v>
      </c>
      <c r="E772" s="2">
        <v>15</v>
      </c>
      <c r="F772" s="2">
        <v>278.78</v>
      </c>
    </row>
    <row r="773" spans="3:6" x14ac:dyDescent="0.25">
      <c r="C773" s="2" t="s">
        <v>12663</v>
      </c>
      <c r="D773" s="2" t="s">
        <v>122</v>
      </c>
      <c r="E773" s="2">
        <v>103</v>
      </c>
      <c r="F773" s="2">
        <v>2202.14</v>
      </c>
    </row>
    <row r="774" spans="3:6" x14ac:dyDescent="0.25">
      <c r="C774" s="2" t="s">
        <v>12664</v>
      </c>
      <c r="D774" s="2" t="s">
        <v>122</v>
      </c>
      <c r="E774" s="2">
        <v>38</v>
      </c>
      <c r="F774" s="2">
        <v>752.55</v>
      </c>
    </row>
    <row r="775" spans="3:6" x14ac:dyDescent="0.25">
      <c r="C775" s="2" t="s">
        <v>12665</v>
      </c>
      <c r="D775" s="2" t="s">
        <v>122</v>
      </c>
      <c r="E775" s="2">
        <v>72</v>
      </c>
      <c r="F775" s="2">
        <v>1412.75</v>
      </c>
    </row>
    <row r="776" spans="3:6" x14ac:dyDescent="0.25">
      <c r="C776" s="2" t="s">
        <v>12666</v>
      </c>
      <c r="D776" s="2" t="s">
        <v>122</v>
      </c>
      <c r="E776" s="2">
        <v>30</v>
      </c>
      <c r="F776" s="2">
        <v>636.24</v>
      </c>
    </row>
    <row r="778" spans="2:7" x14ac:dyDescent="0.25">
      <c r="B778" s="2" t="s">
        <v>12667</v>
      </c>
      <c r="C778" s="2" t="s">
        <v>12668</v>
      </c>
      <c r="D778" s="2" t="s">
        <v>122</v>
      </c>
      <c r="E778" s="2" t="s">
        <v>8758</v>
      </c>
      <c r="F778" s="2" t="s">
        <v>8758</v>
      </c>
      <c r="G778" s="1">
        <v>46149</v>
      </c>
    </row>
    <row r="779" spans="3:6" x14ac:dyDescent="0.25">
      <c r="C779" s="2" t="s">
        <v>12669</v>
      </c>
      <c r="D779" s="2" t="s">
        <v>122</v>
      </c>
      <c r="E779" s="2" t="s">
        <v>8758</v>
      </c>
      <c r="F779" s="2" t="s">
        <v>8758</v>
      </c>
    </row>
    <row r="781" spans="1:7" x14ac:dyDescent="0.25">
      <c r="A781" s="1">
        <v>46150</v>
      </c>
      <c r="B781" s="2" t="s">
        <v>40</v>
      </c>
      <c r="C781" s="2" t="s">
        <v>12670</v>
      </c>
      <c r="D781" s="2" t="s">
        <v>42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12671</v>
      </c>
      <c r="D782" s="2" t="s">
        <v>42</v>
      </c>
      <c r="E782" s="2">
        <v>143</v>
      </c>
      <c r="F782" s="2">
        <v>3036.73</v>
      </c>
    </row>
    <row r="783" spans="3:6" x14ac:dyDescent="0.25">
      <c r="C783" s="2" t="s">
        <v>12672</v>
      </c>
      <c r="D783" s="2" t="s">
        <v>42</v>
      </c>
      <c r="E783" s="2">
        <v>102</v>
      </c>
      <c r="F783" s="2">
        <v>2158.85</v>
      </c>
    </row>
    <row r="784" spans="3:6" x14ac:dyDescent="0.25">
      <c r="C784" s="2" t="s">
        <v>12673</v>
      </c>
      <c r="D784" s="2" t="s">
        <v>42</v>
      </c>
      <c r="E784" s="2">
        <v>102</v>
      </c>
      <c r="F784" s="2">
        <v>2080.3</v>
      </c>
    </row>
    <row r="785" spans="3:6" x14ac:dyDescent="0.25">
      <c r="C785" s="2" t="s">
        <v>12674</v>
      </c>
      <c r="D785" s="2" t="s">
        <v>42</v>
      </c>
      <c r="E785" s="2">
        <v>100</v>
      </c>
      <c r="F785" s="2">
        <v>2039.219</v>
      </c>
    </row>
    <row r="786" spans="3:6" x14ac:dyDescent="0.25">
      <c r="C786" s="2" t="s">
        <v>12675</v>
      </c>
      <c r="D786" s="2" t="s">
        <v>42</v>
      </c>
      <c r="E786" s="2">
        <v>102</v>
      </c>
      <c r="F786" s="2">
        <v>2091.3</v>
      </c>
    </row>
    <row r="787" spans="3:6" x14ac:dyDescent="0.25">
      <c r="C787" s="2" t="s">
        <v>12676</v>
      </c>
      <c r="D787" s="2" t="s">
        <v>42</v>
      </c>
      <c r="E787" s="2">
        <v>102</v>
      </c>
      <c r="F787" s="2">
        <v>2049.09</v>
      </c>
    </row>
    <row r="788" spans="3:6" x14ac:dyDescent="0.25">
      <c r="C788" s="2" t="s">
        <v>12677</v>
      </c>
      <c r="D788" s="2" t="s">
        <v>42</v>
      </c>
      <c r="E788" s="2">
        <v>69</v>
      </c>
      <c r="F788" s="2">
        <v>1428.322</v>
      </c>
    </row>
    <row r="789" spans="3:6" x14ac:dyDescent="0.25">
      <c r="C789" s="2" t="s">
        <v>12678</v>
      </c>
      <c r="D789" s="2" t="s">
        <v>42</v>
      </c>
      <c r="E789" s="2">
        <v>15</v>
      </c>
      <c r="F789" s="2">
        <v>288.65</v>
      </c>
    </row>
    <row r="790" spans="3:6" x14ac:dyDescent="0.25">
      <c r="C790" s="2" t="s">
        <v>12679</v>
      </c>
      <c r="D790" s="2" t="s">
        <v>42</v>
      </c>
      <c r="E790" s="2">
        <v>30</v>
      </c>
      <c r="F790" s="2">
        <v>627.97</v>
      </c>
    </row>
    <row r="791" spans="3:6" x14ac:dyDescent="0.25">
      <c r="C791" s="2" t="s">
        <v>12680</v>
      </c>
      <c r="D791" s="2" t="s">
        <v>42</v>
      </c>
      <c r="E791" s="2">
        <v>9</v>
      </c>
      <c r="F791" s="2">
        <v>160.03</v>
      </c>
    </row>
    <row r="792" spans="3:6" x14ac:dyDescent="0.25">
      <c r="C792" s="2" t="s">
        <v>12681</v>
      </c>
      <c r="D792" s="2" t="s">
        <v>42</v>
      </c>
      <c r="E792" s="2">
        <v>77</v>
      </c>
      <c r="F792" s="2">
        <v>1591.44</v>
      </c>
    </row>
    <row r="793" spans="3:6" x14ac:dyDescent="0.25">
      <c r="C793" s="2" t="s">
        <v>12682</v>
      </c>
      <c r="D793" s="2" t="s">
        <v>42</v>
      </c>
      <c r="E793" s="2">
        <v>38</v>
      </c>
      <c r="F793" s="2">
        <v>514.312</v>
      </c>
    </row>
    <row r="794" spans="3:6" x14ac:dyDescent="0.25">
      <c r="C794" s="2" t="s">
        <v>12683</v>
      </c>
      <c r="D794" s="2" t="s">
        <v>42</v>
      </c>
      <c r="E794" s="2">
        <v>123</v>
      </c>
      <c r="F794" s="2">
        <v>2440.58</v>
      </c>
    </row>
    <row r="795" spans="3:6" x14ac:dyDescent="0.25">
      <c r="C795" s="2" t="s">
        <v>12684</v>
      </c>
      <c r="D795" s="2" t="s">
        <v>42</v>
      </c>
      <c r="E795" s="2">
        <v>123</v>
      </c>
      <c r="F795" s="2">
        <v>2378.45</v>
      </c>
    </row>
    <row r="796" spans="3:6" x14ac:dyDescent="0.25">
      <c r="C796" s="2" t="s">
        <v>12685</v>
      </c>
      <c r="D796" s="2" t="s">
        <v>42</v>
      </c>
      <c r="E796" s="2">
        <v>20</v>
      </c>
      <c r="F796" s="2">
        <v>101.62</v>
      </c>
    </row>
    <row r="797" spans="3:6" x14ac:dyDescent="0.25">
      <c r="C797" s="2" t="s">
        <v>12686</v>
      </c>
      <c r="D797" s="2" t="s">
        <v>42</v>
      </c>
      <c r="E797" s="2">
        <v>113</v>
      </c>
      <c r="F797" s="2">
        <v>2350.61</v>
      </c>
    </row>
    <row r="798" spans="3:6" x14ac:dyDescent="0.25">
      <c r="C798" s="2" t="s">
        <v>12687</v>
      </c>
      <c r="D798" s="2" t="s">
        <v>42</v>
      </c>
      <c r="E798" s="2">
        <v>9</v>
      </c>
      <c r="F798" s="2">
        <v>117.29</v>
      </c>
    </row>
    <row r="799" spans="3:6" x14ac:dyDescent="0.25">
      <c r="C799" s="2" t="s">
        <v>12688</v>
      </c>
      <c r="D799" s="2" t="s">
        <v>42</v>
      </c>
      <c r="E799" s="2">
        <v>20</v>
      </c>
      <c r="F799" s="2">
        <v>414.53</v>
      </c>
    </row>
    <row r="800" spans="3:6" x14ac:dyDescent="0.25">
      <c r="C800" s="2" t="s">
        <v>12689</v>
      </c>
      <c r="D800" s="2" t="s">
        <v>42</v>
      </c>
      <c r="E800" s="2">
        <v>30</v>
      </c>
      <c r="F800" s="2">
        <v>158.48</v>
      </c>
    </row>
    <row r="801" spans="3:6" x14ac:dyDescent="0.25">
      <c r="C801" s="2" t="s">
        <v>12690</v>
      </c>
      <c r="D801" s="2" t="s">
        <v>42</v>
      </c>
      <c r="E801" s="2">
        <v>25</v>
      </c>
      <c r="F801" s="2">
        <v>496.39</v>
      </c>
    </row>
    <row r="802" spans="3:6" x14ac:dyDescent="0.25">
      <c r="C802" s="2" t="s">
        <v>12691</v>
      </c>
      <c r="D802" s="2" t="s">
        <v>42</v>
      </c>
      <c r="E802" s="2">
        <v>100</v>
      </c>
      <c r="F802" s="2">
        <v>2046.921</v>
      </c>
    </row>
    <row r="803" spans="3:6" x14ac:dyDescent="0.25">
      <c r="C803" s="2" t="s">
        <v>12692</v>
      </c>
      <c r="D803" s="2" t="s">
        <v>42</v>
      </c>
      <c r="E803" s="2">
        <v>80</v>
      </c>
      <c r="F803" s="2">
        <v>1630.029</v>
      </c>
    </row>
    <row r="804" spans="3:6" x14ac:dyDescent="0.25">
      <c r="C804" s="2" t="s">
        <v>12693</v>
      </c>
      <c r="D804" s="2" t="s">
        <v>42</v>
      </c>
      <c r="E804" s="2">
        <v>18</v>
      </c>
      <c r="F804" s="2">
        <v>421.08</v>
      </c>
    </row>
    <row r="805" spans="3:6" x14ac:dyDescent="0.25">
      <c r="C805" s="2" t="s">
        <v>12694</v>
      </c>
      <c r="D805" s="2" t="s">
        <v>42</v>
      </c>
      <c r="E805" s="2">
        <v>43</v>
      </c>
      <c r="F805" s="2">
        <v>881.13</v>
      </c>
    </row>
    <row r="806" spans="3:6" x14ac:dyDescent="0.25">
      <c r="C806" s="2" t="s">
        <v>12695</v>
      </c>
      <c r="D806" s="2" t="s">
        <v>42</v>
      </c>
      <c r="E806" s="2">
        <v>73</v>
      </c>
      <c r="F806" s="2">
        <v>1515.007</v>
      </c>
    </row>
    <row r="807" spans="3:6" x14ac:dyDescent="0.25">
      <c r="C807" s="2" t="s">
        <v>12696</v>
      </c>
      <c r="D807" s="2" t="s">
        <v>42</v>
      </c>
      <c r="E807" s="2">
        <v>14</v>
      </c>
      <c r="F807" s="2">
        <v>300.3</v>
      </c>
    </row>
    <row r="808" spans="3:6" x14ac:dyDescent="0.25">
      <c r="C808" s="2" t="s">
        <v>12697</v>
      </c>
      <c r="D808" s="2" t="s">
        <v>42</v>
      </c>
      <c r="E808" s="2">
        <v>54</v>
      </c>
      <c r="F808" s="2">
        <v>1125.96</v>
      </c>
    </row>
    <row r="809" spans="3:6" x14ac:dyDescent="0.25">
      <c r="C809" s="2" t="s">
        <v>12698</v>
      </c>
      <c r="D809" s="2" t="s">
        <v>42</v>
      </c>
      <c r="E809" s="2">
        <v>63</v>
      </c>
      <c r="F809" s="2">
        <v>1310.45</v>
      </c>
    </row>
    <row r="810" spans="3:6" x14ac:dyDescent="0.25">
      <c r="C810" s="2" t="s">
        <v>12699</v>
      </c>
      <c r="D810" s="2" t="s">
        <v>42</v>
      </c>
      <c r="E810" s="2">
        <v>19</v>
      </c>
      <c r="F810" s="2">
        <v>391.25</v>
      </c>
    </row>
    <row r="811" spans="3:6" x14ac:dyDescent="0.25">
      <c r="C811" s="2" t="s">
        <v>12700</v>
      </c>
      <c r="D811" s="2" t="s">
        <v>42</v>
      </c>
      <c r="E811" s="2">
        <v>51</v>
      </c>
      <c r="F811" s="2">
        <v>1054.842</v>
      </c>
    </row>
    <row r="812" spans="3:6" x14ac:dyDescent="0.25">
      <c r="C812" s="2" t="s">
        <v>12701</v>
      </c>
      <c r="D812" s="2" t="s">
        <v>42</v>
      </c>
      <c r="E812" s="2">
        <v>28</v>
      </c>
      <c r="F812" s="2">
        <v>575.26</v>
      </c>
    </row>
    <row r="813" spans="3:6" x14ac:dyDescent="0.25">
      <c r="C813" s="2" t="s">
        <v>12702</v>
      </c>
      <c r="D813" s="2" t="s">
        <v>42</v>
      </c>
      <c r="E813" s="2">
        <v>47</v>
      </c>
      <c r="F813" s="2">
        <v>1101.34</v>
      </c>
    </row>
    <row r="814" spans="3:6" x14ac:dyDescent="0.25">
      <c r="C814" s="2" t="s">
        <v>12703</v>
      </c>
      <c r="D814" s="2" t="s">
        <v>42</v>
      </c>
      <c r="E814" s="2">
        <v>66</v>
      </c>
      <c r="F814" s="2">
        <v>1342.049</v>
      </c>
    </row>
    <row r="815" spans="3:6" x14ac:dyDescent="0.25">
      <c r="C815" s="2" t="s">
        <v>12704</v>
      </c>
      <c r="D815" s="2" t="s">
        <v>42</v>
      </c>
      <c r="E815" s="2">
        <v>115</v>
      </c>
      <c r="F815" s="2">
        <v>1379.517</v>
      </c>
    </row>
    <row r="816" spans="3:6" x14ac:dyDescent="0.25">
      <c r="C816" s="2" t="s">
        <v>12705</v>
      </c>
      <c r="D816" s="2" t="s">
        <v>42</v>
      </c>
      <c r="E816" s="2">
        <v>27</v>
      </c>
      <c r="F816" s="2">
        <v>489.309</v>
      </c>
    </row>
    <row r="817" spans="3:6" x14ac:dyDescent="0.25">
      <c r="C817" s="2" t="s">
        <v>12706</v>
      </c>
      <c r="D817" s="2" t="s">
        <v>42</v>
      </c>
      <c r="E817" s="2">
        <v>75</v>
      </c>
      <c r="F817" s="2">
        <v>387.436</v>
      </c>
    </row>
    <row r="818" spans="3:6" x14ac:dyDescent="0.25">
      <c r="C818" s="2" t="s">
        <v>12707</v>
      </c>
      <c r="D818" s="2" t="s">
        <v>42</v>
      </c>
      <c r="E818" s="2">
        <v>75</v>
      </c>
      <c r="F818" s="2">
        <v>388.31</v>
      </c>
    </row>
    <row r="819" spans="3:6" x14ac:dyDescent="0.25">
      <c r="C819" s="2" t="s">
        <v>12708</v>
      </c>
      <c r="D819" s="2" t="s">
        <v>42</v>
      </c>
      <c r="E819" s="2">
        <v>142</v>
      </c>
      <c r="F819" s="2">
        <v>2632.718</v>
      </c>
    </row>
    <row r="820" spans="3:6" x14ac:dyDescent="0.25">
      <c r="C820" s="2" t="s">
        <v>12709</v>
      </c>
      <c r="D820" s="2" t="s">
        <v>42</v>
      </c>
      <c r="E820" s="2">
        <v>141</v>
      </c>
      <c r="F820" s="2">
        <v>2910.64</v>
      </c>
    </row>
    <row r="821" spans="3:6" x14ac:dyDescent="0.25">
      <c r="C821" s="2" t="s">
        <v>12710</v>
      </c>
      <c r="D821" s="2" t="s">
        <v>42</v>
      </c>
      <c r="E821" s="2">
        <v>141</v>
      </c>
      <c r="F821" s="2">
        <v>2893.08</v>
      </c>
    </row>
    <row r="822" spans="3:6" x14ac:dyDescent="0.25">
      <c r="C822" s="2" t="s">
        <v>12711</v>
      </c>
      <c r="D822" s="2" t="s">
        <v>42</v>
      </c>
      <c r="E822" s="2">
        <v>133</v>
      </c>
      <c r="F822" s="2">
        <v>2545.478</v>
      </c>
    </row>
    <row r="823" spans="3:6" x14ac:dyDescent="0.25">
      <c r="C823" s="2" t="s">
        <v>12712</v>
      </c>
      <c r="D823" s="2" t="s">
        <v>42</v>
      </c>
      <c r="E823" s="2">
        <v>141</v>
      </c>
      <c r="F823" s="2">
        <v>2933.93</v>
      </c>
    </row>
    <row r="824" spans="3:6" x14ac:dyDescent="0.25">
      <c r="C824" s="2" t="s">
        <v>12713</v>
      </c>
      <c r="D824" s="2" t="s">
        <v>42</v>
      </c>
      <c r="E824" s="2">
        <v>62</v>
      </c>
      <c r="F824" s="2" t="s">
        <v>8758</v>
      </c>
    </row>
    <row r="825" spans="3:6" x14ac:dyDescent="0.25">
      <c r="C825" s="2" t="s">
        <v>12714</v>
      </c>
      <c r="D825" s="2" t="s">
        <v>42</v>
      </c>
      <c r="E825" s="2">
        <v>72</v>
      </c>
      <c r="F825" s="2">
        <v>1524.389</v>
      </c>
    </row>
    <row r="826" spans="3:6" x14ac:dyDescent="0.25">
      <c r="C826" s="2" t="s">
        <v>12715</v>
      </c>
      <c r="D826" s="2" t="s">
        <v>42</v>
      </c>
      <c r="E826" s="2">
        <v>49</v>
      </c>
      <c r="F826" s="2">
        <v>1009.689</v>
      </c>
    </row>
    <row r="827" spans="3:6" x14ac:dyDescent="0.25">
      <c r="C827" s="2" t="s">
        <v>12716</v>
      </c>
      <c r="D827" s="2" t="s">
        <v>42</v>
      </c>
      <c r="E827" s="2">
        <v>40</v>
      </c>
      <c r="F827" s="2">
        <v>546.041</v>
      </c>
    </row>
    <row r="828" spans="3:6" x14ac:dyDescent="0.25">
      <c r="C828" s="2" t="s">
        <v>12717</v>
      </c>
      <c r="D828" s="2" t="s">
        <v>42</v>
      </c>
      <c r="E828" s="2">
        <v>39</v>
      </c>
      <c r="F828" s="2">
        <v>805.43</v>
      </c>
    </row>
    <row r="829" spans="3:6" x14ac:dyDescent="0.25">
      <c r="C829" s="2" t="s">
        <v>12718</v>
      </c>
      <c r="D829" s="2" t="s">
        <v>42</v>
      </c>
      <c r="E829" s="2">
        <v>30</v>
      </c>
      <c r="F829" s="2">
        <v>358.647</v>
      </c>
    </row>
    <row r="830" spans="3:6" x14ac:dyDescent="0.25">
      <c r="C830" s="2" t="s">
        <v>12719</v>
      </c>
      <c r="D830" s="2" t="s">
        <v>42</v>
      </c>
      <c r="E830" s="2">
        <v>7</v>
      </c>
      <c r="F830" s="2">
        <v>84.4</v>
      </c>
    </row>
    <row r="831" spans="3:6" x14ac:dyDescent="0.25">
      <c r="C831" s="2" t="s">
        <v>12720</v>
      </c>
      <c r="D831" s="2" t="s">
        <v>42</v>
      </c>
      <c r="E831" s="2">
        <v>25</v>
      </c>
      <c r="F831" s="2">
        <v>557.87</v>
      </c>
    </row>
    <row r="832" spans="3:6" x14ac:dyDescent="0.25">
      <c r="C832" s="2" t="s">
        <v>12721</v>
      </c>
      <c r="D832" s="2" t="s">
        <v>42</v>
      </c>
      <c r="E832" s="2">
        <v>65</v>
      </c>
      <c r="F832" s="2">
        <v>1311.71</v>
      </c>
    </row>
    <row r="833" spans="3:6" x14ac:dyDescent="0.25">
      <c r="C833" s="2" t="s">
        <v>12722</v>
      </c>
      <c r="D833" s="2" t="s">
        <v>42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90</v>
      </c>
      <c r="C835" s="2" t="s">
        <v>12723</v>
      </c>
      <c r="D835" s="2" t="s">
        <v>9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12724</v>
      </c>
      <c r="D836" s="2" t="s">
        <v>9</v>
      </c>
      <c r="E836" s="2">
        <v>75</v>
      </c>
      <c r="F836" s="2">
        <v>316.689</v>
      </c>
    </row>
    <row r="837" spans="3:6" x14ac:dyDescent="0.25">
      <c r="C837" s="2" t="s">
        <v>12725</v>
      </c>
      <c r="D837" s="2" t="s">
        <v>9</v>
      </c>
      <c r="E837" s="2">
        <v>75</v>
      </c>
      <c r="F837" s="2">
        <v>318.22</v>
      </c>
    </row>
    <row r="838" spans="3:6" x14ac:dyDescent="0.25">
      <c r="C838" s="2" t="s">
        <v>12726</v>
      </c>
      <c r="D838" s="2" t="s">
        <v>9</v>
      </c>
      <c r="E838" s="2">
        <v>15</v>
      </c>
      <c r="F838" s="2">
        <v>69.67</v>
      </c>
    </row>
    <row r="839" spans="3:6" x14ac:dyDescent="0.25">
      <c r="C839" s="2" t="s">
        <v>12727</v>
      </c>
      <c r="D839" s="2" t="s">
        <v>9</v>
      </c>
      <c r="E839" s="2">
        <v>123</v>
      </c>
      <c r="F839" s="2">
        <v>2487.37</v>
      </c>
    </row>
    <row r="840" spans="3:6" x14ac:dyDescent="0.25">
      <c r="C840" s="2" t="s">
        <v>12728</v>
      </c>
      <c r="D840" s="2" t="s">
        <v>9</v>
      </c>
      <c r="E840" s="2">
        <v>123</v>
      </c>
      <c r="F840" s="2">
        <v>2485.559</v>
      </c>
    </row>
    <row r="841" spans="3:6" x14ac:dyDescent="0.25">
      <c r="C841" s="2" t="s">
        <v>12729</v>
      </c>
      <c r="D841" s="2" t="s">
        <v>9</v>
      </c>
      <c r="E841" s="2">
        <v>123</v>
      </c>
      <c r="F841" s="2">
        <v>2555.93</v>
      </c>
    </row>
    <row r="842" spans="3:6" x14ac:dyDescent="0.25">
      <c r="C842" s="2" t="s">
        <v>12730</v>
      </c>
      <c r="D842" s="2" t="s">
        <v>9</v>
      </c>
      <c r="E842" s="2">
        <v>123</v>
      </c>
      <c r="F842" s="2">
        <v>2530.16</v>
      </c>
    </row>
    <row r="843" spans="3:6" x14ac:dyDescent="0.25">
      <c r="C843" s="2" t="s">
        <v>12731</v>
      </c>
      <c r="D843" s="2" t="s">
        <v>9</v>
      </c>
      <c r="E843" s="2">
        <v>204</v>
      </c>
      <c r="F843" s="2">
        <v>4178.84</v>
      </c>
    </row>
    <row r="844" spans="3:6" x14ac:dyDescent="0.25">
      <c r="C844" s="2" t="s">
        <v>12732</v>
      </c>
      <c r="D844" s="2" t="s">
        <v>9</v>
      </c>
      <c r="E844" s="2">
        <v>141</v>
      </c>
      <c r="F844" s="2">
        <v>2899.3</v>
      </c>
    </row>
    <row r="845" spans="3:6" x14ac:dyDescent="0.25">
      <c r="C845" s="2" t="s">
        <v>12733</v>
      </c>
      <c r="D845" s="2" t="s">
        <v>9</v>
      </c>
      <c r="E845" s="2">
        <v>141</v>
      </c>
      <c r="F845" s="2">
        <v>2841.82</v>
      </c>
    </row>
    <row r="846" spans="3:6" x14ac:dyDescent="0.25">
      <c r="C846" s="2" t="s">
        <v>12496</v>
      </c>
      <c r="D846" s="2" t="s">
        <v>9</v>
      </c>
      <c r="E846" s="2">
        <v>102</v>
      </c>
      <c r="F846" s="2">
        <v>2094.01</v>
      </c>
    </row>
    <row r="847" spans="3:6" x14ac:dyDescent="0.25">
      <c r="C847" s="2" t="s">
        <v>12734</v>
      </c>
      <c r="D847" s="2" t="s">
        <v>9</v>
      </c>
      <c r="E847" s="2">
        <v>141</v>
      </c>
      <c r="F847" s="2">
        <v>2835.86</v>
      </c>
    </row>
    <row r="848" spans="3:6" x14ac:dyDescent="0.25">
      <c r="C848" s="2" t="s">
        <v>12735</v>
      </c>
      <c r="D848" s="2" t="s">
        <v>9</v>
      </c>
      <c r="E848" s="2">
        <v>282</v>
      </c>
      <c r="F848" s="2">
        <v>5935.69</v>
      </c>
    </row>
    <row r="849" spans="3:6" x14ac:dyDescent="0.25">
      <c r="C849" s="2" t="s">
        <v>12736</v>
      </c>
      <c r="D849" s="2" t="s">
        <v>9</v>
      </c>
      <c r="E849" s="2">
        <v>141</v>
      </c>
      <c r="F849" s="2">
        <v>2977.11</v>
      </c>
    </row>
    <row r="850" spans="3:6" x14ac:dyDescent="0.25">
      <c r="C850" s="2" t="s">
        <v>12737</v>
      </c>
      <c r="D850" s="2" t="s">
        <v>9</v>
      </c>
      <c r="E850" s="2">
        <v>141</v>
      </c>
      <c r="F850" s="2">
        <v>2705.56</v>
      </c>
    </row>
    <row r="851" spans="3:6" x14ac:dyDescent="0.25">
      <c r="C851" s="2" t="s">
        <v>12738</v>
      </c>
      <c r="D851" s="2" t="s">
        <v>9</v>
      </c>
      <c r="E851" s="2">
        <v>102</v>
      </c>
      <c r="F851" s="2">
        <v>1903.519</v>
      </c>
    </row>
    <row r="852" spans="3:6" x14ac:dyDescent="0.25">
      <c r="C852" s="2" t="s">
        <v>12739</v>
      </c>
      <c r="D852" s="2" t="s">
        <v>9</v>
      </c>
      <c r="E852" s="2">
        <v>134</v>
      </c>
      <c r="F852" s="2">
        <v>2455.998</v>
      </c>
    </row>
    <row r="853" spans="3:6" x14ac:dyDescent="0.25">
      <c r="C853" s="2" t="s">
        <v>12740</v>
      </c>
      <c r="D853" s="2" t="s">
        <v>9</v>
      </c>
      <c r="E853" s="2">
        <v>102</v>
      </c>
      <c r="F853" s="2">
        <v>2166.27</v>
      </c>
    </row>
    <row r="854" spans="3:6" x14ac:dyDescent="0.25">
      <c r="C854" s="2" t="s">
        <v>12741</v>
      </c>
      <c r="D854" s="2" t="s">
        <v>9</v>
      </c>
      <c r="E854" s="2">
        <v>30</v>
      </c>
      <c r="F854" s="2">
        <v>591.31</v>
      </c>
    </row>
    <row r="855" spans="3:6" x14ac:dyDescent="0.25">
      <c r="C855" s="2" t="s">
        <v>12742</v>
      </c>
      <c r="D855" s="2" t="s">
        <v>9</v>
      </c>
      <c r="E855" s="2">
        <v>72</v>
      </c>
      <c r="F855" s="2">
        <v>1387.58</v>
      </c>
    </row>
    <row r="856" spans="3:6" x14ac:dyDescent="0.25">
      <c r="C856" s="2" t="s">
        <v>12743</v>
      </c>
      <c r="D856" s="2" t="s">
        <v>9</v>
      </c>
      <c r="E856" s="2">
        <v>282</v>
      </c>
      <c r="F856" s="2">
        <v>5764.909</v>
      </c>
    </row>
    <row r="857" spans="3:6" x14ac:dyDescent="0.25">
      <c r="C857" s="2" t="s">
        <v>12744</v>
      </c>
      <c r="D857" s="2" t="s">
        <v>9</v>
      </c>
      <c r="E857" s="2">
        <v>243</v>
      </c>
      <c r="F857" s="2">
        <v>5199.28</v>
      </c>
    </row>
    <row r="858" spans="3:6" x14ac:dyDescent="0.25">
      <c r="C858" s="2" t="s">
        <v>12745</v>
      </c>
      <c r="D858" s="2" t="s">
        <v>9</v>
      </c>
      <c r="E858" s="2">
        <v>141</v>
      </c>
      <c r="F858" s="2">
        <v>2913.89</v>
      </c>
    </row>
    <row r="859" spans="3:6" x14ac:dyDescent="0.25">
      <c r="C859" s="2" t="s">
        <v>12746</v>
      </c>
      <c r="D859" s="2" t="s">
        <v>9</v>
      </c>
      <c r="E859" s="2">
        <v>141</v>
      </c>
      <c r="F859" s="2">
        <v>2950.24</v>
      </c>
    </row>
    <row r="860" spans="3:6" x14ac:dyDescent="0.25">
      <c r="C860" s="2" t="s">
        <v>12747</v>
      </c>
      <c r="D860" s="2" t="s">
        <v>9</v>
      </c>
      <c r="E860" s="2">
        <v>47</v>
      </c>
      <c r="F860" s="2">
        <v>820.14</v>
      </c>
    </row>
    <row r="861" spans="3:6" x14ac:dyDescent="0.25">
      <c r="C861" s="2" t="s">
        <v>12748</v>
      </c>
      <c r="D861" s="2" t="s">
        <v>9</v>
      </c>
      <c r="E861" s="2">
        <v>30</v>
      </c>
      <c r="F861" s="2">
        <v>572.73</v>
      </c>
    </row>
    <row r="862" spans="3:6" x14ac:dyDescent="0.25">
      <c r="C862" s="2" t="s">
        <v>12749</v>
      </c>
      <c r="D862" s="2" t="s">
        <v>9</v>
      </c>
      <c r="E862" s="2">
        <v>61</v>
      </c>
      <c r="F862" s="2">
        <v>1128.388</v>
      </c>
    </row>
    <row r="863" spans="3:6" x14ac:dyDescent="0.25">
      <c r="C863" s="2" t="s">
        <v>12750</v>
      </c>
      <c r="D863" s="2" t="s">
        <v>9</v>
      </c>
      <c r="E863" s="2">
        <v>80</v>
      </c>
      <c r="F863" s="2">
        <v>1522.589</v>
      </c>
    </row>
    <row r="864" spans="3:6" x14ac:dyDescent="0.25">
      <c r="C864" s="2" t="s">
        <v>12751</v>
      </c>
      <c r="D864" s="2" t="s">
        <v>9</v>
      </c>
      <c r="E864" s="2">
        <v>141</v>
      </c>
      <c r="F864" s="2">
        <v>2920.719</v>
      </c>
    </row>
    <row r="865" spans="3:6" x14ac:dyDescent="0.25">
      <c r="C865" s="2" t="s">
        <v>12752</v>
      </c>
      <c r="D865" s="2" t="s">
        <v>9</v>
      </c>
      <c r="E865" s="2">
        <v>116</v>
      </c>
      <c r="F865" s="2">
        <v>2267.16</v>
      </c>
    </row>
    <row r="866" spans="3:6" x14ac:dyDescent="0.25">
      <c r="C866" s="2" t="s">
        <v>12753</v>
      </c>
      <c r="D866" s="2" t="s">
        <v>9</v>
      </c>
      <c r="E866" s="2">
        <v>25</v>
      </c>
      <c r="F866" s="2">
        <v>430.18</v>
      </c>
    </row>
    <row r="867" spans="3:6" x14ac:dyDescent="0.25">
      <c r="C867" s="2" t="s">
        <v>12754</v>
      </c>
      <c r="D867" s="2" t="s">
        <v>9</v>
      </c>
      <c r="E867" s="2">
        <v>141</v>
      </c>
      <c r="F867" s="2">
        <v>2992.47</v>
      </c>
    </row>
    <row r="868" spans="3:6" x14ac:dyDescent="0.25">
      <c r="C868" s="2" t="s">
        <v>12755</v>
      </c>
      <c r="D868" s="2" t="s">
        <v>9</v>
      </c>
      <c r="E868" s="2">
        <v>81</v>
      </c>
      <c r="F868" s="2">
        <v>1646.66</v>
      </c>
    </row>
    <row r="869" spans="3:6" x14ac:dyDescent="0.25">
      <c r="C869" s="2" t="s">
        <v>12756</v>
      </c>
      <c r="D869" s="2" t="s">
        <v>9</v>
      </c>
      <c r="E869" s="2">
        <v>60</v>
      </c>
      <c r="F869" s="2">
        <v>1233.88</v>
      </c>
    </row>
    <row r="870" spans="3:6" x14ac:dyDescent="0.25">
      <c r="C870" s="2" t="s">
        <v>12757</v>
      </c>
      <c r="D870" s="2" t="s">
        <v>20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14</v>
      </c>
      <c r="C872" s="2" t="s">
        <v>12758</v>
      </c>
      <c r="D872" s="2" t="s">
        <v>12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12759</v>
      </c>
      <c r="D873" s="2" t="s">
        <v>12</v>
      </c>
      <c r="E873" s="2">
        <v>156</v>
      </c>
      <c r="F873" s="2">
        <v>3210.59</v>
      </c>
    </row>
    <row r="874" spans="3:6" x14ac:dyDescent="0.25">
      <c r="C874" s="2" t="s">
        <v>12760</v>
      </c>
      <c r="D874" s="2" t="s">
        <v>12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10</v>
      </c>
      <c r="C876" s="2" t="s">
        <v>12761</v>
      </c>
      <c r="D876" s="2" t="s">
        <v>12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12762</v>
      </c>
      <c r="D877" s="2" t="s">
        <v>12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18</v>
      </c>
      <c r="C879" s="2" t="s">
        <v>12763</v>
      </c>
      <c r="D879" s="2" t="s">
        <v>20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12764</v>
      </c>
      <c r="D880" s="2" t="s">
        <v>20</v>
      </c>
      <c r="E880" s="2">
        <v>251</v>
      </c>
      <c r="F880" s="2">
        <v>4783.629</v>
      </c>
    </row>
    <row r="881" spans="3:6" x14ac:dyDescent="0.25">
      <c r="C881" s="2" t="s">
        <v>12765</v>
      </c>
      <c r="D881" s="2" t="s">
        <v>20</v>
      </c>
      <c r="E881" s="2">
        <v>149</v>
      </c>
      <c r="F881" s="2">
        <v>2769.39</v>
      </c>
    </row>
    <row r="882" spans="3:6" x14ac:dyDescent="0.25">
      <c r="C882" s="2" t="s">
        <v>12766</v>
      </c>
      <c r="D882" s="2" t="s">
        <v>20</v>
      </c>
      <c r="E882" s="2">
        <v>258</v>
      </c>
      <c r="F882" s="2">
        <v>5309.094</v>
      </c>
    </row>
    <row r="883" spans="3:6" x14ac:dyDescent="0.25">
      <c r="C883" s="2" t="s">
        <v>12767</v>
      </c>
      <c r="D883" s="2" t="s">
        <v>20</v>
      </c>
      <c r="E883" s="2">
        <v>149</v>
      </c>
      <c r="F883" s="2">
        <v>2889.05</v>
      </c>
    </row>
    <row r="884" spans="3:6" x14ac:dyDescent="0.25">
      <c r="C884" s="2" t="s">
        <v>12768</v>
      </c>
      <c r="D884" s="2" t="s">
        <v>20</v>
      </c>
      <c r="E884" s="2">
        <v>251</v>
      </c>
      <c r="F884" s="2">
        <v>4911.67</v>
      </c>
    </row>
    <row r="885" spans="3:6" x14ac:dyDescent="0.25">
      <c r="C885" s="2" t="s">
        <v>12757</v>
      </c>
      <c r="D885" s="2" t="s">
        <v>20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2738</v>
      </c>
      <c r="C887" s="2" t="s">
        <v>12769</v>
      </c>
      <c r="D887" s="2" t="s">
        <v>20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12770</v>
      </c>
      <c r="D888" s="2" t="s">
        <v>20</v>
      </c>
      <c r="E888" s="2">
        <v>149</v>
      </c>
      <c r="F888" s="2">
        <v>2774.08</v>
      </c>
    </row>
    <row r="889" spans="3:6" x14ac:dyDescent="0.25">
      <c r="C889" s="2" t="s">
        <v>12771</v>
      </c>
      <c r="D889" s="2" t="s">
        <v>20</v>
      </c>
      <c r="E889" s="2">
        <v>149</v>
      </c>
      <c r="F889" s="2">
        <v>2839.77</v>
      </c>
    </row>
    <row r="890" spans="3:6" x14ac:dyDescent="0.25">
      <c r="C890" s="2" t="s">
        <v>12772</v>
      </c>
      <c r="D890" s="2" t="s">
        <v>20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4182</v>
      </c>
      <c r="C892" s="2" t="s">
        <v>12773</v>
      </c>
      <c r="D892" s="2" t="s">
        <v>27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12774</v>
      </c>
      <c r="D893" s="2" t="s">
        <v>27</v>
      </c>
      <c r="E893" s="2">
        <v>69</v>
      </c>
      <c r="F893" s="2">
        <v>1272.409</v>
      </c>
    </row>
    <row r="894" spans="3:6" x14ac:dyDescent="0.25">
      <c r="C894" s="2" t="s">
        <v>12775</v>
      </c>
      <c r="D894" s="2" t="s">
        <v>27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4182</v>
      </c>
      <c r="C896" s="2" t="s">
        <v>12776</v>
      </c>
      <c r="D896" s="2" t="s">
        <v>122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12777</v>
      </c>
      <c r="D897" s="2" t="s">
        <v>122</v>
      </c>
      <c r="E897" s="2">
        <v>16</v>
      </c>
      <c r="F897" s="2">
        <v>332.96</v>
      </c>
    </row>
    <row r="898" spans="3:6" x14ac:dyDescent="0.25">
      <c r="C898" s="2" t="s">
        <v>12778</v>
      </c>
      <c r="D898" s="2" t="s">
        <v>122</v>
      </c>
      <c r="E898" s="2">
        <v>81</v>
      </c>
      <c r="F898" s="2">
        <v>1652.54</v>
      </c>
    </row>
    <row r="899" spans="3:6" x14ac:dyDescent="0.25">
      <c r="C899" s="2" t="s">
        <v>12779</v>
      </c>
      <c r="D899" s="2" t="s">
        <v>122</v>
      </c>
      <c r="E899" s="2">
        <v>20</v>
      </c>
      <c r="F899" s="2">
        <v>418.92</v>
      </c>
    </row>
    <row r="900" spans="3:6" x14ac:dyDescent="0.25">
      <c r="C900" s="2" t="s">
        <v>12780</v>
      </c>
      <c r="D900" s="2" t="s">
        <v>122</v>
      </c>
      <c r="E900" s="2">
        <v>10</v>
      </c>
      <c r="F900" s="2">
        <v>212.51</v>
      </c>
    </row>
    <row r="901" spans="3:6" x14ac:dyDescent="0.25">
      <c r="C901" s="2" t="s">
        <v>12781</v>
      </c>
      <c r="D901" s="2" t="s">
        <v>122</v>
      </c>
      <c r="E901" s="2">
        <v>10</v>
      </c>
      <c r="F901" s="2">
        <v>226.66</v>
      </c>
    </row>
    <row r="902" spans="3:6" x14ac:dyDescent="0.25">
      <c r="C902" s="2" t="s">
        <v>12782</v>
      </c>
      <c r="D902" s="2" t="s">
        <v>122</v>
      </c>
      <c r="E902" s="2">
        <v>86</v>
      </c>
      <c r="F902" s="2">
        <v>1787.42</v>
      </c>
    </row>
    <row r="903" spans="3:6" x14ac:dyDescent="0.25">
      <c r="C903" s="2" t="s">
        <v>12783</v>
      </c>
      <c r="D903" s="2" t="s">
        <v>122</v>
      </c>
      <c r="E903" s="2">
        <v>20</v>
      </c>
      <c r="F903" s="2">
        <v>418.83</v>
      </c>
    </row>
    <row r="904" spans="3:6" x14ac:dyDescent="0.25">
      <c r="C904" s="2" t="s">
        <v>12784</v>
      </c>
      <c r="D904" s="2" t="s">
        <v>122</v>
      </c>
      <c r="E904" s="2">
        <v>35</v>
      </c>
      <c r="F904" s="2">
        <v>699.6</v>
      </c>
    </row>
    <row r="905" spans="3:6" x14ac:dyDescent="0.25">
      <c r="C905" s="2" t="s">
        <v>12785</v>
      </c>
      <c r="D905" s="2" t="s">
        <v>122</v>
      </c>
      <c r="E905" s="2">
        <v>141</v>
      </c>
      <c r="F905" s="2">
        <v>2923.239</v>
      </c>
    </row>
    <row r="906" spans="3:6" x14ac:dyDescent="0.25">
      <c r="C906" s="2" t="s">
        <v>12786</v>
      </c>
      <c r="D906" s="2" t="s">
        <v>122</v>
      </c>
      <c r="E906" s="2">
        <v>141</v>
      </c>
      <c r="F906" s="2">
        <v>2818.899</v>
      </c>
    </row>
    <row r="907" spans="3:6" x14ac:dyDescent="0.25">
      <c r="C907" s="2" t="s">
        <v>12787</v>
      </c>
      <c r="D907" s="2" t="s">
        <v>122</v>
      </c>
      <c r="E907" s="2">
        <v>141</v>
      </c>
      <c r="F907" s="2">
        <v>2936.378</v>
      </c>
    </row>
    <row r="908" spans="3:6" x14ac:dyDescent="0.25">
      <c r="C908" s="2" t="s">
        <v>12788</v>
      </c>
      <c r="D908" s="2" t="s">
        <v>122</v>
      </c>
      <c r="E908" s="2">
        <v>141</v>
      </c>
      <c r="F908" s="2">
        <v>2810.62</v>
      </c>
    </row>
    <row r="909" spans="3:6" x14ac:dyDescent="0.25">
      <c r="C909" s="2" t="s">
        <v>12789</v>
      </c>
      <c r="D909" s="2" t="s">
        <v>122</v>
      </c>
      <c r="E909" s="2">
        <v>141</v>
      </c>
      <c r="F909" s="2">
        <v>2951.46</v>
      </c>
    </row>
    <row r="910" spans="3:6" x14ac:dyDescent="0.25">
      <c r="C910" s="2" t="s">
        <v>12790</v>
      </c>
      <c r="D910" s="2" t="s">
        <v>122</v>
      </c>
      <c r="E910" s="2">
        <v>141</v>
      </c>
      <c r="F910" s="2">
        <v>2962.59</v>
      </c>
    </row>
    <row r="911" spans="3:6" x14ac:dyDescent="0.25">
      <c r="C911" s="2" t="s">
        <v>12791</v>
      </c>
      <c r="D911" s="2" t="s">
        <v>122</v>
      </c>
      <c r="E911" s="2">
        <v>141</v>
      </c>
      <c r="F911" s="2">
        <v>2872.08</v>
      </c>
    </row>
    <row r="912" spans="3:6" x14ac:dyDescent="0.25">
      <c r="C912" s="2" t="s">
        <v>12792</v>
      </c>
      <c r="D912" s="2" t="s">
        <v>122</v>
      </c>
      <c r="E912" s="2">
        <v>20</v>
      </c>
      <c r="F912" s="2">
        <v>395.62</v>
      </c>
    </row>
    <row r="913" spans="3:6" x14ac:dyDescent="0.25">
      <c r="C913" s="2" t="s">
        <v>12793</v>
      </c>
      <c r="D913" s="2" t="s">
        <v>122</v>
      </c>
      <c r="E913" s="2">
        <v>121</v>
      </c>
      <c r="F913" s="2">
        <v>2153.087</v>
      </c>
    </row>
    <row r="914" spans="3:6" x14ac:dyDescent="0.25">
      <c r="C914" s="2" t="s">
        <v>12794</v>
      </c>
      <c r="D914" s="2" t="s">
        <v>122</v>
      </c>
      <c r="E914" s="2">
        <v>18</v>
      </c>
      <c r="F914" s="2">
        <v>324.776</v>
      </c>
    </row>
    <row r="915" spans="3:6" x14ac:dyDescent="0.25">
      <c r="C915" s="2" t="s">
        <v>12795</v>
      </c>
      <c r="D915" s="2" t="s">
        <v>122</v>
      </c>
      <c r="E915" s="2">
        <v>71</v>
      </c>
      <c r="F915" s="2">
        <v>1321.767</v>
      </c>
    </row>
    <row r="916" spans="3:6" x14ac:dyDescent="0.25">
      <c r="C916" s="2" t="s">
        <v>12796</v>
      </c>
      <c r="D916" s="2" t="s">
        <v>122</v>
      </c>
      <c r="E916" s="2">
        <v>101</v>
      </c>
      <c r="F916" s="2">
        <v>2086.86</v>
      </c>
    </row>
    <row r="917" spans="3:6" x14ac:dyDescent="0.25">
      <c r="C917" s="2" t="s">
        <v>12797</v>
      </c>
      <c r="D917" s="2" t="s">
        <v>122</v>
      </c>
      <c r="E917" s="2">
        <v>60</v>
      </c>
      <c r="F917" s="2">
        <v>1154.43</v>
      </c>
    </row>
    <row r="918" spans="3:6" x14ac:dyDescent="0.25">
      <c r="C918" s="2" t="s">
        <v>12798</v>
      </c>
      <c r="D918" s="2" t="s">
        <v>122</v>
      </c>
      <c r="E918" s="2">
        <v>41</v>
      </c>
      <c r="F918" s="2">
        <v>854.08</v>
      </c>
    </row>
    <row r="919" spans="3:6" x14ac:dyDescent="0.25">
      <c r="C919" s="2" t="s">
        <v>12799</v>
      </c>
      <c r="D919" s="2" t="s">
        <v>122</v>
      </c>
      <c r="E919" s="2">
        <v>101</v>
      </c>
      <c r="F919" s="2">
        <v>1968.03</v>
      </c>
    </row>
    <row r="920" spans="3:6" x14ac:dyDescent="0.25">
      <c r="C920" s="2" t="s">
        <v>12800</v>
      </c>
      <c r="D920" s="2" t="s">
        <v>122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324</v>
      </c>
      <c r="C922" s="2" t="s">
        <v>12801</v>
      </c>
      <c r="D922" s="2" t="s">
        <v>27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12802</v>
      </c>
      <c r="D923" s="2" t="s">
        <v>27</v>
      </c>
      <c r="E923" s="2">
        <v>50</v>
      </c>
      <c r="F923" s="2">
        <v>890.589</v>
      </c>
    </row>
    <row r="924" spans="3:6" x14ac:dyDescent="0.25">
      <c r="C924" s="2" t="s">
        <v>12803</v>
      </c>
      <c r="D924" s="2" t="s">
        <v>27</v>
      </c>
      <c r="E924" s="2">
        <v>101</v>
      </c>
      <c r="F924" s="2">
        <v>1935.37</v>
      </c>
    </row>
    <row r="925" spans="3:6" x14ac:dyDescent="0.25">
      <c r="C925" s="2" t="s">
        <v>12804</v>
      </c>
      <c r="D925" s="2" t="s">
        <v>27</v>
      </c>
      <c r="E925" s="2">
        <v>85</v>
      </c>
      <c r="F925" s="2">
        <v>1781.499</v>
      </c>
    </row>
    <row r="926" spans="3:6" x14ac:dyDescent="0.25">
      <c r="C926" s="2" t="s">
        <v>12805</v>
      </c>
      <c r="D926" s="2" t="s">
        <v>27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8925</v>
      </c>
      <c r="C928" s="2" t="s">
        <v>12806</v>
      </c>
      <c r="D928" s="2" t="s">
        <v>122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12807</v>
      </c>
      <c r="D929" s="2" t="s">
        <v>122</v>
      </c>
      <c r="E929" s="2">
        <v>102</v>
      </c>
      <c r="F929" s="2">
        <v>2180.63</v>
      </c>
    </row>
    <row r="930" spans="3:6" x14ac:dyDescent="0.25">
      <c r="C930" s="2" t="s">
        <v>12808</v>
      </c>
      <c r="D930" s="2" t="s">
        <v>122</v>
      </c>
      <c r="E930" s="2">
        <v>75</v>
      </c>
      <c r="F930" s="2">
        <v>1494.62</v>
      </c>
    </row>
    <row r="931" spans="3:6" x14ac:dyDescent="0.25">
      <c r="C931" s="2" t="s">
        <v>12809</v>
      </c>
      <c r="D931" s="2" t="s">
        <v>122</v>
      </c>
      <c r="E931" s="2">
        <v>123</v>
      </c>
      <c r="F931" s="2">
        <v>2534.25</v>
      </c>
    </row>
    <row r="932" spans="3:6" x14ac:dyDescent="0.25">
      <c r="C932" s="2" t="s">
        <v>12810</v>
      </c>
      <c r="D932" s="2" t="s">
        <v>122</v>
      </c>
      <c r="E932" s="2">
        <v>87</v>
      </c>
      <c r="F932" s="2">
        <v>2206.364</v>
      </c>
    </row>
    <row r="933" spans="3:6" x14ac:dyDescent="0.25">
      <c r="C933" s="2" t="s">
        <v>12811</v>
      </c>
      <c r="D933" s="2" t="s">
        <v>122</v>
      </c>
      <c r="E933" s="2">
        <v>78</v>
      </c>
      <c r="F933" s="2">
        <v>2047.968</v>
      </c>
    </row>
    <row r="934" spans="3:6" x14ac:dyDescent="0.25">
      <c r="C934" s="2" t="s">
        <v>12812</v>
      </c>
      <c r="D934" s="2" t="s">
        <v>122</v>
      </c>
      <c r="E934" s="2">
        <v>34</v>
      </c>
      <c r="F934" s="2">
        <v>303.199</v>
      </c>
    </row>
    <row r="935" spans="3:6" x14ac:dyDescent="0.25">
      <c r="C935" s="2" t="s">
        <v>12813</v>
      </c>
      <c r="D935" s="2" t="s">
        <v>122</v>
      </c>
      <c r="E935" s="2">
        <v>141</v>
      </c>
      <c r="F935" s="2">
        <v>2889.799</v>
      </c>
    </row>
    <row r="936" spans="3:6" x14ac:dyDescent="0.25">
      <c r="C936" s="2" t="s">
        <v>12814</v>
      </c>
      <c r="D936" s="2" t="s">
        <v>122</v>
      </c>
      <c r="E936" s="2">
        <v>141</v>
      </c>
      <c r="F936" s="2">
        <v>2965.339</v>
      </c>
    </row>
    <row r="937" spans="3:6" x14ac:dyDescent="0.25">
      <c r="C937" s="2" t="s">
        <v>12815</v>
      </c>
      <c r="D937" s="2" t="s">
        <v>122</v>
      </c>
      <c r="E937" s="2">
        <v>141</v>
      </c>
      <c r="F937" s="2">
        <v>2904.84</v>
      </c>
    </row>
    <row r="938" spans="3:6" x14ac:dyDescent="0.25">
      <c r="C938" s="2" t="s">
        <v>12816</v>
      </c>
      <c r="D938" s="2" t="s">
        <v>122</v>
      </c>
      <c r="E938" s="2">
        <v>141</v>
      </c>
      <c r="F938" s="2">
        <v>2937.129</v>
      </c>
    </row>
    <row r="939" spans="3:6" x14ac:dyDescent="0.25">
      <c r="C939" s="2" t="s">
        <v>12817</v>
      </c>
      <c r="D939" s="2" t="s">
        <v>122</v>
      </c>
      <c r="E939" s="2">
        <v>60</v>
      </c>
      <c r="F939" s="2">
        <v>1123.029</v>
      </c>
    </row>
    <row r="940" spans="3:6" x14ac:dyDescent="0.25">
      <c r="C940" s="2" t="s">
        <v>12818</v>
      </c>
      <c r="D940" s="2" t="s">
        <v>122</v>
      </c>
      <c r="E940" s="2">
        <v>81</v>
      </c>
      <c r="F940" s="2">
        <v>1621.59</v>
      </c>
    </row>
    <row r="941" spans="3:6" x14ac:dyDescent="0.25">
      <c r="C941" s="2" t="s">
        <v>12819</v>
      </c>
      <c r="D941" s="2" t="s">
        <v>122</v>
      </c>
      <c r="E941" s="2">
        <v>121</v>
      </c>
      <c r="F941" s="2">
        <v>2574.35</v>
      </c>
    </row>
    <row r="942" spans="3:6" x14ac:dyDescent="0.25">
      <c r="C942" s="2" t="s">
        <v>12820</v>
      </c>
      <c r="D942" s="2" t="s">
        <v>122</v>
      </c>
      <c r="E942" s="2">
        <v>20</v>
      </c>
      <c r="F942" s="2">
        <v>417.75</v>
      </c>
    </row>
    <row r="943" spans="3:6" x14ac:dyDescent="0.25">
      <c r="C943" s="2" t="s">
        <v>12821</v>
      </c>
      <c r="D943" s="2" t="s">
        <v>122</v>
      </c>
      <c r="E943" s="2">
        <v>102</v>
      </c>
      <c r="F943" s="2">
        <v>447.249</v>
      </c>
    </row>
    <row r="944" spans="3:6" x14ac:dyDescent="0.25">
      <c r="C944" s="2" t="s">
        <v>12822</v>
      </c>
      <c r="D944" s="2" t="s">
        <v>122</v>
      </c>
      <c r="E944" s="2">
        <v>123</v>
      </c>
      <c r="F944" s="2">
        <v>2566.9</v>
      </c>
    </row>
    <row r="945" spans="3:6" x14ac:dyDescent="0.25">
      <c r="C945" s="2" t="s">
        <v>12823</v>
      </c>
      <c r="D945" s="2" t="s">
        <v>122</v>
      </c>
      <c r="E945" s="2">
        <v>121</v>
      </c>
      <c r="F945" s="2">
        <v>2520.219</v>
      </c>
    </row>
    <row r="946" spans="3:6" x14ac:dyDescent="0.25">
      <c r="C946" s="2" t="s">
        <v>12824</v>
      </c>
      <c r="D946" s="2" t="s">
        <v>122</v>
      </c>
      <c r="E946" s="2">
        <v>121</v>
      </c>
      <c r="F946" s="2">
        <v>2473.85</v>
      </c>
    </row>
    <row r="947" spans="3:6" x14ac:dyDescent="0.25">
      <c r="C947" s="2" t="s">
        <v>12825</v>
      </c>
      <c r="D947" s="2" t="s">
        <v>122</v>
      </c>
      <c r="E947" s="2">
        <v>102</v>
      </c>
      <c r="F947" s="2">
        <v>2055.43</v>
      </c>
    </row>
    <row r="948" spans="3:6" x14ac:dyDescent="0.25">
      <c r="C948" s="2" t="s">
        <v>12826</v>
      </c>
      <c r="D948" s="2" t="s">
        <v>122</v>
      </c>
      <c r="E948" s="2">
        <v>143</v>
      </c>
      <c r="F948" s="2">
        <v>2840.498</v>
      </c>
    </row>
    <row r="949" spans="3:6" x14ac:dyDescent="0.25">
      <c r="C949" s="2" t="s">
        <v>12827</v>
      </c>
      <c r="D949" s="2" t="s">
        <v>122</v>
      </c>
      <c r="E949" s="2">
        <v>143</v>
      </c>
      <c r="F949" s="2">
        <v>2961.33</v>
      </c>
    </row>
    <row r="950" spans="3:6" x14ac:dyDescent="0.25">
      <c r="C950" s="2" t="s">
        <v>12828</v>
      </c>
      <c r="D950" s="2" t="s">
        <v>122</v>
      </c>
      <c r="E950" s="2">
        <v>108</v>
      </c>
      <c r="F950" s="2">
        <v>2257.79</v>
      </c>
    </row>
    <row r="951" spans="3:6" x14ac:dyDescent="0.25">
      <c r="C951" s="2" t="s">
        <v>12829</v>
      </c>
      <c r="D951" s="2" t="s">
        <v>122</v>
      </c>
      <c r="E951" s="2">
        <v>35</v>
      </c>
      <c r="F951" s="2">
        <v>714.84</v>
      </c>
    </row>
    <row r="952" spans="3:6" x14ac:dyDescent="0.25">
      <c r="C952" s="2" t="s">
        <v>12830</v>
      </c>
      <c r="D952" s="2" t="s">
        <v>122</v>
      </c>
      <c r="E952" s="2">
        <v>143</v>
      </c>
      <c r="F952" s="2">
        <v>2936.41</v>
      </c>
    </row>
    <row r="953" spans="3:6" x14ac:dyDescent="0.25">
      <c r="C953" s="2" t="s">
        <v>12831</v>
      </c>
      <c r="D953" s="2" t="s">
        <v>122</v>
      </c>
      <c r="E953" s="2">
        <v>143</v>
      </c>
      <c r="F953" s="2">
        <v>3093.57</v>
      </c>
    </row>
    <row r="954" spans="3:6" x14ac:dyDescent="0.25">
      <c r="C954" s="2" t="s">
        <v>12832</v>
      </c>
      <c r="D954" s="2" t="s">
        <v>122</v>
      </c>
      <c r="E954" s="2">
        <v>47</v>
      </c>
      <c r="F954" s="2">
        <v>1020.2</v>
      </c>
    </row>
    <row r="955" spans="3:6" x14ac:dyDescent="0.25">
      <c r="C955" s="2" t="s">
        <v>12833</v>
      </c>
      <c r="D955" s="2" t="s">
        <v>122</v>
      </c>
      <c r="E955" s="2">
        <v>15</v>
      </c>
      <c r="F955" s="2">
        <v>333.66</v>
      </c>
    </row>
    <row r="956" spans="3:6" x14ac:dyDescent="0.25">
      <c r="C956" s="2" t="s">
        <v>12834</v>
      </c>
      <c r="D956" s="2" t="s">
        <v>122</v>
      </c>
      <c r="E956" s="2">
        <v>52</v>
      </c>
      <c r="F956" s="2">
        <v>1043.82</v>
      </c>
    </row>
    <row r="957" spans="3:6" x14ac:dyDescent="0.25">
      <c r="C957" s="2" t="s">
        <v>12835</v>
      </c>
      <c r="D957" s="2" t="s">
        <v>122</v>
      </c>
      <c r="E957" s="2">
        <v>11</v>
      </c>
      <c r="F957" s="2">
        <v>239.03</v>
      </c>
    </row>
    <row r="958" spans="3:6" x14ac:dyDescent="0.25">
      <c r="C958" s="2" t="s">
        <v>12836</v>
      </c>
      <c r="D958" s="2" t="s">
        <v>122</v>
      </c>
      <c r="E958" s="2">
        <v>10</v>
      </c>
      <c r="F958" s="2">
        <v>212.25</v>
      </c>
    </row>
    <row r="959" spans="3:6" x14ac:dyDescent="0.25">
      <c r="C959" s="2" t="s">
        <v>12837</v>
      </c>
      <c r="D959" s="2" t="s">
        <v>122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10</v>
      </c>
      <c r="C961" s="2" t="s">
        <v>12838</v>
      </c>
      <c r="D961" s="2" t="s">
        <v>12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12839</v>
      </c>
      <c r="D962" s="2" t="s">
        <v>12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1286</v>
      </c>
      <c r="C964" s="2" t="s">
        <v>12840</v>
      </c>
      <c r="D964" s="2" t="s">
        <v>1288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12841</v>
      </c>
      <c r="D965" s="2" t="s">
        <v>1288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453</v>
      </c>
      <c r="C967" s="2" t="s">
        <v>12842</v>
      </c>
      <c r="D967" s="2" t="s">
        <v>204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12843</v>
      </c>
      <c r="D968" s="2" t="s">
        <v>204</v>
      </c>
      <c r="E968" s="2">
        <v>156</v>
      </c>
      <c r="F968" s="2">
        <v>3095.48</v>
      </c>
    </row>
    <row r="969" spans="3:6" x14ac:dyDescent="0.25">
      <c r="C969" s="2" t="s">
        <v>12844</v>
      </c>
      <c r="D969" s="2" t="s">
        <v>204</v>
      </c>
      <c r="E969" s="2">
        <v>156</v>
      </c>
      <c r="F969" s="2">
        <v>3085.77</v>
      </c>
    </row>
    <row r="970" spans="3:6" x14ac:dyDescent="0.25">
      <c r="C970" s="2" t="s">
        <v>12845</v>
      </c>
      <c r="D970" s="2" t="s">
        <v>204</v>
      </c>
      <c r="E970" s="2">
        <v>156</v>
      </c>
      <c r="F970" s="2">
        <v>3106.669</v>
      </c>
    </row>
    <row r="971" spans="3:6" x14ac:dyDescent="0.25">
      <c r="C971" s="2" t="s">
        <v>12846</v>
      </c>
      <c r="D971" s="2" t="s">
        <v>204</v>
      </c>
      <c r="E971" s="2">
        <v>156</v>
      </c>
      <c r="F971" s="2">
        <v>3077.936</v>
      </c>
    </row>
    <row r="972" spans="3:6" x14ac:dyDescent="0.25">
      <c r="C972" s="2" t="s">
        <v>12847</v>
      </c>
      <c r="D972" s="2" t="s">
        <v>204</v>
      </c>
      <c r="E972" s="2">
        <v>18</v>
      </c>
      <c r="F972" s="2">
        <v>224.37</v>
      </c>
    </row>
    <row r="973" spans="3:6" x14ac:dyDescent="0.25">
      <c r="C973" s="2" t="s">
        <v>12848</v>
      </c>
      <c r="D973" s="2" t="s">
        <v>204</v>
      </c>
      <c r="E973" s="2">
        <v>105</v>
      </c>
      <c r="F973" s="2">
        <v>975.7</v>
      </c>
    </row>
    <row r="974" spans="3:6" x14ac:dyDescent="0.25">
      <c r="C974" s="2" t="s">
        <v>12849</v>
      </c>
      <c r="D974" s="2" t="s">
        <v>204</v>
      </c>
      <c r="E974" s="2">
        <v>105</v>
      </c>
      <c r="F974" s="2">
        <v>1104.438</v>
      </c>
    </row>
    <row r="975" spans="3:6" x14ac:dyDescent="0.25">
      <c r="C975" s="2" t="s">
        <v>12850</v>
      </c>
      <c r="D975" s="2" t="s">
        <v>204</v>
      </c>
      <c r="E975" s="2">
        <v>105</v>
      </c>
      <c r="F975" s="2">
        <v>2043.86</v>
      </c>
    </row>
    <row r="976" spans="3:6" x14ac:dyDescent="0.25">
      <c r="C976" s="2" t="s">
        <v>12851</v>
      </c>
      <c r="D976" s="2" t="s">
        <v>204</v>
      </c>
      <c r="E976" s="2">
        <v>105</v>
      </c>
      <c r="F976" s="2">
        <v>0</v>
      </c>
    </row>
    <row r="977" spans="3:6" x14ac:dyDescent="0.25">
      <c r="C977" s="2" t="s">
        <v>12852</v>
      </c>
      <c r="D977" s="2" t="s">
        <v>214</v>
      </c>
      <c r="E977" s="2">
        <v>156</v>
      </c>
      <c r="F977" s="2">
        <v>3038.387</v>
      </c>
    </row>
    <row r="978" spans="3:6" x14ac:dyDescent="0.25">
      <c r="C978" s="2" t="s">
        <v>12853</v>
      </c>
      <c r="D978" s="2" t="s">
        <v>216</v>
      </c>
      <c r="E978" s="2">
        <v>134</v>
      </c>
      <c r="F978" s="2">
        <v>2761.29</v>
      </c>
    </row>
    <row r="979" spans="3:6" x14ac:dyDescent="0.25">
      <c r="C979" s="2" t="s">
        <v>12854</v>
      </c>
      <c r="D979" s="2" t="s">
        <v>216</v>
      </c>
      <c r="E979" s="2">
        <v>134</v>
      </c>
      <c r="F979" s="2">
        <v>2721.3</v>
      </c>
    </row>
    <row r="980" spans="3:6" x14ac:dyDescent="0.25">
      <c r="C980" s="2" t="s">
        <v>12855</v>
      </c>
      <c r="D980" s="2" t="s">
        <v>216</v>
      </c>
      <c r="E980" s="2">
        <v>134</v>
      </c>
      <c r="F980" s="2">
        <v>2766.699</v>
      </c>
    </row>
    <row r="981" spans="3:6" x14ac:dyDescent="0.25">
      <c r="C981" s="2" t="s">
        <v>12856</v>
      </c>
      <c r="D981" s="2" t="s">
        <v>216</v>
      </c>
      <c r="E981" s="2">
        <v>134</v>
      </c>
      <c r="F981" s="2">
        <v>2771.08</v>
      </c>
    </row>
    <row r="982" spans="3:6" x14ac:dyDescent="0.25">
      <c r="C982" s="2" t="s">
        <v>12857</v>
      </c>
      <c r="D982" s="2" t="s">
        <v>216</v>
      </c>
      <c r="E982" s="2">
        <v>134</v>
      </c>
      <c r="F982" s="2">
        <v>2667.42</v>
      </c>
    </row>
    <row r="983" spans="3:6" x14ac:dyDescent="0.25">
      <c r="C983" s="2" t="s">
        <v>12858</v>
      </c>
      <c r="D983" s="2" t="s">
        <v>216</v>
      </c>
      <c r="E983" s="2">
        <v>134</v>
      </c>
      <c r="F983" s="2">
        <v>2723.55</v>
      </c>
    </row>
    <row r="984" spans="3:6" x14ac:dyDescent="0.25">
      <c r="C984" s="2" t="s">
        <v>12859</v>
      </c>
      <c r="D984" s="2" t="s">
        <v>216</v>
      </c>
      <c r="E984" s="2">
        <v>49</v>
      </c>
      <c r="F984" s="2">
        <v>892.929</v>
      </c>
    </row>
    <row r="985" spans="3:6" x14ac:dyDescent="0.25">
      <c r="C985" s="2" t="s">
        <v>12860</v>
      </c>
      <c r="D985" s="2" t="s">
        <v>216</v>
      </c>
      <c r="E985" s="2">
        <v>47</v>
      </c>
      <c r="F985" s="2">
        <v>912.69</v>
      </c>
    </row>
    <row r="986" spans="3:6" x14ac:dyDescent="0.25">
      <c r="C986" s="2" t="s">
        <v>12861</v>
      </c>
      <c r="D986" s="2" t="s">
        <v>216</v>
      </c>
      <c r="E986" s="2">
        <v>163</v>
      </c>
      <c r="F986" s="2">
        <v>3307.506</v>
      </c>
    </row>
    <row r="987" spans="3:6" x14ac:dyDescent="0.25">
      <c r="C987" s="2" t="s">
        <v>12862</v>
      </c>
      <c r="D987" s="2" t="s">
        <v>216</v>
      </c>
      <c r="E987" s="2">
        <v>105</v>
      </c>
      <c r="F987" s="2">
        <v>1979.667</v>
      </c>
    </row>
    <row r="988" spans="3:6" x14ac:dyDescent="0.25">
      <c r="C988" s="2" t="s">
        <v>12863</v>
      </c>
      <c r="D988" s="2" t="s">
        <v>236</v>
      </c>
      <c r="E988" s="2">
        <v>8</v>
      </c>
      <c r="F988" s="2">
        <v>0</v>
      </c>
    </row>
    <row r="989" spans="3:6" x14ac:dyDescent="0.25">
      <c r="C989" s="2" t="s">
        <v>12864</v>
      </c>
      <c r="D989" s="2" t="s">
        <v>236</v>
      </c>
      <c r="E989" s="2">
        <v>80</v>
      </c>
      <c r="F989" s="2">
        <v>1511.51</v>
      </c>
    </row>
    <row r="990" spans="3:6" x14ac:dyDescent="0.25">
      <c r="C990" s="2" t="s">
        <v>12865</v>
      </c>
      <c r="D990" s="2" t="s">
        <v>236</v>
      </c>
      <c r="E990" s="2">
        <v>68</v>
      </c>
      <c r="F990" s="2">
        <v>1304.05</v>
      </c>
    </row>
    <row r="991" spans="3:6" x14ac:dyDescent="0.25">
      <c r="C991" s="2" t="s">
        <v>12866</v>
      </c>
      <c r="D991" s="2" t="s">
        <v>236</v>
      </c>
      <c r="E991" s="2">
        <v>60</v>
      </c>
      <c r="F991" s="2">
        <v>1118.55</v>
      </c>
    </row>
    <row r="992" spans="3:6" x14ac:dyDescent="0.25">
      <c r="C992" s="2" t="s">
        <v>12867</v>
      </c>
      <c r="D992" s="2" t="s">
        <v>236</v>
      </c>
      <c r="E992" s="2">
        <v>45</v>
      </c>
      <c r="F992" s="2">
        <v>811.48</v>
      </c>
    </row>
    <row r="993" spans="3:6" x14ac:dyDescent="0.25">
      <c r="C993" s="2" t="s">
        <v>12868</v>
      </c>
      <c r="D993" s="2" t="s">
        <v>342</v>
      </c>
      <c r="E993" s="2">
        <v>24</v>
      </c>
      <c r="F993" s="2">
        <v>438.36</v>
      </c>
    </row>
    <row r="994" spans="3:6" x14ac:dyDescent="0.25">
      <c r="C994" s="2" t="s">
        <v>12869</v>
      </c>
      <c r="D994" s="2" t="s">
        <v>342</v>
      </c>
      <c r="E994" s="2">
        <v>81</v>
      </c>
      <c r="F994" s="2">
        <v>1499.108</v>
      </c>
    </row>
    <row r="995" spans="3:6" x14ac:dyDescent="0.25">
      <c r="C995" s="2" t="s">
        <v>12870</v>
      </c>
      <c r="D995" s="2" t="s">
        <v>347</v>
      </c>
      <c r="E995" s="2">
        <v>40</v>
      </c>
      <c r="F995" s="2">
        <v>761.506</v>
      </c>
    </row>
    <row r="996" spans="3:6" x14ac:dyDescent="0.25">
      <c r="C996" s="2" t="s">
        <v>12871</v>
      </c>
      <c r="D996" s="2" t="s">
        <v>347</v>
      </c>
      <c r="E996" s="2">
        <v>100</v>
      </c>
      <c r="F996" s="2">
        <v>1897.434</v>
      </c>
    </row>
    <row r="997" spans="3:6" x14ac:dyDescent="0.25">
      <c r="C997" s="2" t="s">
        <v>12872</v>
      </c>
      <c r="D997" s="2" t="s">
        <v>347</v>
      </c>
      <c r="E997" s="2">
        <v>16</v>
      </c>
      <c r="F997" s="2">
        <v>311.65</v>
      </c>
    </row>
    <row r="999" spans="2:6" x14ac:dyDescent="0.25">
      <c r="B999" s="2" t="s">
        <v>2077</v>
      </c>
      <c r="C999" s="2" t="s">
        <v>12873</v>
      </c>
      <c r="D999" s="2" t="s">
        <v>216</v>
      </c>
      <c r="E999" s="2">
        <v>21</v>
      </c>
      <c r="F999" s="2">
        <v>263</v>
      </c>
    </row>
    <row r="1000" spans="3:6" x14ac:dyDescent="0.25">
      <c r="C1000" s="2" t="s">
        <v>12874</v>
      </c>
      <c r="D1000" s="2" t="s">
        <v>216</v>
      </c>
      <c r="E1000" s="2">
        <v>84</v>
      </c>
      <c r="F1000" s="2">
        <v>1404</v>
      </c>
    </row>
    <row r="1001" spans="3:6" x14ac:dyDescent="0.25">
      <c r="C1001" s="2" t="s">
        <v>12875</v>
      </c>
      <c r="D1001" s="2" t="s">
        <v>204</v>
      </c>
      <c r="E1001" s="2">
        <v>105</v>
      </c>
      <c r="F1001" s="2">
        <v>1741</v>
      </c>
    </row>
    <row r="1002" spans="3:6" x14ac:dyDescent="0.25">
      <c r="C1002" s="2" t="s">
        <v>12876</v>
      </c>
      <c r="D1002" s="2" t="s">
        <v>214</v>
      </c>
      <c r="E1002" s="2">
        <v>156</v>
      </c>
      <c r="F1002" s="2">
        <v>2766</v>
      </c>
    </row>
    <row r="1003" spans="3:6" x14ac:dyDescent="0.25">
      <c r="C1003" s="2" t="s">
        <v>12877</v>
      </c>
      <c r="D1003" s="2" t="s">
        <v>214</v>
      </c>
      <c r="E1003" s="2">
        <v>156</v>
      </c>
      <c r="F1003" s="2">
        <v>2693</v>
      </c>
    </row>
    <row r="1004" spans="3:6" x14ac:dyDescent="0.25">
      <c r="C1004" s="2" t="s">
        <v>12878</v>
      </c>
      <c r="D1004" s="2" t="s">
        <v>214</v>
      </c>
      <c r="E1004" s="2">
        <v>156</v>
      </c>
      <c r="F1004" s="2">
        <v>2634</v>
      </c>
    </row>
    <row r="1005" spans="3:6" x14ac:dyDescent="0.25">
      <c r="C1005" s="2" t="s">
        <v>12879</v>
      </c>
      <c r="D1005" s="2" t="s">
        <v>216</v>
      </c>
      <c r="E1005" s="2">
        <v>148</v>
      </c>
      <c r="F1005" s="2">
        <v>2396</v>
      </c>
    </row>
    <row r="1006" spans="3:6" x14ac:dyDescent="0.25">
      <c r="C1006" s="2" t="s">
        <v>12880</v>
      </c>
      <c r="D1006" s="2" t="s">
        <v>216</v>
      </c>
      <c r="E1006" s="2">
        <v>105</v>
      </c>
      <c r="F1006" s="2">
        <v>1740</v>
      </c>
    </row>
    <row r="1007" spans="3:6" x14ac:dyDescent="0.25">
      <c r="C1007" s="2" t="s">
        <v>12881</v>
      </c>
      <c r="D1007" s="2" t="s">
        <v>216</v>
      </c>
      <c r="E1007" s="2">
        <v>105</v>
      </c>
      <c r="F1007" s="2">
        <v>1845</v>
      </c>
    </row>
    <row r="1008" spans="3:6" x14ac:dyDescent="0.25">
      <c r="C1008" s="2" t="s">
        <v>12882</v>
      </c>
      <c r="D1008" s="2" t="s">
        <v>214</v>
      </c>
      <c r="E1008" s="2">
        <v>156</v>
      </c>
      <c r="F1008" s="2">
        <v>2759</v>
      </c>
    </row>
    <row r="1009" spans="3:6" x14ac:dyDescent="0.25">
      <c r="C1009" s="2" t="s">
        <v>12883</v>
      </c>
      <c r="D1009" s="2" t="s">
        <v>297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32</v>
      </c>
      <c r="C1011" s="2" t="s">
        <v>12884</v>
      </c>
      <c r="D1011" s="2" t="s">
        <v>20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12885</v>
      </c>
      <c r="D1012" s="2" t="s">
        <v>20</v>
      </c>
      <c r="E1012" s="2">
        <v>163</v>
      </c>
      <c r="F1012" s="2">
        <v>3137.559</v>
      </c>
    </row>
    <row r="1013" spans="3:6" x14ac:dyDescent="0.25">
      <c r="C1013" s="2" t="s">
        <v>12886</v>
      </c>
      <c r="D1013" s="2" t="s">
        <v>20</v>
      </c>
      <c r="E1013" s="2">
        <v>139</v>
      </c>
      <c r="F1013" s="2">
        <v>2639.389</v>
      </c>
    </row>
    <row r="1014" spans="3:6" x14ac:dyDescent="0.25">
      <c r="C1014" s="2" t="s">
        <v>12887</v>
      </c>
      <c r="D1014" s="2" t="s">
        <v>20</v>
      </c>
      <c r="E1014" s="2">
        <v>105</v>
      </c>
      <c r="F1014" s="2">
        <v>2200.799</v>
      </c>
    </row>
    <row r="1015" spans="3:6" x14ac:dyDescent="0.25">
      <c r="C1015" s="2" t="s">
        <v>12888</v>
      </c>
      <c r="D1015" s="2" t="s">
        <v>20</v>
      </c>
      <c r="E1015" s="2">
        <v>186</v>
      </c>
      <c r="F1015" s="2">
        <v>3938.58</v>
      </c>
    </row>
    <row r="1016" spans="3:6" x14ac:dyDescent="0.25">
      <c r="C1016" s="2" t="s">
        <v>12889</v>
      </c>
      <c r="D1016" s="2" t="s">
        <v>20</v>
      </c>
      <c r="E1016" s="2">
        <v>105</v>
      </c>
      <c r="F1016" s="2">
        <v>2039.14</v>
      </c>
    </row>
    <row r="1017" spans="3:6" x14ac:dyDescent="0.25">
      <c r="C1017" s="2" t="s">
        <v>12890</v>
      </c>
      <c r="D1017" s="2" t="s">
        <v>20</v>
      </c>
      <c r="E1017" s="2">
        <v>163</v>
      </c>
      <c r="F1017" s="2">
        <v>3055.678</v>
      </c>
    </row>
    <row r="1018" spans="3:6" x14ac:dyDescent="0.25">
      <c r="C1018" s="2" t="s">
        <v>12891</v>
      </c>
      <c r="D1018" s="2" t="s">
        <v>20</v>
      </c>
      <c r="E1018" s="2">
        <v>156</v>
      </c>
      <c r="F1018" s="2">
        <v>2960.32</v>
      </c>
    </row>
    <row r="1019" spans="3:6" x14ac:dyDescent="0.25">
      <c r="C1019" s="2" t="s">
        <v>12892</v>
      </c>
      <c r="D1019" s="2" t="s">
        <v>20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2380</v>
      </c>
      <c r="C1021" s="2" t="s">
        <v>12893</v>
      </c>
      <c r="D1021" s="2" t="s">
        <v>27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12894</v>
      </c>
      <c r="D1022" s="2" t="s">
        <v>27</v>
      </c>
      <c r="E1022" s="2">
        <v>93</v>
      </c>
      <c r="F1022" s="2">
        <v>1843.62</v>
      </c>
    </row>
    <row r="1023" spans="3:6" x14ac:dyDescent="0.25">
      <c r="C1023" s="2" t="s">
        <v>12895</v>
      </c>
      <c r="D1023" s="2" t="s">
        <v>27</v>
      </c>
      <c r="E1023" s="2">
        <v>10</v>
      </c>
      <c r="F1023" s="2">
        <v>205.95</v>
      </c>
    </row>
    <row r="1024" spans="3:6" x14ac:dyDescent="0.25">
      <c r="C1024" s="2" t="s">
        <v>12896</v>
      </c>
      <c r="D1024" s="2" t="s">
        <v>27</v>
      </c>
      <c r="E1024" s="2">
        <v>82</v>
      </c>
      <c r="F1024" s="2">
        <v>1689.199</v>
      </c>
    </row>
    <row r="1025" spans="3:6" x14ac:dyDescent="0.25">
      <c r="C1025" s="2" t="s">
        <v>12897</v>
      </c>
      <c r="D1025" s="2" t="s">
        <v>27</v>
      </c>
      <c r="E1025" s="2">
        <v>28</v>
      </c>
      <c r="F1025" s="2">
        <v>504.53</v>
      </c>
    </row>
    <row r="1026" spans="3:6" x14ac:dyDescent="0.25">
      <c r="C1026" s="2" t="s">
        <v>12898</v>
      </c>
      <c r="D1026" s="2" t="s">
        <v>27</v>
      </c>
      <c r="E1026" s="2">
        <v>73</v>
      </c>
      <c r="F1026" s="2">
        <v>1274.489</v>
      </c>
    </row>
    <row r="1027" spans="3:6" x14ac:dyDescent="0.25">
      <c r="C1027" s="2" t="s">
        <v>12899</v>
      </c>
      <c r="D1027" s="2" t="s">
        <v>27</v>
      </c>
      <c r="E1027" s="2">
        <v>38</v>
      </c>
      <c r="F1027" s="2">
        <v>664.08</v>
      </c>
    </row>
    <row r="1028" spans="3:6" x14ac:dyDescent="0.25">
      <c r="C1028" s="2" t="s">
        <v>12900</v>
      </c>
      <c r="D1028" s="2" t="s">
        <v>27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2097</v>
      </c>
      <c r="C1030" s="2" t="s">
        <v>12901</v>
      </c>
      <c r="D1030" s="2" t="s">
        <v>27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12902</v>
      </c>
      <c r="D1031" s="2" t="s">
        <v>27</v>
      </c>
      <c r="E1031" s="2">
        <v>54</v>
      </c>
      <c r="F1031" s="2">
        <v>939.07</v>
      </c>
    </row>
    <row r="1032" spans="3:6" x14ac:dyDescent="0.25">
      <c r="C1032" s="2" t="s">
        <v>12903</v>
      </c>
      <c r="D1032" s="2" t="s">
        <v>27</v>
      </c>
      <c r="E1032" s="2">
        <v>11</v>
      </c>
      <c r="F1032" s="2">
        <v>210.64</v>
      </c>
    </row>
    <row r="1033" spans="3:6" x14ac:dyDescent="0.25">
      <c r="C1033" s="2" t="s">
        <v>12904</v>
      </c>
      <c r="D1033" s="2" t="s">
        <v>27</v>
      </c>
      <c r="E1033" s="2">
        <v>93</v>
      </c>
      <c r="F1033" s="2">
        <v>1869.81</v>
      </c>
    </row>
    <row r="1034" spans="3:6" x14ac:dyDescent="0.25">
      <c r="C1034" s="2" t="s">
        <v>12905</v>
      </c>
      <c r="D1034" s="2" t="s">
        <v>27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172</v>
      </c>
      <c r="C1036" s="2" t="s">
        <v>12906</v>
      </c>
      <c r="D1036" s="2" t="s">
        <v>9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12907</v>
      </c>
      <c r="D1037" s="2" t="s">
        <v>9</v>
      </c>
      <c r="E1037" s="2">
        <v>90</v>
      </c>
      <c r="F1037" s="2">
        <v>404.27</v>
      </c>
    </row>
    <row r="1038" spans="3:6" x14ac:dyDescent="0.25">
      <c r="C1038" s="2" t="s">
        <v>12908</v>
      </c>
      <c r="D1038" s="2" t="s">
        <v>9</v>
      </c>
      <c r="E1038" s="2">
        <v>45</v>
      </c>
      <c r="F1038" s="2">
        <v>189.97</v>
      </c>
    </row>
    <row r="1039" spans="3:6" x14ac:dyDescent="0.25">
      <c r="C1039" s="2" t="s">
        <v>12909</v>
      </c>
      <c r="D1039" s="2" t="s">
        <v>9</v>
      </c>
      <c r="E1039" s="2">
        <v>123</v>
      </c>
      <c r="F1039" s="2">
        <v>2544.45</v>
      </c>
    </row>
    <row r="1040" spans="3:6" x14ac:dyDescent="0.25">
      <c r="C1040" s="2" t="s">
        <v>12910</v>
      </c>
      <c r="D1040" s="2" t="s">
        <v>9</v>
      </c>
      <c r="E1040" s="2">
        <v>246</v>
      </c>
      <c r="F1040" s="2">
        <v>5122.799</v>
      </c>
    </row>
    <row r="1041" spans="3:6" x14ac:dyDescent="0.25">
      <c r="C1041" s="2" t="s">
        <v>12911</v>
      </c>
      <c r="D1041" s="2" t="s">
        <v>9</v>
      </c>
      <c r="E1041" s="2">
        <v>123</v>
      </c>
      <c r="F1041" s="2">
        <v>2513.16</v>
      </c>
    </row>
    <row r="1042" spans="3:6" x14ac:dyDescent="0.25">
      <c r="C1042" s="2" t="s">
        <v>12912</v>
      </c>
      <c r="D1042" s="2" t="s">
        <v>9</v>
      </c>
      <c r="E1042" s="2">
        <v>102</v>
      </c>
      <c r="F1042" s="2">
        <v>1760.52</v>
      </c>
    </row>
    <row r="1043" spans="3:6" x14ac:dyDescent="0.25">
      <c r="C1043" s="2" t="s">
        <v>12913</v>
      </c>
      <c r="D1043" s="2" t="s">
        <v>9</v>
      </c>
      <c r="E1043" s="2">
        <v>102</v>
      </c>
      <c r="F1043" s="2">
        <v>2143.76</v>
      </c>
    </row>
    <row r="1044" spans="3:6" x14ac:dyDescent="0.25">
      <c r="C1044" s="2" t="s">
        <v>12914</v>
      </c>
      <c r="D1044" s="2" t="s">
        <v>9</v>
      </c>
      <c r="E1044" s="2">
        <v>282</v>
      </c>
      <c r="F1044" s="2">
        <v>5801.68</v>
      </c>
    </row>
    <row r="1045" spans="3:6" x14ac:dyDescent="0.25">
      <c r="C1045" s="2" t="s">
        <v>12749</v>
      </c>
      <c r="D1045" s="2" t="s">
        <v>9</v>
      </c>
      <c r="E1045" s="2">
        <v>61</v>
      </c>
      <c r="F1045" s="2">
        <v>1128.388</v>
      </c>
    </row>
    <row r="1046" spans="3:6" x14ac:dyDescent="0.25">
      <c r="C1046" s="2" t="s">
        <v>12750</v>
      </c>
      <c r="D1046" s="2" t="s">
        <v>9</v>
      </c>
      <c r="E1046" s="2">
        <v>80</v>
      </c>
      <c r="F1046" s="2">
        <v>1522.589</v>
      </c>
    </row>
    <row r="1047" spans="3:6" x14ac:dyDescent="0.25">
      <c r="C1047" s="2" t="s">
        <v>12747</v>
      </c>
      <c r="D1047" s="2" t="s">
        <v>9</v>
      </c>
      <c r="E1047" s="2">
        <v>47</v>
      </c>
      <c r="F1047" s="2">
        <v>820.14</v>
      </c>
    </row>
    <row r="1048" spans="3:6" x14ac:dyDescent="0.25">
      <c r="C1048" s="2" t="s">
        <v>12915</v>
      </c>
      <c r="D1048" s="2" t="s">
        <v>9</v>
      </c>
      <c r="E1048" s="2">
        <v>30</v>
      </c>
      <c r="F1048" s="2">
        <v>590.34</v>
      </c>
    </row>
    <row r="1049" spans="3:6" x14ac:dyDescent="0.25">
      <c r="C1049" s="2" t="s">
        <v>12916</v>
      </c>
      <c r="D1049" s="2" t="s">
        <v>9</v>
      </c>
      <c r="E1049" s="2">
        <v>141</v>
      </c>
      <c r="F1049" s="2">
        <v>2784.469</v>
      </c>
    </row>
    <row r="1050" spans="3:6" x14ac:dyDescent="0.25">
      <c r="C1050" s="2" t="s">
        <v>12917</v>
      </c>
      <c r="D1050" s="2" t="s">
        <v>9</v>
      </c>
      <c r="E1050" s="2">
        <v>141</v>
      </c>
      <c r="F1050" s="2">
        <v>2669.76</v>
      </c>
    </row>
    <row r="1051" spans="3:6" x14ac:dyDescent="0.25">
      <c r="C1051" s="2" t="s">
        <v>12918</v>
      </c>
      <c r="D1051" s="2" t="s">
        <v>9</v>
      </c>
      <c r="E1051" s="2">
        <v>204</v>
      </c>
      <c r="F1051" s="2">
        <v>4207.069</v>
      </c>
    </row>
    <row r="1052" spans="3:6" x14ac:dyDescent="0.25">
      <c r="C1052" s="2" t="s">
        <v>12919</v>
      </c>
      <c r="D1052" s="2" t="s">
        <v>9</v>
      </c>
      <c r="E1052" s="2">
        <v>32</v>
      </c>
      <c r="F1052" s="2">
        <v>642.65</v>
      </c>
    </row>
    <row r="1053" spans="3:6" x14ac:dyDescent="0.25">
      <c r="C1053" s="2" t="s">
        <v>12920</v>
      </c>
      <c r="D1053" s="2" t="s">
        <v>9</v>
      </c>
      <c r="E1053" s="2">
        <v>70</v>
      </c>
      <c r="F1053" s="2">
        <v>1388.65</v>
      </c>
    </row>
    <row r="1054" spans="3:6" x14ac:dyDescent="0.25">
      <c r="C1054" s="2" t="s">
        <v>12921</v>
      </c>
      <c r="D1054" s="2" t="s">
        <v>9</v>
      </c>
      <c r="E1054" s="2">
        <v>134</v>
      </c>
      <c r="F1054" s="2">
        <v>2760.15</v>
      </c>
    </row>
    <row r="1055" spans="3:6" x14ac:dyDescent="0.25">
      <c r="C1055" s="2" t="s">
        <v>12922</v>
      </c>
      <c r="D1055" s="2" t="s">
        <v>9</v>
      </c>
      <c r="E1055" s="2">
        <v>141</v>
      </c>
      <c r="F1055" s="2">
        <v>2794.86</v>
      </c>
    </row>
    <row r="1056" spans="3:6" x14ac:dyDescent="0.25">
      <c r="C1056" s="2" t="s">
        <v>12923</v>
      </c>
      <c r="D1056" s="2" t="s">
        <v>9</v>
      </c>
      <c r="E1056" s="2">
        <v>141</v>
      </c>
      <c r="F1056" s="2">
        <v>2874.399</v>
      </c>
    </row>
    <row r="1057" spans="3:6" x14ac:dyDescent="0.25">
      <c r="C1057" s="2" t="s">
        <v>12924</v>
      </c>
      <c r="D1057" s="2" t="s">
        <v>9</v>
      </c>
      <c r="E1057" s="2">
        <v>141</v>
      </c>
      <c r="F1057" s="2">
        <v>2894.83</v>
      </c>
    </row>
    <row r="1058" spans="3:6" x14ac:dyDescent="0.25">
      <c r="C1058" s="2" t="s">
        <v>12925</v>
      </c>
      <c r="D1058" s="2" t="s">
        <v>9</v>
      </c>
      <c r="E1058" s="2">
        <v>141</v>
      </c>
      <c r="F1058" s="2">
        <v>2883.29</v>
      </c>
    </row>
    <row r="1059" spans="3:6" x14ac:dyDescent="0.25">
      <c r="C1059" s="2" t="s">
        <v>12926</v>
      </c>
      <c r="D1059" s="2" t="s">
        <v>9</v>
      </c>
      <c r="E1059" s="2">
        <v>102</v>
      </c>
      <c r="F1059" s="2">
        <v>2103.729</v>
      </c>
    </row>
    <row r="1060" spans="3:6" x14ac:dyDescent="0.25">
      <c r="C1060" s="2" t="s">
        <v>12927</v>
      </c>
      <c r="D1060" s="2" t="s">
        <v>9</v>
      </c>
      <c r="E1060" s="2">
        <v>141</v>
      </c>
      <c r="F1060" s="2">
        <v>2851.87</v>
      </c>
    </row>
    <row r="1061" spans="3:6" x14ac:dyDescent="0.25">
      <c r="C1061" s="2" t="s">
        <v>12928</v>
      </c>
      <c r="D1061" s="2" t="s">
        <v>9</v>
      </c>
      <c r="E1061" s="2">
        <v>141</v>
      </c>
      <c r="F1061" s="2">
        <v>2892.66</v>
      </c>
    </row>
    <row r="1062" spans="3:6" x14ac:dyDescent="0.25">
      <c r="C1062" s="2" t="s">
        <v>12929</v>
      </c>
      <c r="D1062" s="2" t="s">
        <v>9</v>
      </c>
      <c r="E1062" s="2">
        <v>141</v>
      </c>
      <c r="F1062" s="2">
        <v>2927.28</v>
      </c>
    </row>
    <row r="1063" spans="3:6" x14ac:dyDescent="0.25">
      <c r="C1063" s="2" t="s">
        <v>12930</v>
      </c>
      <c r="D1063" s="2" t="s">
        <v>9</v>
      </c>
      <c r="E1063" s="2">
        <v>141</v>
      </c>
      <c r="F1063" s="2">
        <v>2830.619</v>
      </c>
    </row>
    <row r="1064" spans="3:6" x14ac:dyDescent="0.25">
      <c r="C1064" s="2" t="s">
        <v>12931</v>
      </c>
      <c r="D1064" s="2" t="s">
        <v>9</v>
      </c>
      <c r="E1064" s="2">
        <v>102</v>
      </c>
      <c r="F1064" s="2">
        <v>2230.91</v>
      </c>
    </row>
    <row r="1065" spans="3:6" x14ac:dyDescent="0.25">
      <c r="C1065" s="2" t="s">
        <v>12932</v>
      </c>
      <c r="D1065" s="2" t="s">
        <v>9</v>
      </c>
      <c r="E1065" s="2">
        <v>141</v>
      </c>
      <c r="F1065" s="2">
        <v>2976.95</v>
      </c>
    </row>
    <row r="1066" spans="3:6" x14ac:dyDescent="0.25">
      <c r="C1066" s="2" t="s">
        <v>12933</v>
      </c>
      <c r="D1066" s="2" t="s">
        <v>9</v>
      </c>
      <c r="E1066" s="2">
        <v>141</v>
      </c>
      <c r="F1066" s="2">
        <v>2883.29</v>
      </c>
    </row>
    <row r="1067" spans="3:6" x14ac:dyDescent="0.25">
      <c r="C1067" s="2" t="s">
        <v>12934</v>
      </c>
      <c r="D1067" s="2" t="s">
        <v>9</v>
      </c>
      <c r="E1067" s="2">
        <v>109</v>
      </c>
      <c r="F1067" s="2">
        <v>2232.41</v>
      </c>
    </row>
    <row r="1068" spans="3:6" x14ac:dyDescent="0.25">
      <c r="C1068" s="2" t="s">
        <v>12935</v>
      </c>
      <c r="D1068" s="2" t="s">
        <v>9</v>
      </c>
      <c r="E1068" s="2">
        <v>32</v>
      </c>
      <c r="F1068" s="2">
        <v>647.25</v>
      </c>
    </row>
    <row r="1069" spans="3:6" x14ac:dyDescent="0.25">
      <c r="C1069" s="2" t="s">
        <v>12936</v>
      </c>
      <c r="D1069" s="2" t="s">
        <v>9</v>
      </c>
      <c r="E1069" s="2">
        <v>100</v>
      </c>
      <c r="F1069" s="2">
        <v>1916.07</v>
      </c>
    </row>
    <row r="1070" spans="3:6" x14ac:dyDescent="0.25">
      <c r="C1070" s="2" t="s">
        <v>12937</v>
      </c>
      <c r="D1070" s="2" t="s">
        <v>9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183</v>
      </c>
      <c r="C1072" s="2" t="s">
        <v>12938</v>
      </c>
      <c r="D1072" s="2" t="s">
        <v>122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12939</v>
      </c>
      <c r="D1073" s="2" t="s">
        <v>122</v>
      </c>
      <c r="E1073" s="2">
        <v>41</v>
      </c>
      <c r="F1073" s="2">
        <v>839.349</v>
      </c>
    </row>
    <row r="1074" spans="3:6" x14ac:dyDescent="0.25">
      <c r="C1074" s="2" t="s">
        <v>12940</v>
      </c>
      <c r="D1074" s="2" t="s">
        <v>122</v>
      </c>
      <c r="E1074" s="2">
        <v>15</v>
      </c>
      <c r="F1074" s="2">
        <v>290.2</v>
      </c>
    </row>
    <row r="1075" spans="3:6" x14ac:dyDescent="0.25">
      <c r="C1075" s="2" t="s">
        <v>12941</v>
      </c>
      <c r="D1075" s="2" t="s">
        <v>122</v>
      </c>
      <c r="E1075" s="2">
        <v>143</v>
      </c>
      <c r="F1075" s="2">
        <v>1636.344</v>
      </c>
    </row>
    <row r="1076" spans="3:6" x14ac:dyDescent="0.25">
      <c r="C1076" s="2" t="s">
        <v>12942</v>
      </c>
      <c r="D1076" s="2" t="s">
        <v>122</v>
      </c>
      <c r="E1076" s="2">
        <v>140</v>
      </c>
      <c r="F1076" s="2">
        <v>2021.31</v>
      </c>
    </row>
    <row r="1077" spans="3:6" x14ac:dyDescent="0.25">
      <c r="C1077" s="2" t="s">
        <v>12943</v>
      </c>
      <c r="D1077" s="2" t="s">
        <v>122</v>
      </c>
      <c r="E1077" s="2">
        <v>55</v>
      </c>
      <c r="F1077" s="2">
        <v>455.058</v>
      </c>
    </row>
    <row r="1078" spans="3:6" x14ac:dyDescent="0.25">
      <c r="C1078" s="2" t="s">
        <v>12944</v>
      </c>
      <c r="D1078" s="2" t="s">
        <v>122</v>
      </c>
      <c r="E1078" s="2">
        <v>75</v>
      </c>
      <c r="F1078" s="2">
        <v>1545.58</v>
      </c>
    </row>
    <row r="1079" spans="3:6" x14ac:dyDescent="0.25">
      <c r="C1079" s="2" t="s">
        <v>12945</v>
      </c>
      <c r="D1079" s="2" t="s">
        <v>122</v>
      </c>
      <c r="E1079" s="2">
        <v>102</v>
      </c>
      <c r="F1079" s="2">
        <v>2119.71</v>
      </c>
    </row>
    <row r="1080" spans="3:6" x14ac:dyDescent="0.25">
      <c r="C1080" s="2" t="s">
        <v>12946</v>
      </c>
      <c r="D1080" s="2" t="s">
        <v>122</v>
      </c>
      <c r="E1080" s="2">
        <v>21</v>
      </c>
      <c r="F1080" s="2">
        <v>436.94</v>
      </c>
    </row>
    <row r="1081" spans="3:6" x14ac:dyDescent="0.25">
      <c r="C1081" s="2" t="s">
        <v>12947</v>
      </c>
      <c r="D1081" s="2" t="s">
        <v>122</v>
      </c>
      <c r="E1081" s="2">
        <v>39</v>
      </c>
      <c r="F1081" s="2">
        <v>723.96</v>
      </c>
    </row>
    <row r="1082" spans="3:6" x14ac:dyDescent="0.25">
      <c r="C1082" s="2" t="s">
        <v>12948</v>
      </c>
      <c r="D1082" s="2" t="s">
        <v>122</v>
      </c>
      <c r="E1082" s="2">
        <v>82</v>
      </c>
      <c r="F1082" s="2">
        <v>1697.66</v>
      </c>
    </row>
    <row r="1083" spans="3:6" x14ac:dyDescent="0.25">
      <c r="C1083" s="2" t="s">
        <v>12949</v>
      </c>
      <c r="D1083" s="2" t="s">
        <v>122</v>
      </c>
      <c r="E1083" s="2">
        <v>141</v>
      </c>
      <c r="F1083" s="2">
        <v>3014.34</v>
      </c>
    </row>
    <row r="1084" spans="3:6" x14ac:dyDescent="0.25">
      <c r="C1084" s="2" t="s">
        <v>12950</v>
      </c>
      <c r="D1084" s="2" t="s">
        <v>122</v>
      </c>
      <c r="E1084" s="2">
        <v>92</v>
      </c>
      <c r="F1084" s="2">
        <v>401.959</v>
      </c>
    </row>
    <row r="1085" spans="3:6" x14ac:dyDescent="0.25">
      <c r="C1085" s="2" t="s">
        <v>12951</v>
      </c>
      <c r="D1085" s="2" t="s">
        <v>122</v>
      </c>
      <c r="E1085" s="2">
        <v>123</v>
      </c>
      <c r="F1085" s="2">
        <v>2484.569</v>
      </c>
    </row>
    <row r="1086" spans="3:6" x14ac:dyDescent="0.25">
      <c r="C1086" s="2" t="s">
        <v>12952</v>
      </c>
      <c r="D1086" s="2" t="s">
        <v>122</v>
      </c>
      <c r="E1086" s="2">
        <v>123</v>
      </c>
      <c r="F1086" s="2">
        <v>2560.02</v>
      </c>
    </row>
    <row r="1087" spans="3:6" x14ac:dyDescent="0.25">
      <c r="C1087" s="2" t="s">
        <v>12953</v>
      </c>
      <c r="D1087" s="2" t="s">
        <v>122</v>
      </c>
      <c r="E1087" s="2">
        <v>141</v>
      </c>
      <c r="F1087" s="2">
        <v>2861.729</v>
      </c>
    </row>
    <row r="1088" spans="3:6" x14ac:dyDescent="0.25">
      <c r="C1088" s="2" t="s">
        <v>12954</v>
      </c>
      <c r="D1088" s="2" t="s">
        <v>122</v>
      </c>
      <c r="E1088" s="2">
        <v>141</v>
      </c>
      <c r="F1088" s="2">
        <v>2852.508</v>
      </c>
    </row>
    <row r="1089" spans="3:6" x14ac:dyDescent="0.25">
      <c r="C1089" s="2" t="s">
        <v>12955</v>
      </c>
      <c r="D1089" s="2" t="s">
        <v>122</v>
      </c>
      <c r="E1089" s="2">
        <v>141</v>
      </c>
      <c r="F1089" s="2">
        <v>2893.089</v>
      </c>
    </row>
    <row r="1090" spans="3:6" x14ac:dyDescent="0.25">
      <c r="C1090" s="2" t="s">
        <v>12956</v>
      </c>
      <c r="D1090" s="2" t="s">
        <v>122</v>
      </c>
      <c r="E1090" s="2">
        <v>141</v>
      </c>
      <c r="F1090" s="2">
        <v>2891.18</v>
      </c>
    </row>
    <row r="1091" spans="3:6" x14ac:dyDescent="0.25">
      <c r="C1091" s="2" t="s">
        <v>12957</v>
      </c>
      <c r="D1091" s="2" t="s">
        <v>122</v>
      </c>
      <c r="E1091" s="2">
        <v>94</v>
      </c>
      <c r="F1091" s="2">
        <v>1933.35</v>
      </c>
    </row>
    <row r="1092" spans="3:6" x14ac:dyDescent="0.25">
      <c r="C1092" s="2" t="s">
        <v>12958</v>
      </c>
      <c r="D1092" s="2" t="s">
        <v>122</v>
      </c>
      <c r="E1092" s="2">
        <v>47</v>
      </c>
      <c r="F1092" s="2">
        <v>943.26</v>
      </c>
    </row>
    <row r="1093" spans="3:6" x14ac:dyDescent="0.25">
      <c r="C1093" s="2" t="s">
        <v>12959</v>
      </c>
      <c r="D1093" s="2" t="s">
        <v>122</v>
      </c>
      <c r="E1093" s="2">
        <v>143</v>
      </c>
      <c r="F1093" s="2">
        <v>2877.17</v>
      </c>
    </row>
    <row r="1094" spans="3:6" x14ac:dyDescent="0.25">
      <c r="C1094" s="2" t="s">
        <v>12960</v>
      </c>
      <c r="D1094" s="2" t="s">
        <v>122</v>
      </c>
      <c r="E1094" s="2">
        <v>143</v>
      </c>
      <c r="F1094" s="2">
        <v>3048.72</v>
      </c>
    </row>
    <row r="1095" spans="3:6" x14ac:dyDescent="0.25">
      <c r="C1095" s="2" t="s">
        <v>12961</v>
      </c>
      <c r="D1095" s="2" t="s">
        <v>122</v>
      </c>
      <c r="E1095" s="2">
        <v>64</v>
      </c>
      <c r="F1095" s="2">
        <v>1321.78</v>
      </c>
    </row>
    <row r="1096" spans="3:6" x14ac:dyDescent="0.25">
      <c r="C1096" s="2" t="s">
        <v>12962</v>
      </c>
      <c r="D1096" s="2" t="s">
        <v>122</v>
      </c>
      <c r="E1096" s="2">
        <v>38</v>
      </c>
      <c r="F1096" s="2">
        <v>803.29</v>
      </c>
    </row>
    <row r="1097" spans="3:6" x14ac:dyDescent="0.25">
      <c r="C1097" s="2" t="s">
        <v>12963</v>
      </c>
      <c r="D1097" s="2" t="s">
        <v>122</v>
      </c>
      <c r="E1097" s="2">
        <v>23</v>
      </c>
      <c r="F1097" s="2">
        <v>513.5</v>
      </c>
    </row>
    <row r="1098" spans="3:6" x14ac:dyDescent="0.25">
      <c r="C1098" s="2" t="s">
        <v>12964</v>
      </c>
      <c r="D1098" s="2" t="s">
        <v>122</v>
      </c>
      <c r="E1098" s="2">
        <v>12</v>
      </c>
      <c r="F1098" s="2">
        <v>236.09</v>
      </c>
    </row>
    <row r="1099" spans="3:6" x14ac:dyDescent="0.25">
      <c r="C1099" s="2" t="s">
        <v>12965</v>
      </c>
      <c r="D1099" s="2" t="s">
        <v>122</v>
      </c>
      <c r="E1099" s="2">
        <v>67</v>
      </c>
      <c r="F1099" s="2">
        <v>1374.24</v>
      </c>
    </row>
    <row r="1100" spans="3:6" x14ac:dyDescent="0.25">
      <c r="C1100" s="2" t="s">
        <v>12966</v>
      </c>
      <c r="D1100" s="2" t="s">
        <v>122</v>
      </c>
      <c r="E1100" s="2">
        <v>143</v>
      </c>
      <c r="F1100" s="2">
        <v>779.997</v>
      </c>
    </row>
    <row r="1101" spans="3:6" x14ac:dyDescent="0.25">
      <c r="C1101" s="2" t="s">
        <v>12967</v>
      </c>
      <c r="D1101" s="2" t="s">
        <v>122</v>
      </c>
      <c r="E1101" s="2">
        <v>32</v>
      </c>
      <c r="F1101" s="2">
        <v>653.26</v>
      </c>
    </row>
    <row r="1102" spans="3:6" x14ac:dyDescent="0.25">
      <c r="C1102" s="2" t="s">
        <v>12968</v>
      </c>
      <c r="D1102" s="2" t="s">
        <v>122</v>
      </c>
      <c r="E1102" s="2">
        <v>16</v>
      </c>
      <c r="F1102" s="2">
        <v>293.859</v>
      </c>
    </row>
    <row r="1103" spans="3:6" x14ac:dyDescent="0.25">
      <c r="C1103" s="2" t="s">
        <v>12969</v>
      </c>
      <c r="D1103" s="2" t="s">
        <v>122</v>
      </c>
      <c r="E1103" s="2">
        <v>30</v>
      </c>
      <c r="F1103" s="2">
        <v>646.52</v>
      </c>
    </row>
    <row r="1104" spans="3:6" x14ac:dyDescent="0.25">
      <c r="C1104" s="2" t="s">
        <v>12970</v>
      </c>
      <c r="D1104" s="2" t="s">
        <v>122</v>
      </c>
      <c r="E1104" s="2">
        <v>65</v>
      </c>
      <c r="F1104" s="2">
        <v>1336.95</v>
      </c>
    </row>
    <row r="1105" spans="3:6" x14ac:dyDescent="0.25">
      <c r="C1105" s="2" t="s">
        <v>12971</v>
      </c>
      <c r="D1105" s="2" t="s">
        <v>122</v>
      </c>
      <c r="E1105" s="2">
        <v>40</v>
      </c>
      <c r="F1105" s="2">
        <v>811.879</v>
      </c>
    </row>
    <row r="1106" spans="3:6" x14ac:dyDescent="0.25">
      <c r="C1106" s="2" t="s">
        <v>12972</v>
      </c>
      <c r="D1106" s="2" t="s">
        <v>122</v>
      </c>
      <c r="E1106" s="2">
        <v>26</v>
      </c>
      <c r="F1106" s="2">
        <v>553.31</v>
      </c>
    </row>
    <row r="1107" spans="3:6" x14ac:dyDescent="0.25">
      <c r="C1107" s="2" t="s">
        <v>12973</v>
      </c>
      <c r="D1107" s="2" t="s">
        <v>122</v>
      </c>
      <c r="E1107" s="2">
        <v>30</v>
      </c>
      <c r="F1107" s="2">
        <v>582.01</v>
      </c>
    </row>
    <row r="1108" spans="3:6" x14ac:dyDescent="0.25">
      <c r="C1108" s="2" t="s">
        <v>12974</v>
      </c>
      <c r="D1108" s="2" t="s">
        <v>122</v>
      </c>
      <c r="E1108" s="2">
        <v>47</v>
      </c>
      <c r="F1108" s="2">
        <v>887.59</v>
      </c>
    </row>
    <row r="1109" spans="3:6" x14ac:dyDescent="0.25">
      <c r="C1109" s="2" t="s">
        <v>12975</v>
      </c>
      <c r="D1109" s="2" t="s">
        <v>122</v>
      </c>
      <c r="E1109" s="2">
        <v>10</v>
      </c>
      <c r="F1109" s="2">
        <v>188.71</v>
      </c>
    </row>
    <row r="1110" spans="3:6" x14ac:dyDescent="0.25">
      <c r="C1110" s="2" t="s">
        <v>12976</v>
      </c>
      <c r="D1110" s="2" t="s">
        <v>122</v>
      </c>
      <c r="E1110" s="2">
        <v>31</v>
      </c>
      <c r="F1110" s="2">
        <v>595.56</v>
      </c>
    </row>
    <row r="1111" spans="3:6" x14ac:dyDescent="0.25">
      <c r="C1111" s="2" t="s">
        <v>12977</v>
      </c>
      <c r="D1111" s="2" t="s">
        <v>122</v>
      </c>
      <c r="E1111" s="2">
        <v>31</v>
      </c>
      <c r="F1111" s="2">
        <v>562.319</v>
      </c>
    </row>
    <row r="1112" spans="3:6" x14ac:dyDescent="0.25">
      <c r="C1112" s="2" t="s">
        <v>12978</v>
      </c>
      <c r="D1112" s="2" t="s">
        <v>122</v>
      </c>
      <c r="E1112" s="2">
        <v>32</v>
      </c>
      <c r="F1112" s="2">
        <v>680.64</v>
      </c>
    </row>
    <row r="1113" spans="3:6" x14ac:dyDescent="0.25">
      <c r="C1113" s="2" t="s">
        <v>12979</v>
      </c>
      <c r="D1113" s="2" t="s">
        <v>122</v>
      </c>
      <c r="E1113" s="2">
        <v>14</v>
      </c>
      <c r="F1113" s="2">
        <v>270.74</v>
      </c>
    </row>
    <row r="1114" spans="3:6" x14ac:dyDescent="0.25">
      <c r="C1114" s="2" t="s">
        <v>12980</v>
      </c>
      <c r="D1114" s="2" t="s">
        <v>122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10</v>
      </c>
      <c r="C1116" s="2" t="s">
        <v>12981</v>
      </c>
      <c r="D1116" s="2" t="s">
        <v>12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12982</v>
      </c>
      <c r="D1117" s="2" t="s">
        <v>12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12270</v>
      </c>
      <c r="C1119" s="2" t="s">
        <v>12983</v>
      </c>
      <c r="D1119" s="2" t="s">
        <v>12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12984</v>
      </c>
      <c r="D1120" s="2" t="s">
        <v>12</v>
      </c>
      <c r="E1120" s="2">
        <v>156</v>
      </c>
      <c r="F1120" s="2">
        <v>3141.55</v>
      </c>
    </row>
    <row r="1121" spans="3:6" x14ac:dyDescent="0.25">
      <c r="C1121" s="2" t="s">
        <v>12985</v>
      </c>
      <c r="D1121" s="2" t="s">
        <v>12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324</v>
      </c>
      <c r="C1123" s="2" t="s">
        <v>12986</v>
      </c>
      <c r="D1123" s="2" t="s">
        <v>122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12987</v>
      </c>
      <c r="D1124" s="2" t="s">
        <v>122</v>
      </c>
      <c r="E1124" s="2">
        <v>80</v>
      </c>
      <c r="F1124" s="2">
        <v>1668.35</v>
      </c>
    </row>
    <row r="1125" spans="3:6" x14ac:dyDescent="0.25">
      <c r="C1125" s="2" t="s">
        <v>12988</v>
      </c>
      <c r="D1125" s="2" t="s">
        <v>122</v>
      </c>
      <c r="E1125" s="2">
        <v>111</v>
      </c>
      <c r="F1125" s="2">
        <v>2373.02</v>
      </c>
    </row>
    <row r="1126" spans="3:6" x14ac:dyDescent="0.25">
      <c r="C1126" s="2" t="s">
        <v>12989</v>
      </c>
      <c r="D1126" s="2" t="s">
        <v>122</v>
      </c>
      <c r="E1126" s="2">
        <v>10</v>
      </c>
      <c r="F1126" s="2">
        <v>211.98</v>
      </c>
    </row>
    <row r="1127" spans="3:6" x14ac:dyDescent="0.25">
      <c r="C1127" s="2" t="s">
        <v>12990</v>
      </c>
      <c r="D1127" s="2" t="s">
        <v>122</v>
      </c>
      <c r="E1127" s="2">
        <v>141</v>
      </c>
      <c r="F1127" s="2">
        <v>2966.74</v>
      </c>
    </row>
    <row r="1128" spans="3:6" x14ac:dyDescent="0.25">
      <c r="C1128" s="2" t="s">
        <v>12991</v>
      </c>
      <c r="D1128" s="2" t="s">
        <v>122</v>
      </c>
      <c r="E1128" s="2">
        <v>64</v>
      </c>
      <c r="F1128" s="2">
        <v>1293.11</v>
      </c>
    </row>
    <row r="1129" spans="3:6" x14ac:dyDescent="0.25">
      <c r="C1129" s="2" t="s">
        <v>12992</v>
      </c>
      <c r="D1129" s="2" t="s">
        <v>122</v>
      </c>
      <c r="E1129" s="2">
        <v>77</v>
      </c>
      <c r="F1129" s="2">
        <v>1605.12</v>
      </c>
    </row>
    <row r="1130" spans="3:6" x14ac:dyDescent="0.25">
      <c r="C1130" s="2" t="s">
        <v>12993</v>
      </c>
      <c r="D1130" s="2" t="s">
        <v>122</v>
      </c>
      <c r="E1130" s="2">
        <v>100</v>
      </c>
      <c r="F1130" s="2">
        <v>2109.45</v>
      </c>
    </row>
    <row r="1131" spans="3:6" x14ac:dyDescent="0.25">
      <c r="C1131" s="2" t="s">
        <v>12994</v>
      </c>
      <c r="D1131" s="2" t="s">
        <v>122</v>
      </c>
      <c r="E1131" s="2">
        <v>41</v>
      </c>
      <c r="F1131" s="2">
        <v>852.64</v>
      </c>
    </row>
    <row r="1132" spans="3:6" x14ac:dyDescent="0.25">
      <c r="C1132" s="2" t="s">
        <v>12995</v>
      </c>
      <c r="D1132" s="2" t="s">
        <v>122</v>
      </c>
      <c r="E1132" s="2">
        <v>52</v>
      </c>
      <c r="F1132" s="2">
        <v>1050.21</v>
      </c>
    </row>
    <row r="1133" spans="3:6" x14ac:dyDescent="0.25">
      <c r="C1133" s="2" t="s">
        <v>12996</v>
      </c>
      <c r="D1133" s="2" t="s">
        <v>122</v>
      </c>
      <c r="E1133" s="2">
        <v>49</v>
      </c>
      <c r="F1133" s="2">
        <v>926.77</v>
      </c>
    </row>
    <row r="1134" spans="3:6" x14ac:dyDescent="0.25">
      <c r="C1134" s="2" t="s">
        <v>12997</v>
      </c>
      <c r="D1134" s="2" t="s">
        <v>122</v>
      </c>
      <c r="E1134" s="2">
        <v>52</v>
      </c>
      <c r="F1134" s="2">
        <v>1086.42</v>
      </c>
    </row>
    <row r="1135" spans="3:6" x14ac:dyDescent="0.25">
      <c r="C1135" s="2" t="s">
        <v>12998</v>
      </c>
      <c r="D1135" s="2" t="s">
        <v>122</v>
      </c>
      <c r="E1135" s="2">
        <v>39</v>
      </c>
      <c r="F1135" s="2">
        <v>319.735</v>
      </c>
    </row>
    <row r="1136" spans="3:6" x14ac:dyDescent="0.25">
      <c r="C1136" s="2" t="s">
        <v>12999</v>
      </c>
      <c r="D1136" s="2" t="s">
        <v>122</v>
      </c>
      <c r="E1136" s="2">
        <v>101</v>
      </c>
      <c r="F1136" s="2">
        <v>2078.02</v>
      </c>
    </row>
    <row r="1137" spans="3:6" x14ac:dyDescent="0.25">
      <c r="C1137" s="2" t="s">
        <v>13000</v>
      </c>
      <c r="D1137" s="2" t="s">
        <v>122</v>
      </c>
      <c r="E1137" s="2">
        <v>101</v>
      </c>
      <c r="F1137" s="2">
        <v>2024.79</v>
      </c>
    </row>
    <row r="1138" spans="3:6" x14ac:dyDescent="0.25">
      <c r="C1138" s="2" t="s">
        <v>13001</v>
      </c>
      <c r="D1138" s="2" t="s">
        <v>122</v>
      </c>
      <c r="E1138" s="2">
        <v>101</v>
      </c>
      <c r="F1138" s="2">
        <v>1928.944</v>
      </c>
    </row>
    <row r="1139" spans="3:6" x14ac:dyDescent="0.25">
      <c r="C1139" s="2" t="s">
        <v>13002</v>
      </c>
      <c r="D1139" s="2" t="s">
        <v>122</v>
      </c>
      <c r="E1139" s="2">
        <v>141</v>
      </c>
      <c r="F1139" s="2">
        <v>2972.25</v>
      </c>
    </row>
    <row r="1140" spans="3:6" x14ac:dyDescent="0.25">
      <c r="C1140" s="2" t="s">
        <v>13003</v>
      </c>
      <c r="D1140" s="2" t="s">
        <v>122</v>
      </c>
      <c r="E1140" s="2">
        <v>141</v>
      </c>
      <c r="F1140" s="2">
        <v>2874.209</v>
      </c>
    </row>
    <row r="1141" spans="3:6" x14ac:dyDescent="0.25">
      <c r="C1141" s="2" t="s">
        <v>13004</v>
      </c>
      <c r="D1141" s="2" t="s">
        <v>122</v>
      </c>
      <c r="E1141" s="2">
        <v>141</v>
      </c>
      <c r="F1141" s="2">
        <v>2678.19</v>
      </c>
    </row>
    <row r="1142" spans="3:6" x14ac:dyDescent="0.25">
      <c r="C1142" s="2" t="s">
        <v>13005</v>
      </c>
      <c r="D1142" s="2" t="s">
        <v>122</v>
      </c>
      <c r="E1142" s="2">
        <v>9</v>
      </c>
      <c r="F1142" s="2">
        <v>126.5</v>
      </c>
    </row>
    <row r="1143" spans="3:6" x14ac:dyDescent="0.25">
      <c r="C1143" s="2" t="s">
        <v>13006</v>
      </c>
      <c r="D1143" s="2" t="s">
        <v>122</v>
      </c>
      <c r="E1143" s="2">
        <v>55</v>
      </c>
      <c r="F1143" s="2">
        <v>1024.569</v>
      </c>
    </row>
    <row r="1144" spans="3:6" x14ac:dyDescent="0.25">
      <c r="C1144" s="2" t="s">
        <v>13007</v>
      </c>
      <c r="D1144" s="2" t="s">
        <v>122</v>
      </c>
      <c r="E1144" s="2">
        <v>50</v>
      </c>
      <c r="F1144" s="2">
        <v>967.299</v>
      </c>
    </row>
    <row r="1145" spans="3:6" x14ac:dyDescent="0.25">
      <c r="C1145" s="2" t="s">
        <v>13008</v>
      </c>
      <c r="D1145" s="2" t="s">
        <v>122</v>
      </c>
      <c r="E1145" s="2">
        <v>27</v>
      </c>
      <c r="F1145" s="2">
        <v>512.819</v>
      </c>
    </row>
    <row r="1146" spans="3:6" x14ac:dyDescent="0.25">
      <c r="C1146" s="2" t="s">
        <v>13009</v>
      </c>
      <c r="D1146" s="2" t="s">
        <v>122</v>
      </c>
      <c r="E1146" s="2">
        <v>47</v>
      </c>
      <c r="F1146" s="2">
        <v>911.189</v>
      </c>
    </row>
    <row r="1147" spans="3:6" x14ac:dyDescent="0.25">
      <c r="C1147" s="2" t="s">
        <v>13010</v>
      </c>
      <c r="D1147" s="2" t="s">
        <v>122</v>
      </c>
      <c r="E1147" s="2">
        <v>26</v>
      </c>
      <c r="F1147" s="2">
        <v>530.07</v>
      </c>
    </row>
    <row r="1148" spans="3:6" x14ac:dyDescent="0.25">
      <c r="C1148" s="2" t="s">
        <v>13011</v>
      </c>
      <c r="D1148" s="2" t="s">
        <v>122</v>
      </c>
      <c r="E1148" s="2">
        <v>68</v>
      </c>
      <c r="F1148" s="2">
        <v>1433.73</v>
      </c>
    </row>
    <row r="1149" spans="3:6" x14ac:dyDescent="0.25">
      <c r="C1149" s="2" t="s">
        <v>13012</v>
      </c>
      <c r="D1149" s="2" t="s">
        <v>122</v>
      </c>
      <c r="E1149" s="2">
        <v>34</v>
      </c>
      <c r="F1149" s="2">
        <v>739.72</v>
      </c>
    </row>
    <row r="1150" spans="3:6" x14ac:dyDescent="0.25">
      <c r="C1150" s="2" t="s">
        <v>13013</v>
      </c>
      <c r="D1150" s="2" t="s">
        <v>122</v>
      </c>
      <c r="E1150" s="2">
        <v>13</v>
      </c>
      <c r="F1150" s="2">
        <v>280.31</v>
      </c>
    </row>
    <row r="1151" spans="3:6" x14ac:dyDescent="0.25">
      <c r="C1151" s="2" t="s">
        <v>13014</v>
      </c>
      <c r="D1151" s="2" t="s">
        <v>122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2196</v>
      </c>
      <c r="C1153" s="2" t="s">
        <v>13015</v>
      </c>
      <c r="D1153" s="2" t="s">
        <v>9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13016</v>
      </c>
      <c r="D1154" s="2" t="s">
        <v>9</v>
      </c>
      <c r="E1154" s="2">
        <v>123</v>
      </c>
      <c r="F1154" s="2">
        <v>2559.13</v>
      </c>
    </row>
    <row r="1155" spans="3:6" x14ac:dyDescent="0.25">
      <c r="C1155" s="2" t="s">
        <v>13017</v>
      </c>
      <c r="D1155" s="2" t="s">
        <v>9</v>
      </c>
      <c r="E1155" s="2">
        <v>123</v>
      </c>
      <c r="F1155" s="2">
        <v>2564.96</v>
      </c>
    </row>
    <row r="1156" spans="3:6" x14ac:dyDescent="0.25">
      <c r="C1156" s="2" t="s">
        <v>13018</v>
      </c>
      <c r="D1156" s="2" t="s">
        <v>9</v>
      </c>
      <c r="E1156" s="2">
        <v>105</v>
      </c>
      <c r="F1156" s="2">
        <v>452.489</v>
      </c>
    </row>
    <row r="1157" spans="3:6" x14ac:dyDescent="0.25">
      <c r="C1157" s="2" t="s">
        <v>13019</v>
      </c>
      <c r="D1157" s="2" t="s">
        <v>9</v>
      </c>
      <c r="E1157" s="2">
        <v>123</v>
      </c>
      <c r="F1157" s="2">
        <v>2436.559</v>
      </c>
    </row>
    <row r="1158" spans="3:6" x14ac:dyDescent="0.25">
      <c r="C1158" s="2" t="s">
        <v>13020</v>
      </c>
      <c r="D1158" s="2" t="s">
        <v>9</v>
      </c>
      <c r="E1158" s="2">
        <v>123</v>
      </c>
      <c r="F1158" s="2">
        <v>2251.988</v>
      </c>
    </row>
    <row r="1159" spans="3:6" x14ac:dyDescent="0.25">
      <c r="C1159" s="2" t="s">
        <v>13021</v>
      </c>
      <c r="D1159" s="2" t="s">
        <v>9</v>
      </c>
      <c r="E1159" s="2">
        <v>102</v>
      </c>
      <c r="F1159" s="2">
        <v>2187.229</v>
      </c>
    </row>
    <row r="1160" spans="3:6" x14ac:dyDescent="0.25">
      <c r="C1160" s="2" t="s">
        <v>13022</v>
      </c>
      <c r="D1160" s="2" t="s">
        <v>9</v>
      </c>
      <c r="E1160" s="2">
        <v>141</v>
      </c>
      <c r="F1160" s="2">
        <v>2934.18</v>
      </c>
    </row>
    <row r="1161" spans="3:6" x14ac:dyDescent="0.25">
      <c r="C1161" s="2" t="s">
        <v>13023</v>
      </c>
      <c r="D1161" s="2" t="s">
        <v>9</v>
      </c>
      <c r="E1161" s="2">
        <v>141</v>
      </c>
      <c r="F1161" s="2">
        <v>2580.27</v>
      </c>
    </row>
    <row r="1162" spans="3:6" x14ac:dyDescent="0.25">
      <c r="C1162" s="2" t="s">
        <v>13024</v>
      </c>
      <c r="D1162" s="2" t="s">
        <v>9</v>
      </c>
      <c r="E1162" s="2">
        <v>141</v>
      </c>
      <c r="F1162" s="2">
        <v>2798.88</v>
      </c>
    </row>
    <row r="1163" spans="3:6" x14ac:dyDescent="0.25">
      <c r="C1163" s="2" t="s">
        <v>13025</v>
      </c>
      <c r="D1163" s="2" t="s">
        <v>9</v>
      </c>
      <c r="E1163" s="2">
        <v>102</v>
      </c>
      <c r="F1163" s="2">
        <v>1881.807</v>
      </c>
    </row>
    <row r="1164" spans="3:6" x14ac:dyDescent="0.25">
      <c r="C1164" s="2" t="s">
        <v>13026</v>
      </c>
      <c r="D1164" s="2" t="s">
        <v>9</v>
      </c>
      <c r="E1164" s="2">
        <v>90</v>
      </c>
      <c r="F1164" s="2">
        <v>387.599</v>
      </c>
    </row>
    <row r="1165" spans="3:6" x14ac:dyDescent="0.25">
      <c r="C1165" s="2" t="s">
        <v>13027</v>
      </c>
      <c r="D1165" s="2" t="s">
        <v>9</v>
      </c>
      <c r="E1165" s="2">
        <v>102</v>
      </c>
      <c r="F1165" s="2">
        <v>1977.32</v>
      </c>
    </row>
    <row r="1166" spans="3:6" x14ac:dyDescent="0.25">
      <c r="C1166" s="2" t="s">
        <v>13028</v>
      </c>
      <c r="D1166" s="2" t="s">
        <v>9</v>
      </c>
      <c r="E1166" s="2">
        <v>84</v>
      </c>
      <c r="F1166" s="2">
        <v>1698.77</v>
      </c>
    </row>
    <row r="1167" spans="3:6" x14ac:dyDescent="0.25">
      <c r="C1167" s="2" t="s">
        <v>13029</v>
      </c>
      <c r="D1167" s="2" t="s">
        <v>9</v>
      </c>
      <c r="E1167" s="2">
        <v>57</v>
      </c>
      <c r="F1167" s="2">
        <v>1120.23</v>
      </c>
    </row>
    <row r="1168" spans="3:6" x14ac:dyDescent="0.25">
      <c r="C1168" s="2" t="s">
        <v>13030</v>
      </c>
      <c r="D1168" s="2" t="s">
        <v>9</v>
      </c>
      <c r="E1168" s="2">
        <v>102</v>
      </c>
      <c r="F1168" s="2">
        <v>1991.168</v>
      </c>
    </row>
    <row r="1169" spans="3:6" x14ac:dyDescent="0.25">
      <c r="C1169" s="2" t="s">
        <v>13031</v>
      </c>
      <c r="D1169" s="2" t="s">
        <v>9</v>
      </c>
      <c r="E1169" s="2">
        <v>134</v>
      </c>
      <c r="F1169" s="2">
        <v>2540.759</v>
      </c>
    </row>
    <row r="1170" spans="3:6" x14ac:dyDescent="0.25">
      <c r="C1170" s="2" t="s">
        <v>13032</v>
      </c>
      <c r="D1170" s="2" t="s">
        <v>9</v>
      </c>
      <c r="E1170" s="2">
        <v>141</v>
      </c>
      <c r="F1170" s="2">
        <v>2874.43</v>
      </c>
    </row>
    <row r="1171" spans="3:6" x14ac:dyDescent="0.25">
      <c r="C1171" s="2" t="s">
        <v>13033</v>
      </c>
      <c r="D1171" s="2" t="s">
        <v>9</v>
      </c>
      <c r="E1171" s="2">
        <v>102</v>
      </c>
      <c r="F1171" s="2">
        <v>2225.03</v>
      </c>
    </row>
    <row r="1172" spans="3:6" x14ac:dyDescent="0.25">
      <c r="C1172" s="2" t="s">
        <v>13034</v>
      </c>
      <c r="D1172" s="2" t="s">
        <v>9</v>
      </c>
      <c r="E1172" s="2">
        <v>102</v>
      </c>
      <c r="F1172" s="2">
        <v>2147.77</v>
      </c>
    </row>
    <row r="1173" spans="3:6" x14ac:dyDescent="0.25">
      <c r="C1173" s="2" t="s">
        <v>13035</v>
      </c>
      <c r="D1173" s="2" t="s">
        <v>9</v>
      </c>
      <c r="E1173" s="2">
        <v>141</v>
      </c>
      <c r="F1173" s="2">
        <v>2820.92</v>
      </c>
    </row>
    <row r="1174" spans="3:6" x14ac:dyDescent="0.25">
      <c r="C1174" s="2" t="s">
        <v>13036</v>
      </c>
      <c r="D1174" s="2" t="s">
        <v>9</v>
      </c>
      <c r="E1174" s="2">
        <v>141</v>
      </c>
      <c r="F1174" s="2">
        <v>2609.769</v>
      </c>
    </row>
    <row r="1175" spans="3:6" x14ac:dyDescent="0.25">
      <c r="C1175" s="2" t="s">
        <v>13037</v>
      </c>
      <c r="D1175" s="2" t="s">
        <v>9</v>
      </c>
      <c r="E1175" s="2">
        <v>41</v>
      </c>
      <c r="F1175" s="2">
        <v>756.63</v>
      </c>
    </row>
    <row r="1176" spans="3:6" x14ac:dyDescent="0.25">
      <c r="C1176" s="2" t="s">
        <v>13038</v>
      </c>
      <c r="D1176" s="2" t="s">
        <v>9</v>
      </c>
      <c r="E1176" s="2">
        <v>100</v>
      </c>
      <c r="F1176" s="2">
        <v>2094.689</v>
      </c>
    </row>
    <row r="1177" spans="3:6" x14ac:dyDescent="0.25">
      <c r="C1177" s="2" t="s">
        <v>13039</v>
      </c>
      <c r="D1177" s="2" t="s">
        <v>9</v>
      </c>
      <c r="E1177" s="2">
        <v>141</v>
      </c>
      <c r="F1177" s="2">
        <v>2861.17</v>
      </c>
    </row>
    <row r="1178" spans="3:6" x14ac:dyDescent="0.25">
      <c r="C1178" s="2" t="s">
        <v>13040</v>
      </c>
      <c r="D1178" s="2" t="s">
        <v>9</v>
      </c>
      <c r="E1178" s="2">
        <v>141</v>
      </c>
      <c r="F1178" s="2">
        <v>2830.35</v>
      </c>
    </row>
    <row r="1179" spans="3:6" x14ac:dyDescent="0.25">
      <c r="C1179" s="2" t="s">
        <v>13041</v>
      </c>
      <c r="D1179" s="2" t="s">
        <v>9</v>
      </c>
      <c r="E1179" s="2">
        <v>141</v>
      </c>
      <c r="F1179" s="2">
        <v>2995.84</v>
      </c>
    </row>
    <row r="1180" spans="3:6" x14ac:dyDescent="0.25">
      <c r="C1180" s="2" t="s">
        <v>13042</v>
      </c>
      <c r="D1180" s="2" t="s">
        <v>9</v>
      </c>
      <c r="E1180" s="2">
        <v>141</v>
      </c>
      <c r="F1180" s="2">
        <v>2565.009</v>
      </c>
    </row>
    <row r="1181" spans="3:6" x14ac:dyDescent="0.25">
      <c r="C1181" s="2" t="s">
        <v>13043</v>
      </c>
      <c r="D1181" s="2" t="s">
        <v>9</v>
      </c>
      <c r="E1181" s="2">
        <v>65</v>
      </c>
      <c r="F1181" s="2">
        <v>1150.53</v>
      </c>
    </row>
    <row r="1182" spans="3:6" x14ac:dyDescent="0.25">
      <c r="C1182" s="2" t="s">
        <v>13044</v>
      </c>
      <c r="D1182" s="2" t="s">
        <v>9</v>
      </c>
      <c r="E1182" s="2">
        <v>76</v>
      </c>
      <c r="F1182" s="2">
        <v>1541.68</v>
      </c>
    </row>
    <row r="1183" spans="3:6" x14ac:dyDescent="0.25">
      <c r="C1183" s="2" t="s">
        <v>13045</v>
      </c>
      <c r="D1183" s="2" t="s">
        <v>9</v>
      </c>
      <c r="E1183" s="2">
        <v>141</v>
      </c>
      <c r="F1183" s="2">
        <v>2850.65</v>
      </c>
    </row>
    <row r="1184" spans="3:6" x14ac:dyDescent="0.25">
      <c r="C1184" s="2" t="s">
        <v>13046</v>
      </c>
      <c r="D1184" s="2" t="s">
        <v>9</v>
      </c>
      <c r="E1184" s="2">
        <v>75</v>
      </c>
      <c r="F1184" s="2">
        <v>1521.48</v>
      </c>
    </row>
    <row r="1185" spans="3:6" x14ac:dyDescent="0.25">
      <c r="C1185" s="2" t="s">
        <v>13047</v>
      </c>
      <c r="D1185" s="2" t="s">
        <v>9</v>
      </c>
      <c r="E1185" s="2">
        <v>141</v>
      </c>
      <c r="F1185" s="2">
        <v>2862.95</v>
      </c>
    </row>
    <row r="1186" spans="3:6" x14ac:dyDescent="0.25">
      <c r="C1186" s="2" t="s">
        <v>13048</v>
      </c>
      <c r="D1186" s="2" t="s">
        <v>9</v>
      </c>
      <c r="E1186" s="2">
        <v>49</v>
      </c>
      <c r="F1186" s="2">
        <v>967.83</v>
      </c>
    </row>
    <row r="1187" spans="3:6" x14ac:dyDescent="0.25">
      <c r="C1187" s="2" t="s">
        <v>13049</v>
      </c>
      <c r="D1187" s="2" t="s">
        <v>9</v>
      </c>
      <c r="E1187" s="2">
        <v>70</v>
      </c>
      <c r="F1187" s="2">
        <v>1407.72</v>
      </c>
    </row>
    <row r="1188" spans="3:6" x14ac:dyDescent="0.25">
      <c r="C1188" s="2" t="s">
        <v>13050</v>
      </c>
      <c r="D1188" s="2" t="s">
        <v>9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120</v>
      </c>
      <c r="C1190" s="2" t="s">
        <v>13051</v>
      </c>
      <c r="D1190" s="2" t="s">
        <v>122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13052</v>
      </c>
      <c r="D1191" s="2" t="s">
        <v>122</v>
      </c>
      <c r="E1191" s="2">
        <v>123</v>
      </c>
      <c r="F1191" s="2">
        <v>2578.44</v>
      </c>
    </row>
    <row r="1192" spans="3:6" x14ac:dyDescent="0.25">
      <c r="C1192" s="2" t="s">
        <v>13053</v>
      </c>
      <c r="D1192" s="2" t="s">
        <v>122</v>
      </c>
      <c r="E1192" s="2">
        <v>134</v>
      </c>
      <c r="F1192" s="2">
        <v>2790.53</v>
      </c>
    </row>
    <row r="1193" spans="3:6" x14ac:dyDescent="0.25">
      <c r="C1193" s="2" t="s">
        <v>13054</v>
      </c>
      <c r="D1193" s="2" t="s">
        <v>122</v>
      </c>
      <c r="E1193" s="2">
        <v>102</v>
      </c>
      <c r="F1193" s="2">
        <v>2103.73</v>
      </c>
    </row>
    <row r="1194" spans="3:6" x14ac:dyDescent="0.25">
      <c r="C1194" s="2" t="s">
        <v>13055</v>
      </c>
      <c r="D1194" s="2" t="s">
        <v>122</v>
      </c>
      <c r="E1194" s="2">
        <v>11</v>
      </c>
      <c r="F1194" s="2">
        <v>118.72</v>
      </c>
    </row>
    <row r="1195" spans="3:6" x14ac:dyDescent="0.25">
      <c r="C1195" s="2" t="s">
        <v>13056</v>
      </c>
      <c r="D1195" s="2" t="s">
        <v>122</v>
      </c>
      <c r="E1195" s="2">
        <v>9</v>
      </c>
      <c r="F1195" s="2">
        <v>194.4</v>
      </c>
    </row>
    <row r="1196" spans="3:6" x14ac:dyDescent="0.25">
      <c r="C1196" s="2" t="s">
        <v>13057</v>
      </c>
      <c r="D1196" s="2" t="s">
        <v>122</v>
      </c>
      <c r="E1196" s="2">
        <v>25</v>
      </c>
      <c r="F1196" s="2">
        <v>155.7</v>
      </c>
    </row>
    <row r="1197" spans="3:6" x14ac:dyDescent="0.25">
      <c r="C1197" s="2" t="s">
        <v>13058</v>
      </c>
      <c r="D1197" s="2" t="s">
        <v>122</v>
      </c>
      <c r="E1197" s="2">
        <v>26</v>
      </c>
      <c r="F1197" s="2">
        <f>72.5+447.1</f>
        <v>519.6</v>
      </c>
    </row>
    <row r="1198" spans="3:6" x14ac:dyDescent="0.25">
      <c r="C1198" s="2" t="s">
        <v>13059</v>
      </c>
      <c r="D1198" s="2" t="s">
        <v>122</v>
      </c>
      <c r="E1198" s="2">
        <v>9</v>
      </c>
      <c r="F1198" s="2">
        <f>51.8+119.24</f>
        <v>171.04</v>
      </c>
    </row>
    <row r="1199" spans="3:6" x14ac:dyDescent="0.25">
      <c r="C1199" s="2" t="s">
        <v>13060</v>
      </c>
      <c r="D1199" s="2" t="s">
        <v>122</v>
      </c>
      <c r="E1199" s="2">
        <v>12</v>
      </c>
      <c r="F1199" s="2">
        <f>164.95+15.45</f>
        <v>180.39999999999998</v>
      </c>
    </row>
    <row r="1200" spans="3:6" x14ac:dyDescent="0.25">
      <c r="C1200" s="2" t="s">
        <v>13061</v>
      </c>
      <c r="D1200" s="2" t="s">
        <v>122</v>
      </c>
      <c r="E1200" s="2">
        <v>12</v>
      </c>
      <c r="F1200" s="2">
        <v>149.469</v>
      </c>
    </row>
    <row r="1201" spans="3:6" x14ac:dyDescent="0.25">
      <c r="C1201" s="2" t="s">
        <v>13062</v>
      </c>
      <c r="D1201" s="2" t="s">
        <v>122</v>
      </c>
      <c r="E1201" s="2">
        <v>102</v>
      </c>
      <c r="F1201" s="2">
        <v>2095.84</v>
      </c>
    </row>
    <row r="1202" spans="3:6" x14ac:dyDescent="0.25">
      <c r="C1202" s="2" t="s">
        <v>13063</v>
      </c>
      <c r="D1202" s="2" t="s">
        <v>122</v>
      </c>
      <c r="E1202" s="2">
        <v>102</v>
      </c>
      <c r="F1202" s="2">
        <v>2134.22</v>
      </c>
    </row>
    <row r="1203" spans="3:6" x14ac:dyDescent="0.25">
      <c r="C1203" s="2" t="s">
        <v>13064</v>
      </c>
      <c r="D1203" s="2" t="s">
        <v>122</v>
      </c>
      <c r="E1203" s="2">
        <v>75</v>
      </c>
      <c r="F1203" s="2">
        <v>1491.249</v>
      </c>
    </row>
    <row r="1204" spans="3:6" x14ac:dyDescent="0.25">
      <c r="C1204" s="2" t="s">
        <v>13065</v>
      </c>
      <c r="D1204" s="2" t="s">
        <v>122</v>
      </c>
      <c r="E1204" s="2">
        <v>2</v>
      </c>
      <c r="F1204" s="2">
        <v>41.85</v>
      </c>
    </row>
    <row r="1205" spans="3:6" x14ac:dyDescent="0.25">
      <c r="C1205" s="2" t="s">
        <v>13066</v>
      </c>
      <c r="D1205" s="2" t="s">
        <v>122</v>
      </c>
      <c r="E1205" s="2" t="s">
        <v>8758</v>
      </c>
      <c r="F1205" s="2" t="s">
        <v>8758</v>
      </c>
    </row>
    <row r="1206" spans="3:6" x14ac:dyDescent="0.25">
      <c r="C1206" s="2" t="s">
        <v>13067</v>
      </c>
      <c r="D1206" s="2" t="s">
        <v>122</v>
      </c>
      <c r="E1206" s="2">
        <v>115</v>
      </c>
      <c r="F1206" s="2">
        <v>2346.54</v>
      </c>
    </row>
    <row r="1207" spans="3:6" x14ac:dyDescent="0.25">
      <c r="C1207" s="2" t="s">
        <v>13068</v>
      </c>
      <c r="D1207" s="2" t="s">
        <v>122</v>
      </c>
      <c r="E1207" s="2">
        <v>121</v>
      </c>
      <c r="F1207" s="2">
        <v>2498.3</v>
      </c>
    </row>
    <row r="1208" spans="3:6" x14ac:dyDescent="0.25">
      <c r="C1208" s="2" t="s">
        <v>13069</v>
      </c>
      <c r="D1208" s="2" t="s">
        <v>122</v>
      </c>
      <c r="E1208" s="2">
        <v>141</v>
      </c>
      <c r="F1208" s="2">
        <v>2969.65</v>
      </c>
    </row>
    <row r="1209" spans="3:6" x14ac:dyDescent="0.25">
      <c r="C1209" s="2" t="s">
        <v>13070</v>
      </c>
      <c r="D1209" s="2" t="s">
        <v>122</v>
      </c>
      <c r="E1209" s="2">
        <v>69</v>
      </c>
      <c r="F1209" s="2">
        <v>295.019</v>
      </c>
    </row>
    <row r="1210" spans="3:6" x14ac:dyDescent="0.25">
      <c r="C1210" s="2" t="s">
        <v>13071</v>
      </c>
      <c r="D1210" s="2" t="s">
        <v>122</v>
      </c>
      <c r="E1210" s="2">
        <v>79</v>
      </c>
      <c r="F1210" s="2">
        <v>1638.569</v>
      </c>
    </row>
    <row r="1211" spans="3:6" x14ac:dyDescent="0.25">
      <c r="C1211" s="2" t="s">
        <v>13072</v>
      </c>
      <c r="D1211" s="2" t="s">
        <v>122</v>
      </c>
      <c r="E1211" s="2">
        <v>62</v>
      </c>
      <c r="F1211" s="2">
        <v>1259.87</v>
      </c>
    </row>
    <row r="1212" spans="3:6" x14ac:dyDescent="0.25">
      <c r="C1212" s="2" t="s">
        <v>13073</v>
      </c>
      <c r="D1212" s="2" t="s">
        <v>122</v>
      </c>
      <c r="E1212" s="2">
        <v>141</v>
      </c>
      <c r="F1212" s="2">
        <v>2882.24</v>
      </c>
    </row>
    <row r="1213" spans="3:6" x14ac:dyDescent="0.25">
      <c r="C1213" s="2" t="s">
        <v>13074</v>
      </c>
      <c r="D1213" s="2" t="s">
        <v>122</v>
      </c>
      <c r="E1213" s="2">
        <v>141</v>
      </c>
      <c r="F1213" s="2">
        <v>2969.72</v>
      </c>
    </row>
    <row r="1214" spans="3:6" x14ac:dyDescent="0.25">
      <c r="C1214" s="2" t="s">
        <v>13075</v>
      </c>
      <c r="D1214" s="2" t="s">
        <v>122</v>
      </c>
      <c r="E1214" s="2">
        <v>83</v>
      </c>
      <c r="F1214" s="2">
        <v>2253.07</v>
      </c>
    </row>
    <row r="1215" spans="3:6" x14ac:dyDescent="0.25">
      <c r="C1215" s="2" t="s">
        <v>13076</v>
      </c>
      <c r="D1215" s="2" t="s">
        <v>122</v>
      </c>
      <c r="E1215" s="2">
        <v>83</v>
      </c>
      <c r="F1215" s="2">
        <v>2410.555</v>
      </c>
    </row>
    <row r="1216" spans="3:6" x14ac:dyDescent="0.25">
      <c r="C1216" s="2" t="s">
        <v>13077</v>
      </c>
      <c r="D1216" s="2" t="s">
        <v>122</v>
      </c>
      <c r="E1216" s="2">
        <v>143</v>
      </c>
      <c r="F1216" s="2">
        <v>2960.11</v>
      </c>
    </row>
    <row r="1217" spans="3:6" x14ac:dyDescent="0.25">
      <c r="C1217" s="2" t="s">
        <v>13078</v>
      </c>
      <c r="D1217" s="2" t="s">
        <v>122</v>
      </c>
      <c r="E1217" s="2">
        <v>143</v>
      </c>
      <c r="F1217" s="2">
        <v>2920.359</v>
      </c>
    </row>
    <row r="1218" spans="3:6" x14ac:dyDescent="0.25">
      <c r="C1218" s="2" t="s">
        <v>13079</v>
      </c>
      <c r="D1218" s="2" t="s">
        <v>122</v>
      </c>
      <c r="E1218" s="2">
        <v>143</v>
      </c>
      <c r="F1218" s="2">
        <v>2939.309</v>
      </c>
    </row>
    <row r="1219" spans="3:6" x14ac:dyDescent="0.25">
      <c r="C1219" s="2" t="s">
        <v>13080</v>
      </c>
      <c r="D1219" s="2" t="s">
        <v>122</v>
      </c>
      <c r="E1219" s="2">
        <v>143</v>
      </c>
      <c r="F1219" s="2">
        <v>2868.47</v>
      </c>
    </row>
    <row r="1220" spans="3:6" x14ac:dyDescent="0.25">
      <c r="C1220" s="2" t="s">
        <v>13081</v>
      </c>
      <c r="D1220" s="2" t="s">
        <v>122</v>
      </c>
      <c r="E1220" s="2">
        <v>143</v>
      </c>
      <c r="F1220" s="2">
        <v>2898.61</v>
      </c>
    </row>
    <row r="1221" spans="3:6" x14ac:dyDescent="0.25">
      <c r="C1221" s="2" t="s">
        <v>13082</v>
      </c>
      <c r="D1221" s="2" t="s">
        <v>122</v>
      </c>
      <c r="E1221" s="2">
        <v>143</v>
      </c>
      <c r="F1221" s="2">
        <v>2899.35</v>
      </c>
    </row>
    <row r="1222" spans="3:6" x14ac:dyDescent="0.25">
      <c r="C1222" s="2" t="s">
        <v>13083</v>
      </c>
      <c r="D1222" s="2" t="s">
        <v>122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90</v>
      </c>
      <c r="C1224" s="2" t="s">
        <v>13084</v>
      </c>
      <c r="D1224" s="2" t="s">
        <v>42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13085</v>
      </c>
      <c r="D1225" s="2" t="s">
        <v>42</v>
      </c>
      <c r="E1225" s="2">
        <v>41</v>
      </c>
      <c r="F1225" s="2">
        <v>849.81</v>
      </c>
    </row>
    <row r="1226" spans="3:6" x14ac:dyDescent="0.25">
      <c r="C1226" s="2" t="s">
        <v>13086</v>
      </c>
      <c r="D1226" s="2" t="s">
        <v>42</v>
      </c>
      <c r="E1226" s="2">
        <v>107</v>
      </c>
      <c r="F1226" s="2">
        <v>1817.5</v>
      </c>
    </row>
    <row r="1227" spans="3:6" x14ac:dyDescent="0.25">
      <c r="C1227" s="2" t="s">
        <v>13087</v>
      </c>
      <c r="D1227" s="2" t="s">
        <v>42</v>
      </c>
      <c r="E1227" s="2">
        <v>123</v>
      </c>
      <c r="F1227" s="2">
        <v>2494.56</v>
      </c>
    </row>
    <row r="1228" spans="3:6" x14ac:dyDescent="0.25">
      <c r="C1228" s="2" t="s">
        <v>13088</v>
      </c>
      <c r="D1228" s="2" t="s">
        <v>42</v>
      </c>
      <c r="E1228" s="2">
        <v>125</v>
      </c>
      <c r="F1228" s="2">
        <v>2438.46</v>
      </c>
    </row>
    <row r="1229" spans="3:6" x14ac:dyDescent="0.25">
      <c r="C1229" s="2" t="s">
        <v>13089</v>
      </c>
      <c r="D1229" s="2" t="s">
        <v>42</v>
      </c>
      <c r="E1229" s="2">
        <v>141</v>
      </c>
      <c r="F1229" s="2">
        <v>2861.52</v>
      </c>
    </row>
    <row r="1230" spans="3:6" x14ac:dyDescent="0.25">
      <c r="C1230" s="2" t="s">
        <v>13090</v>
      </c>
      <c r="D1230" s="2" t="s">
        <v>42</v>
      </c>
      <c r="E1230" s="2">
        <v>109</v>
      </c>
      <c r="F1230" s="2">
        <v>2264.979</v>
      </c>
    </row>
    <row r="1231" spans="3:6" x14ac:dyDescent="0.25">
      <c r="C1231" s="2" t="s">
        <v>13091</v>
      </c>
      <c r="D1231" s="2" t="s">
        <v>42</v>
      </c>
      <c r="E1231" s="2">
        <v>127</v>
      </c>
      <c r="F1231" s="2">
        <v>1790.441</v>
      </c>
    </row>
    <row r="1232" spans="3:6" x14ac:dyDescent="0.25">
      <c r="C1232" s="2" t="s">
        <v>13092</v>
      </c>
      <c r="D1232" s="2" t="s">
        <v>42</v>
      </c>
      <c r="E1232" s="2">
        <v>123</v>
      </c>
      <c r="F1232" s="2">
        <v>2533.47</v>
      </c>
    </row>
    <row r="1233" spans="3:6" x14ac:dyDescent="0.25">
      <c r="C1233" s="2" t="s">
        <v>13093</v>
      </c>
      <c r="D1233" s="2" t="s">
        <v>42</v>
      </c>
      <c r="E1233" s="2">
        <v>112</v>
      </c>
      <c r="F1233" s="2">
        <v>2274.23</v>
      </c>
    </row>
    <row r="1234" spans="3:6" x14ac:dyDescent="0.25">
      <c r="C1234" s="2" t="s">
        <v>13094</v>
      </c>
      <c r="D1234" s="2" t="s">
        <v>42</v>
      </c>
      <c r="E1234" s="2">
        <v>141</v>
      </c>
      <c r="F1234" s="2">
        <v>2961.85</v>
      </c>
    </row>
    <row r="1235" spans="3:6" x14ac:dyDescent="0.25">
      <c r="C1235" s="2" t="s">
        <v>13095</v>
      </c>
      <c r="D1235" s="2" t="s">
        <v>42</v>
      </c>
      <c r="E1235" s="2">
        <v>141</v>
      </c>
      <c r="F1235" s="2">
        <v>2882.209</v>
      </c>
    </row>
    <row r="1236" spans="3:6" x14ac:dyDescent="0.25">
      <c r="C1236" s="2" t="s">
        <v>13096</v>
      </c>
      <c r="D1236" s="2" t="s">
        <v>42</v>
      </c>
      <c r="E1236" s="2">
        <v>133</v>
      </c>
      <c r="F1236" s="2">
        <v>1383.191</v>
      </c>
    </row>
    <row r="1237" spans="3:6" x14ac:dyDescent="0.25">
      <c r="C1237" s="2" t="s">
        <v>13097</v>
      </c>
      <c r="D1237" s="2" t="s">
        <v>42</v>
      </c>
      <c r="E1237" s="2">
        <v>141</v>
      </c>
      <c r="F1237" s="2">
        <v>2875.63</v>
      </c>
    </row>
    <row r="1238" spans="3:6" x14ac:dyDescent="0.25">
      <c r="C1238" s="2" t="s">
        <v>13098</v>
      </c>
      <c r="D1238" s="2" t="s">
        <v>42</v>
      </c>
      <c r="E1238" s="2">
        <v>133</v>
      </c>
      <c r="F1238" s="2">
        <v>2709.165</v>
      </c>
    </row>
    <row r="1239" spans="3:6" x14ac:dyDescent="0.25">
      <c r="C1239" s="2" t="s">
        <v>13099</v>
      </c>
      <c r="D1239" s="2" t="s">
        <v>42</v>
      </c>
      <c r="E1239" s="2">
        <v>141</v>
      </c>
      <c r="F1239" s="2">
        <v>2880.356</v>
      </c>
    </row>
    <row r="1240" spans="3:6" x14ac:dyDescent="0.25">
      <c r="C1240" s="2" t="s">
        <v>13100</v>
      </c>
      <c r="D1240" s="2" t="s">
        <v>42</v>
      </c>
      <c r="E1240" s="2">
        <v>124</v>
      </c>
      <c r="F1240" s="2">
        <v>2424.403</v>
      </c>
    </row>
    <row r="1241" spans="3:6" x14ac:dyDescent="0.25">
      <c r="C1241" s="2" t="s">
        <v>13101</v>
      </c>
      <c r="D1241" s="2" t="s">
        <v>42</v>
      </c>
      <c r="E1241" s="2">
        <v>141</v>
      </c>
      <c r="F1241" s="2">
        <v>3054.39</v>
      </c>
    </row>
    <row r="1242" spans="3:6" x14ac:dyDescent="0.25">
      <c r="C1242" s="2" t="s">
        <v>13102</v>
      </c>
      <c r="D1242" s="2" t="s">
        <v>42</v>
      </c>
      <c r="E1242" s="2">
        <v>55</v>
      </c>
      <c r="F1242" s="2">
        <v>1028.799</v>
      </c>
    </row>
    <row r="1243" spans="3:6" x14ac:dyDescent="0.25">
      <c r="C1243" s="2" t="s">
        <v>13103</v>
      </c>
      <c r="D1243" s="2" t="s">
        <v>42</v>
      </c>
      <c r="E1243" s="2">
        <v>64</v>
      </c>
      <c r="F1243" s="2">
        <v>1284.5</v>
      </c>
    </row>
    <row r="1244" spans="3:6" x14ac:dyDescent="0.25">
      <c r="C1244" s="2" t="s">
        <v>13104</v>
      </c>
      <c r="D1244" s="2" t="s">
        <v>42</v>
      </c>
      <c r="E1244" s="2">
        <v>100</v>
      </c>
      <c r="F1244" s="2">
        <v>2124.47</v>
      </c>
    </row>
    <row r="1245" spans="3:6" x14ac:dyDescent="0.25">
      <c r="C1245" s="2" t="s">
        <v>13105</v>
      </c>
      <c r="D1245" s="2" t="s">
        <v>42</v>
      </c>
      <c r="E1245" s="2">
        <v>68</v>
      </c>
      <c r="F1245" s="2">
        <v>1239.869</v>
      </c>
    </row>
    <row r="1246" spans="3:6" x14ac:dyDescent="0.25">
      <c r="C1246" s="2" t="s">
        <v>13106</v>
      </c>
      <c r="D1246" s="2" t="s">
        <v>42</v>
      </c>
      <c r="E1246" s="2">
        <v>65</v>
      </c>
      <c r="F1246" s="2">
        <v>1309.71</v>
      </c>
    </row>
    <row r="1247" spans="3:6" x14ac:dyDescent="0.25">
      <c r="C1247" s="2" t="s">
        <v>13107</v>
      </c>
      <c r="D1247" s="2" t="s">
        <v>42</v>
      </c>
      <c r="E1247" s="2">
        <v>100</v>
      </c>
      <c r="F1247" s="2">
        <v>2054.21</v>
      </c>
    </row>
    <row r="1248" spans="3:6" x14ac:dyDescent="0.25">
      <c r="C1248" s="2" t="s">
        <v>13108</v>
      </c>
      <c r="D1248" s="2" t="s">
        <v>42</v>
      </c>
      <c r="E1248" s="2">
        <v>64</v>
      </c>
      <c r="F1248" s="2">
        <v>1215.646</v>
      </c>
    </row>
    <row r="1249" spans="3:6" x14ac:dyDescent="0.25">
      <c r="C1249" s="2" t="s">
        <v>13109</v>
      </c>
      <c r="D1249" s="2" t="s">
        <v>42</v>
      </c>
      <c r="E1249" s="2">
        <v>32</v>
      </c>
      <c r="F1249" s="2">
        <v>680.129</v>
      </c>
    </row>
    <row r="1250" spans="3:6" x14ac:dyDescent="0.25">
      <c r="C1250" s="2" t="s">
        <v>13110</v>
      </c>
      <c r="D1250" s="2" t="s">
        <v>42</v>
      </c>
      <c r="E1250" s="2">
        <v>65</v>
      </c>
      <c r="F1250" s="2">
        <v>1338.69</v>
      </c>
    </row>
    <row r="1251" spans="3:6" x14ac:dyDescent="0.25">
      <c r="C1251" s="2" t="s">
        <v>13111</v>
      </c>
      <c r="D1251" s="2" t="s">
        <v>42</v>
      </c>
      <c r="E1251" s="2">
        <v>10</v>
      </c>
      <c r="F1251" s="2">
        <v>194.78</v>
      </c>
    </row>
    <row r="1252" spans="3:6" x14ac:dyDescent="0.25">
      <c r="C1252" s="2" t="s">
        <v>13112</v>
      </c>
      <c r="D1252" s="2" t="s">
        <v>42</v>
      </c>
      <c r="E1252" s="2">
        <v>17</v>
      </c>
      <c r="F1252" s="2">
        <v>352.15</v>
      </c>
    </row>
    <row r="1253" spans="3:6" x14ac:dyDescent="0.25">
      <c r="C1253" s="2" t="s">
        <v>13113</v>
      </c>
      <c r="D1253" s="2" t="s">
        <v>42</v>
      </c>
      <c r="E1253" s="2">
        <v>75</v>
      </c>
      <c r="F1253" s="2">
        <v>386.49</v>
      </c>
    </row>
    <row r="1254" spans="3:6" x14ac:dyDescent="0.25">
      <c r="C1254" s="2" t="s">
        <v>13114</v>
      </c>
      <c r="D1254" s="2" t="s">
        <v>42</v>
      </c>
      <c r="E1254" s="2">
        <v>75</v>
      </c>
      <c r="F1254" s="2">
        <v>385.2</v>
      </c>
    </row>
    <row r="1255" spans="3:6" x14ac:dyDescent="0.25">
      <c r="C1255" s="2" t="s">
        <v>13115</v>
      </c>
      <c r="D1255" s="2" t="s">
        <v>42</v>
      </c>
      <c r="E1255" s="2">
        <v>20</v>
      </c>
      <c r="F1255" s="2">
        <v>98.93</v>
      </c>
    </row>
    <row r="1256" spans="3:6" x14ac:dyDescent="0.25">
      <c r="C1256" s="2" t="s">
        <v>13116</v>
      </c>
      <c r="D1256" s="2" t="s">
        <v>42</v>
      </c>
      <c r="E1256" s="2">
        <v>36</v>
      </c>
      <c r="F1256" s="2">
        <v>776.85</v>
      </c>
    </row>
    <row r="1257" spans="3:6" x14ac:dyDescent="0.25">
      <c r="C1257" s="2" t="s">
        <v>13117</v>
      </c>
      <c r="D1257" s="2" t="s">
        <v>42</v>
      </c>
      <c r="E1257" s="2">
        <v>83</v>
      </c>
      <c r="F1257" s="2">
        <v>1655.626</v>
      </c>
    </row>
    <row r="1258" spans="3:6" x14ac:dyDescent="0.25">
      <c r="C1258" s="2" t="s">
        <v>13118</v>
      </c>
      <c r="D1258" s="2" t="s">
        <v>42</v>
      </c>
      <c r="E1258" s="2">
        <v>35</v>
      </c>
      <c r="F1258" s="2">
        <v>696.2</v>
      </c>
    </row>
    <row r="1259" spans="3:6" x14ac:dyDescent="0.25">
      <c r="C1259" s="2" t="s">
        <v>13119</v>
      </c>
      <c r="D1259" s="2" t="s">
        <v>42</v>
      </c>
      <c r="E1259" s="2">
        <v>8</v>
      </c>
      <c r="F1259" s="2">
        <v>147.65</v>
      </c>
    </row>
    <row r="1260" spans="3:6" x14ac:dyDescent="0.25">
      <c r="C1260" s="2" t="s">
        <v>13120</v>
      </c>
      <c r="D1260" s="2" t="s">
        <v>42</v>
      </c>
      <c r="E1260" s="2">
        <v>11</v>
      </c>
      <c r="F1260" s="2">
        <v>229.04</v>
      </c>
    </row>
    <row r="1261" spans="3:6" x14ac:dyDescent="0.25">
      <c r="C1261" s="2" t="s">
        <v>13121</v>
      </c>
      <c r="D1261" s="2" t="s">
        <v>42</v>
      </c>
      <c r="E1261" s="2">
        <v>52</v>
      </c>
      <c r="F1261" s="2">
        <v>1155.263</v>
      </c>
    </row>
    <row r="1262" spans="3:6" x14ac:dyDescent="0.25">
      <c r="C1262" s="2" t="s">
        <v>13122</v>
      </c>
      <c r="D1262" s="2" t="s">
        <v>42</v>
      </c>
      <c r="E1262" s="2">
        <v>9</v>
      </c>
      <c r="F1262" s="2">
        <v>143.6</v>
      </c>
    </row>
    <row r="1263" spans="3:6" x14ac:dyDescent="0.25">
      <c r="C1263" s="2" t="s">
        <v>13123</v>
      </c>
      <c r="D1263" s="2" t="s">
        <v>42</v>
      </c>
      <c r="E1263" s="2">
        <v>13</v>
      </c>
      <c r="F1263" s="2">
        <v>177.15</v>
      </c>
    </row>
    <row r="1264" spans="3:6" x14ac:dyDescent="0.25">
      <c r="C1264" s="2" t="s">
        <v>13124</v>
      </c>
      <c r="D1264" s="2" t="s">
        <v>42</v>
      </c>
      <c r="E1264" s="2">
        <v>29</v>
      </c>
      <c r="F1264" s="2">
        <v>595</v>
      </c>
    </row>
    <row r="1265" spans="3:6" x14ac:dyDescent="0.25">
      <c r="C1265" s="2" t="s">
        <v>13125</v>
      </c>
      <c r="D1265" s="2" t="s">
        <v>42</v>
      </c>
      <c r="E1265" s="2">
        <v>17</v>
      </c>
      <c r="F1265" s="2">
        <v>396.98</v>
      </c>
    </row>
    <row r="1266" spans="3:6" x14ac:dyDescent="0.25">
      <c r="C1266" s="2" t="s">
        <v>13126</v>
      </c>
      <c r="D1266" s="2" t="s">
        <v>42</v>
      </c>
      <c r="E1266" s="2">
        <v>32</v>
      </c>
      <c r="F1266" s="2">
        <v>710.19</v>
      </c>
    </row>
    <row r="1267" spans="3:6" x14ac:dyDescent="0.25">
      <c r="C1267" s="2" t="s">
        <v>13127</v>
      </c>
      <c r="D1267" s="2" t="s">
        <v>42</v>
      </c>
      <c r="E1267" s="2">
        <v>30</v>
      </c>
      <c r="F1267" s="2">
        <v>156.94</v>
      </c>
    </row>
    <row r="1268" spans="3:6" x14ac:dyDescent="0.25">
      <c r="C1268" s="2" t="s">
        <v>13128</v>
      </c>
      <c r="D1268" s="2" t="s">
        <v>42</v>
      </c>
      <c r="E1268" s="2">
        <v>16</v>
      </c>
      <c r="F1268" s="2">
        <v>316.3</v>
      </c>
    </row>
    <row r="1269" spans="3:6" x14ac:dyDescent="0.25">
      <c r="C1269" s="2" t="s">
        <v>13129</v>
      </c>
      <c r="D1269" s="2" t="s">
        <v>42</v>
      </c>
      <c r="E1269" s="2">
        <v>36</v>
      </c>
      <c r="F1269" s="2">
        <v>726.9</v>
      </c>
    </row>
    <row r="1270" spans="3:6" x14ac:dyDescent="0.25">
      <c r="C1270" s="2" t="s">
        <v>13130</v>
      </c>
      <c r="D1270" s="2" t="s">
        <v>42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10</v>
      </c>
      <c r="C1272" s="2" t="s">
        <v>13131</v>
      </c>
      <c r="D1272" s="2" t="s">
        <v>12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13132</v>
      </c>
      <c r="D1273" s="2" t="s">
        <v>12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375</v>
      </c>
      <c r="C1275" s="2" t="s">
        <v>13133</v>
      </c>
      <c r="D1275" s="2" t="s">
        <v>204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13134</v>
      </c>
      <c r="D1276" s="2" t="s">
        <v>216</v>
      </c>
      <c r="E1276" s="2">
        <v>105</v>
      </c>
      <c r="F1276" s="2">
        <v>2161.199</v>
      </c>
    </row>
    <row r="1277" spans="3:6" x14ac:dyDescent="0.25">
      <c r="C1277" s="2" t="s">
        <v>13135</v>
      </c>
      <c r="D1277" s="2" t="s">
        <v>204</v>
      </c>
      <c r="E1277" s="2">
        <v>55</v>
      </c>
      <c r="F1277" s="2">
        <v>555.22</v>
      </c>
    </row>
    <row r="1278" spans="3:6" x14ac:dyDescent="0.25">
      <c r="C1278" s="2" t="s">
        <v>13136</v>
      </c>
      <c r="D1278" s="2" t="s">
        <v>204</v>
      </c>
      <c r="E1278" s="2">
        <v>105</v>
      </c>
      <c r="F1278" s="2">
        <v>2057.409</v>
      </c>
    </row>
    <row r="1279" spans="3:6" x14ac:dyDescent="0.25">
      <c r="C1279" s="2" t="s">
        <v>13137</v>
      </c>
      <c r="D1279" s="2" t="s">
        <v>216</v>
      </c>
      <c r="E1279" s="2">
        <v>52</v>
      </c>
      <c r="F1279" s="2">
        <v>931.689</v>
      </c>
    </row>
    <row r="1280" spans="3:6" x14ac:dyDescent="0.25">
      <c r="C1280" s="2" t="s">
        <v>13138</v>
      </c>
      <c r="D1280" s="2" t="s">
        <v>216</v>
      </c>
      <c r="E1280" s="2">
        <v>53</v>
      </c>
      <c r="F1280" s="2">
        <v>1131.378</v>
      </c>
    </row>
    <row r="1281" spans="3:6" x14ac:dyDescent="0.25">
      <c r="C1281" s="2" t="s">
        <v>13139</v>
      </c>
      <c r="D1281" s="2" t="s">
        <v>216</v>
      </c>
      <c r="E1281" s="2">
        <v>163</v>
      </c>
      <c r="F1281" s="2">
        <v>3257.809</v>
      </c>
    </row>
    <row r="1282" spans="3:6" x14ac:dyDescent="0.25">
      <c r="C1282" s="2" t="s">
        <v>13140</v>
      </c>
      <c r="D1282" s="2" t="s">
        <v>216</v>
      </c>
      <c r="E1282" s="2">
        <v>163</v>
      </c>
      <c r="F1282" s="2">
        <v>2954.17</v>
      </c>
    </row>
    <row r="1283" spans="3:6" x14ac:dyDescent="0.25">
      <c r="C1283" s="2" t="s">
        <v>13141</v>
      </c>
      <c r="D1283" s="2" t="s">
        <v>342</v>
      </c>
      <c r="E1283" s="2">
        <v>141</v>
      </c>
      <c r="F1283" s="2">
        <v>2904.849</v>
      </c>
    </row>
    <row r="1284" spans="3:6" x14ac:dyDescent="0.25">
      <c r="C1284" s="2" t="s">
        <v>13142</v>
      </c>
      <c r="D1284" s="2" t="s">
        <v>342</v>
      </c>
      <c r="E1284" s="2">
        <v>15</v>
      </c>
      <c r="F1284" s="2">
        <v>270.68</v>
      </c>
    </row>
    <row r="1285" spans="3:6" x14ac:dyDescent="0.25">
      <c r="C1285" s="2" t="s">
        <v>13143</v>
      </c>
      <c r="D1285" s="2" t="s">
        <v>236</v>
      </c>
      <c r="E1285" s="2">
        <v>80</v>
      </c>
      <c r="F1285" s="2">
        <v>1515.64</v>
      </c>
    </row>
    <row r="1286" spans="3:6" x14ac:dyDescent="0.25">
      <c r="C1286" s="2" t="s">
        <v>13144</v>
      </c>
      <c r="D1286" s="2" t="s">
        <v>236</v>
      </c>
      <c r="E1286" s="2">
        <v>68</v>
      </c>
      <c r="F1286" s="2">
        <v>1336.62</v>
      </c>
    </row>
    <row r="1287" spans="3:6" x14ac:dyDescent="0.25">
      <c r="C1287" s="2" t="s">
        <v>13145</v>
      </c>
      <c r="D1287" s="2" t="s">
        <v>347</v>
      </c>
      <c r="E1287" s="2">
        <v>100</v>
      </c>
      <c r="F1287" s="2">
        <v>1865.914</v>
      </c>
    </row>
    <row r="1288" spans="3:6" x14ac:dyDescent="0.25">
      <c r="C1288" s="2" t="s">
        <v>13146</v>
      </c>
      <c r="D1288" s="2" t="s">
        <v>347</v>
      </c>
      <c r="E1288" s="2">
        <v>36</v>
      </c>
      <c r="F1288" s="2">
        <v>693.77</v>
      </c>
    </row>
    <row r="1289" spans="3:6" x14ac:dyDescent="0.25">
      <c r="C1289" s="2" t="s">
        <v>13147</v>
      </c>
      <c r="D1289" s="2" t="s">
        <v>347</v>
      </c>
      <c r="E1289" s="2">
        <v>7</v>
      </c>
      <c r="F1289" s="2">
        <v>122.46</v>
      </c>
    </row>
    <row r="1290" spans="3:6" x14ac:dyDescent="0.25">
      <c r="C1290" s="2" t="s">
        <v>13148</v>
      </c>
      <c r="D1290" s="2" t="s">
        <v>347</v>
      </c>
      <c r="E1290" s="2">
        <v>13</v>
      </c>
      <c r="F1290" s="2">
        <v>217.27</v>
      </c>
    </row>
    <row r="1291" spans="3:6" x14ac:dyDescent="0.25">
      <c r="C1291" s="2" t="s">
        <v>13149</v>
      </c>
      <c r="D1291" s="2" t="s">
        <v>214</v>
      </c>
      <c r="E1291" s="2">
        <v>156</v>
      </c>
      <c r="F1291" s="2">
        <v>2993.948</v>
      </c>
    </row>
    <row r="1292" spans="3:6" x14ac:dyDescent="0.25">
      <c r="C1292" s="2" t="s">
        <v>13150</v>
      </c>
      <c r="D1292" s="2" t="s">
        <v>347</v>
      </c>
      <c r="E1292" s="2">
        <v>100</v>
      </c>
      <c r="F1292" s="2">
        <v>1840.56</v>
      </c>
    </row>
    <row r="1293" spans="3:6" x14ac:dyDescent="0.25">
      <c r="C1293" s="2" t="s">
        <v>13151</v>
      </c>
      <c r="D1293" s="2" t="s">
        <v>347</v>
      </c>
      <c r="E1293" s="2">
        <v>56</v>
      </c>
      <c r="F1293" s="2">
        <v>1046.541</v>
      </c>
    </row>
    <row r="1294" spans="3:6" x14ac:dyDescent="0.25">
      <c r="C1294" s="2" t="s">
        <v>13152</v>
      </c>
      <c r="D1294" s="2" t="s">
        <v>347</v>
      </c>
      <c r="E1294" s="2">
        <v>34</v>
      </c>
      <c r="F1294" s="2">
        <v>623.558</v>
      </c>
    </row>
    <row r="1295" spans="3:6" x14ac:dyDescent="0.25">
      <c r="C1295" s="2" t="s">
        <v>13153</v>
      </c>
      <c r="D1295" s="2" t="s">
        <v>347</v>
      </c>
      <c r="E1295" s="2">
        <v>75</v>
      </c>
      <c r="F1295" s="2">
        <v>1385.532</v>
      </c>
    </row>
    <row r="1296" spans="3:6" x14ac:dyDescent="0.25">
      <c r="C1296" s="2" t="s">
        <v>13154</v>
      </c>
      <c r="D1296" s="2" t="s">
        <v>347</v>
      </c>
      <c r="E1296" s="2">
        <v>47</v>
      </c>
      <c r="F1296" s="2">
        <v>895.07</v>
      </c>
    </row>
    <row r="1297" spans="3:6" x14ac:dyDescent="0.25">
      <c r="C1297" s="2" t="s">
        <v>13155</v>
      </c>
      <c r="D1297" s="2" t="s">
        <v>216</v>
      </c>
      <c r="E1297" s="2">
        <v>134</v>
      </c>
      <c r="F1297" s="2">
        <v>2691.12</v>
      </c>
    </row>
    <row r="1298" spans="3:6" x14ac:dyDescent="0.25">
      <c r="C1298" s="2" t="s">
        <v>13156</v>
      </c>
      <c r="D1298" s="2" t="s">
        <v>216</v>
      </c>
      <c r="E1298" s="2">
        <v>134</v>
      </c>
      <c r="F1298" s="2">
        <v>2725.34</v>
      </c>
    </row>
    <row r="1299" spans="3:6" x14ac:dyDescent="0.25">
      <c r="C1299" s="2" t="s">
        <v>13157</v>
      </c>
      <c r="D1299" s="2" t="s">
        <v>216</v>
      </c>
      <c r="E1299" s="2">
        <v>134</v>
      </c>
      <c r="F1299" s="2">
        <v>2680.23</v>
      </c>
    </row>
    <row r="1300" spans="3:6" x14ac:dyDescent="0.25">
      <c r="C1300" s="2" t="s">
        <v>13158</v>
      </c>
      <c r="D1300" s="2" t="s">
        <v>204</v>
      </c>
      <c r="E1300" s="2">
        <v>71</v>
      </c>
      <c r="F1300" s="2">
        <v>1402.37</v>
      </c>
    </row>
    <row r="1301" spans="3:6" x14ac:dyDescent="0.25">
      <c r="C1301" s="2" t="s">
        <v>13159</v>
      </c>
      <c r="D1301" s="2" t="s">
        <v>342</v>
      </c>
      <c r="E1301" s="2">
        <v>156</v>
      </c>
      <c r="F1301" s="2">
        <v>3106.769</v>
      </c>
    </row>
    <row r="1302" spans="3:6" x14ac:dyDescent="0.25">
      <c r="C1302" s="2" t="s">
        <v>13160</v>
      </c>
      <c r="D1302" s="2" t="s">
        <v>216</v>
      </c>
      <c r="E1302" s="2">
        <v>134</v>
      </c>
      <c r="F1302" s="2">
        <v>2637.33</v>
      </c>
    </row>
    <row r="1303" spans="3:6" x14ac:dyDescent="0.25">
      <c r="C1303" s="2" t="s">
        <v>13161</v>
      </c>
      <c r="D1303" s="2" t="s">
        <v>216</v>
      </c>
      <c r="E1303" s="2">
        <v>134</v>
      </c>
      <c r="F1303" s="2">
        <v>2779.76</v>
      </c>
    </row>
    <row r="1304" spans="3:6" x14ac:dyDescent="0.25">
      <c r="C1304" s="2" t="s">
        <v>13162</v>
      </c>
      <c r="D1304" s="2" t="s">
        <v>216</v>
      </c>
      <c r="E1304" s="2">
        <v>134</v>
      </c>
      <c r="F1304" s="2">
        <v>2707.899</v>
      </c>
    </row>
    <row r="1305" spans="3:6" x14ac:dyDescent="0.25">
      <c r="C1305" s="2" t="s">
        <v>13163</v>
      </c>
      <c r="D1305" s="2" t="s">
        <v>204</v>
      </c>
      <c r="E1305" s="2">
        <v>156</v>
      </c>
      <c r="F1305" s="2">
        <v>3099.03</v>
      </c>
    </row>
    <row r="1306" spans="3:6" x14ac:dyDescent="0.25">
      <c r="C1306" s="2" t="s">
        <v>13141</v>
      </c>
      <c r="D1306" s="2" t="s">
        <v>342</v>
      </c>
      <c r="E1306" s="2">
        <v>141</v>
      </c>
      <c r="F1306" s="2">
        <v>2904.849</v>
      </c>
    </row>
    <row r="1307" spans="3:6" x14ac:dyDescent="0.25">
      <c r="C1307" s="2" t="s">
        <v>13142</v>
      </c>
      <c r="D1307" s="2" t="s">
        <v>342</v>
      </c>
      <c r="E1307" s="2">
        <v>15</v>
      </c>
      <c r="F1307" s="2">
        <v>270.68</v>
      </c>
    </row>
    <row r="1308" spans="3:6" x14ac:dyDescent="0.25">
      <c r="C1308" s="2" t="s">
        <v>13159</v>
      </c>
      <c r="D1308" s="2" t="s">
        <v>342</v>
      </c>
      <c r="E1308" s="2">
        <v>156</v>
      </c>
      <c r="F1308" s="2">
        <v>3106.769</v>
      </c>
    </row>
    <row r="1309" spans="3:6" x14ac:dyDescent="0.25">
      <c r="C1309" s="2" t="s">
        <v>13164</v>
      </c>
      <c r="D1309" s="2" t="s">
        <v>204</v>
      </c>
      <c r="E1309" s="2">
        <v>85</v>
      </c>
      <c r="F1309" s="2">
        <v>1648</v>
      </c>
    </row>
    <row r="1310" spans="3:6" x14ac:dyDescent="0.25">
      <c r="C1310" s="2" t="s">
        <v>13165</v>
      </c>
      <c r="D1310" s="2" t="s">
        <v>204</v>
      </c>
      <c r="E1310" s="2">
        <v>41</v>
      </c>
      <c r="F1310" s="2">
        <v>400</v>
      </c>
    </row>
    <row r="1311" spans="3:6" x14ac:dyDescent="0.25">
      <c r="C1311" s="2" t="s">
        <v>13166</v>
      </c>
      <c r="D1311" s="2" t="s">
        <v>236</v>
      </c>
      <c r="E1311" s="2">
        <v>8</v>
      </c>
      <c r="F1311" s="2">
        <v>163</v>
      </c>
    </row>
    <row r="1313" spans="2:6" x14ac:dyDescent="0.25">
      <c r="B1313" s="2" t="s">
        <v>342</v>
      </c>
      <c r="C1313" s="2" t="s">
        <v>13141</v>
      </c>
      <c r="D1313" s="2" t="s">
        <v>342</v>
      </c>
      <c r="E1313" s="2">
        <v>141</v>
      </c>
      <c r="F1313" s="2">
        <v>2904.849</v>
      </c>
    </row>
    <row r="1314" spans="3:6" x14ac:dyDescent="0.25">
      <c r="C1314" s="2" t="s">
        <v>13142</v>
      </c>
      <c r="D1314" s="2" t="s">
        <v>342</v>
      </c>
      <c r="E1314" s="2">
        <v>15</v>
      </c>
      <c r="F1314" s="2">
        <v>270.68</v>
      </c>
    </row>
    <row r="1315" spans="3:6" x14ac:dyDescent="0.25">
      <c r="C1315" s="2" t="s">
        <v>13159</v>
      </c>
      <c r="D1315" s="2" t="s">
        <v>342</v>
      </c>
      <c r="E1315" s="2">
        <v>156</v>
      </c>
      <c r="F1315" s="2">
        <v>3106.769</v>
      </c>
    </row>
    <row r="1317" spans="2:6" x14ac:dyDescent="0.25">
      <c r="B1317" s="2" t="s">
        <v>2077</v>
      </c>
      <c r="C1317" s="2" t="s">
        <v>13167</v>
      </c>
      <c r="D1317" s="2" t="s">
        <v>214</v>
      </c>
      <c r="E1317" s="2">
        <v>156</v>
      </c>
      <c r="F1317" s="2">
        <v>2583.759</v>
      </c>
    </row>
    <row r="1318" spans="3:6" x14ac:dyDescent="0.25">
      <c r="C1318" s="2" t="s">
        <v>13168</v>
      </c>
      <c r="D1318" s="2" t="s">
        <v>216</v>
      </c>
      <c r="E1318" s="2">
        <v>105</v>
      </c>
      <c r="F1318" s="2">
        <v>1745.569</v>
      </c>
    </row>
    <row r="1319" spans="3:6" x14ac:dyDescent="0.25">
      <c r="C1319" s="2" t="s">
        <v>13169</v>
      </c>
      <c r="D1319" s="2" t="s">
        <v>216</v>
      </c>
      <c r="E1319" s="2">
        <v>105</v>
      </c>
      <c r="F1319" s="2">
        <v>1870.299</v>
      </c>
    </row>
    <row r="1320" spans="3:6" x14ac:dyDescent="0.25">
      <c r="C1320" s="2" t="s">
        <v>13170</v>
      </c>
      <c r="D1320" s="2" t="s">
        <v>214</v>
      </c>
      <c r="E1320" s="2">
        <v>156</v>
      </c>
      <c r="F1320" s="2">
        <v>2547.637</v>
      </c>
    </row>
    <row r="1321" spans="3:6" x14ac:dyDescent="0.25">
      <c r="C1321" s="2" t="s">
        <v>13171</v>
      </c>
      <c r="D1321" s="2" t="s">
        <v>214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32</v>
      </c>
      <c r="C1323" s="2" t="s">
        <v>13172</v>
      </c>
      <c r="D1323" s="2" t="s">
        <v>20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13173</v>
      </c>
      <c r="D1324" s="2" t="s">
        <v>20</v>
      </c>
      <c r="E1324" s="2">
        <v>261</v>
      </c>
      <c r="F1324" s="2">
        <v>4891.721</v>
      </c>
    </row>
    <row r="1325" spans="3:6" x14ac:dyDescent="0.25">
      <c r="C1325" s="2" t="s">
        <v>13174</v>
      </c>
      <c r="D1325" s="2" t="s">
        <v>20</v>
      </c>
      <c r="E1325" s="2">
        <v>105</v>
      </c>
      <c r="F1325" s="2">
        <v>2112.87</v>
      </c>
    </row>
    <row r="1326" spans="3:6" x14ac:dyDescent="0.25">
      <c r="C1326" s="2" t="s">
        <v>13175</v>
      </c>
      <c r="D1326" s="2" t="s">
        <v>20</v>
      </c>
      <c r="E1326" s="2">
        <v>163</v>
      </c>
      <c r="F1326" s="2">
        <v>3091.789</v>
      </c>
    </row>
    <row r="1327" spans="3:6" x14ac:dyDescent="0.25">
      <c r="C1327" s="2" t="s">
        <v>13176</v>
      </c>
      <c r="D1327" s="2" t="s">
        <v>20</v>
      </c>
      <c r="E1327" s="2">
        <v>163</v>
      </c>
      <c r="F1327" s="2">
        <v>3031.04</v>
      </c>
    </row>
    <row r="1328" spans="3:6" x14ac:dyDescent="0.25">
      <c r="C1328" s="2" t="s">
        <v>13177</v>
      </c>
      <c r="D1328" s="2" t="s">
        <v>20</v>
      </c>
      <c r="E1328" s="2">
        <v>268</v>
      </c>
      <c r="F1328" s="2">
        <v>5146.269</v>
      </c>
    </row>
    <row r="1329" spans="3:6" x14ac:dyDescent="0.25">
      <c r="C1329" s="2" t="s">
        <v>13178</v>
      </c>
      <c r="D1329" s="2" t="s">
        <v>20</v>
      </c>
      <c r="E1329" s="2">
        <v>163</v>
      </c>
      <c r="F1329" s="2">
        <v>3253.02</v>
      </c>
    </row>
    <row r="1330" spans="3:6" x14ac:dyDescent="0.25">
      <c r="C1330" s="2" t="s">
        <v>13179</v>
      </c>
      <c r="D1330" s="2" t="s">
        <v>20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1434</v>
      </c>
      <c r="C1332" s="2" t="s">
        <v>13180</v>
      </c>
      <c r="D1332" s="2" t="s">
        <v>122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13181</v>
      </c>
      <c r="D1333" s="2" t="s">
        <v>122</v>
      </c>
      <c r="E1333" s="2">
        <v>141</v>
      </c>
      <c r="F1333" s="2">
        <v>2935.959</v>
      </c>
    </row>
    <row r="1334" spans="3:6" x14ac:dyDescent="0.25">
      <c r="C1334" s="2" t="s">
        <v>13182</v>
      </c>
      <c r="D1334" s="2" t="s">
        <v>122</v>
      </c>
      <c r="E1334" s="2">
        <v>141</v>
      </c>
      <c r="F1334" s="2">
        <v>2938.32</v>
      </c>
    </row>
    <row r="1335" spans="3:6" x14ac:dyDescent="0.25">
      <c r="C1335" s="2" t="s">
        <v>13183</v>
      </c>
      <c r="D1335" s="2" t="s">
        <v>122</v>
      </c>
      <c r="E1335" s="2">
        <v>141</v>
      </c>
      <c r="F1335" s="2">
        <v>2964.9</v>
      </c>
    </row>
    <row r="1336" spans="3:6" x14ac:dyDescent="0.25">
      <c r="C1336" s="2" t="s">
        <v>13184</v>
      </c>
      <c r="D1336" s="2" t="s">
        <v>122</v>
      </c>
      <c r="E1336" s="2">
        <v>36</v>
      </c>
      <c r="F1336" s="2">
        <v>747.9</v>
      </c>
    </row>
    <row r="1337" spans="3:6" x14ac:dyDescent="0.25">
      <c r="C1337" s="2" t="s">
        <v>13185</v>
      </c>
      <c r="D1337" s="2" t="s">
        <v>122</v>
      </c>
      <c r="E1337" s="2">
        <v>44</v>
      </c>
      <c r="F1337" s="2">
        <v>908.63</v>
      </c>
    </row>
    <row r="1338" spans="3:6" x14ac:dyDescent="0.25">
      <c r="C1338" s="2" t="s">
        <v>13186</v>
      </c>
      <c r="D1338" s="2" t="s">
        <v>122</v>
      </c>
      <c r="E1338" s="2">
        <v>61</v>
      </c>
      <c r="F1338" s="2">
        <v>1270.32</v>
      </c>
    </row>
    <row r="1339" spans="3:6" x14ac:dyDescent="0.25">
      <c r="C1339" s="2" t="s">
        <v>13187</v>
      </c>
      <c r="D1339" s="2" t="s">
        <v>122</v>
      </c>
      <c r="E1339" s="2">
        <v>141</v>
      </c>
      <c r="F1339" s="2">
        <v>2928.26</v>
      </c>
    </row>
    <row r="1340" spans="3:6" x14ac:dyDescent="0.25">
      <c r="C1340" s="2" t="s">
        <v>13188</v>
      </c>
      <c r="D1340" s="2" t="s">
        <v>122</v>
      </c>
      <c r="E1340" s="2">
        <v>121</v>
      </c>
      <c r="F1340" s="2">
        <v>2455.37</v>
      </c>
    </row>
    <row r="1341" spans="3:6" x14ac:dyDescent="0.25">
      <c r="C1341" s="2" t="s">
        <v>13189</v>
      </c>
      <c r="D1341" s="2" t="s">
        <v>122</v>
      </c>
      <c r="E1341" s="2">
        <v>38</v>
      </c>
      <c r="F1341" s="2">
        <v>777.02</v>
      </c>
    </row>
    <row r="1342" spans="3:6" x14ac:dyDescent="0.25">
      <c r="C1342" s="2" t="s">
        <v>13190</v>
      </c>
      <c r="D1342" s="2" t="s">
        <v>122</v>
      </c>
      <c r="E1342" s="2">
        <v>46</v>
      </c>
      <c r="F1342" s="2">
        <v>932.88</v>
      </c>
    </row>
    <row r="1343" spans="3:6" x14ac:dyDescent="0.25">
      <c r="C1343" s="2" t="s">
        <v>13191</v>
      </c>
      <c r="D1343" s="2" t="s">
        <v>122</v>
      </c>
      <c r="E1343" s="2">
        <v>37</v>
      </c>
      <c r="F1343" s="2">
        <v>785</v>
      </c>
    </row>
    <row r="1344" spans="3:6" x14ac:dyDescent="0.25">
      <c r="C1344" s="2" t="s">
        <v>13192</v>
      </c>
      <c r="D1344" s="2" t="s">
        <v>122</v>
      </c>
      <c r="E1344" s="2">
        <v>37</v>
      </c>
      <c r="F1344" s="2">
        <v>736.709</v>
      </c>
    </row>
    <row r="1345" spans="3:6" x14ac:dyDescent="0.25">
      <c r="C1345" s="2" t="s">
        <v>13193</v>
      </c>
      <c r="D1345" s="2" t="s">
        <v>122</v>
      </c>
      <c r="E1345" s="2">
        <v>104</v>
      </c>
      <c r="F1345" s="2">
        <v>2125.189</v>
      </c>
    </row>
    <row r="1346" spans="3:6" x14ac:dyDescent="0.25">
      <c r="C1346" s="2" t="s">
        <v>13194</v>
      </c>
      <c r="D1346" s="2" t="s">
        <v>122</v>
      </c>
      <c r="E1346" s="2">
        <v>141</v>
      </c>
      <c r="F1346" s="2">
        <v>2942.279</v>
      </c>
    </row>
    <row r="1347" spans="3:6" x14ac:dyDescent="0.25">
      <c r="C1347" s="2" t="s">
        <v>13195</v>
      </c>
      <c r="D1347" s="2" t="s">
        <v>122</v>
      </c>
      <c r="E1347" s="2">
        <v>141</v>
      </c>
      <c r="F1347" s="2">
        <v>2881.68</v>
      </c>
    </row>
    <row r="1348" spans="3:6" x14ac:dyDescent="0.25">
      <c r="C1348" s="2" t="s">
        <v>13196</v>
      </c>
      <c r="D1348" s="2" t="s">
        <v>122</v>
      </c>
      <c r="E1348" s="2">
        <v>141</v>
      </c>
      <c r="F1348" s="2">
        <v>2938.75</v>
      </c>
    </row>
    <row r="1349" spans="3:6" x14ac:dyDescent="0.25">
      <c r="C1349" s="2" t="s">
        <v>13197</v>
      </c>
      <c r="D1349" s="2" t="s">
        <v>122</v>
      </c>
      <c r="E1349" s="2">
        <v>101</v>
      </c>
      <c r="F1349" s="2">
        <v>2078.37</v>
      </c>
    </row>
    <row r="1350" spans="3:6" x14ac:dyDescent="0.25">
      <c r="C1350" s="2" t="s">
        <v>13198</v>
      </c>
      <c r="D1350" s="2" t="s">
        <v>122</v>
      </c>
      <c r="E1350" s="2">
        <v>100</v>
      </c>
      <c r="F1350" s="2">
        <v>2058.59</v>
      </c>
    </row>
    <row r="1351" spans="3:6" x14ac:dyDescent="0.25">
      <c r="C1351" s="2" t="s">
        <v>13199</v>
      </c>
      <c r="D1351" s="2" t="s">
        <v>122</v>
      </c>
      <c r="E1351" s="2">
        <v>51</v>
      </c>
      <c r="F1351" s="2">
        <v>1125.61</v>
      </c>
    </row>
    <row r="1352" spans="3:6" x14ac:dyDescent="0.25">
      <c r="C1352" s="2" t="s">
        <v>13200</v>
      </c>
      <c r="D1352" s="2" t="s">
        <v>122</v>
      </c>
      <c r="E1352" s="2">
        <v>50</v>
      </c>
      <c r="F1352" s="2">
        <v>1021.46</v>
      </c>
    </row>
    <row r="1353" spans="3:6" x14ac:dyDescent="0.25">
      <c r="C1353" s="2" t="s">
        <v>13201</v>
      </c>
      <c r="D1353" s="2" t="s">
        <v>122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324</v>
      </c>
      <c r="C1355" s="2" t="s">
        <v>13202</v>
      </c>
      <c r="D1355" s="2" t="s">
        <v>27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13203</v>
      </c>
      <c r="D1356" s="2" t="s">
        <v>27</v>
      </c>
      <c r="E1356" s="2">
        <v>76</v>
      </c>
      <c r="F1356" s="2">
        <v>1392.639</v>
      </c>
    </row>
    <row r="1357" spans="3:6" x14ac:dyDescent="0.25">
      <c r="C1357" s="2" t="s">
        <v>13204</v>
      </c>
      <c r="D1357" s="2" t="s">
        <v>27</v>
      </c>
      <c r="E1357" s="2">
        <v>91</v>
      </c>
      <c r="F1357" s="2">
        <v>1813.959</v>
      </c>
    </row>
    <row r="1358" spans="3:6" x14ac:dyDescent="0.25">
      <c r="C1358" s="2" t="s">
        <v>13205</v>
      </c>
      <c r="D1358" s="2" t="s">
        <v>27</v>
      </c>
      <c r="E1358" s="2">
        <v>77</v>
      </c>
      <c r="F1358" s="2">
        <v>1587.9</v>
      </c>
    </row>
    <row r="1359" spans="3:6" x14ac:dyDescent="0.25">
      <c r="C1359" s="2" t="s">
        <v>13206</v>
      </c>
      <c r="D1359" s="2" t="s">
        <v>27</v>
      </c>
      <c r="E1359" s="2">
        <v>41</v>
      </c>
      <c r="F1359" s="2">
        <v>715.629</v>
      </c>
    </row>
    <row r="1360" spans="3:6" x14ac:dyDescent="0.25">
      <c r="C1360" s="2" t="s">
        <v>13207</v>
      </c>
      <c r="D1360" s="2" t="s">
        <v>27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13208</v>
      </c>
      <c r="C1362" s="2" t="s">
        <v>13209</v>
      </c>
      <c r="D1362" s="2" t="s">
        <v>5678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13210</v>
      </c>
      <c r="C1364" s="2" t="s">
        <v>13211</v>
      </c>
      <c r="D1364" s="2" t="s">
        <v>12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13212</v>
      </c>
      <c r="D1365" s="2" t="s">
        <v>12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238</v>
      </c>
      <c r="C1367" s="2" t="s">
        <v>13213</v>
      </c>
      <c r="D1367" s="2" t="s">
        <v>204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13214</v>
      </c>
      <c r="D1368" s="2" t="s">
        <v>204</v>
      </c>
      <c r="E1368" s="2">
        <v>80</v>
      </c>
      <c r="F1368" s="2">
        <v>780.69</v>
      </c>
    </row>
    <row r="1369" spans="3:6" x14ac:dyDescent="0.25">
      <c r="C1369" s="2" t="s">
        <v>13215</v>
      </c>
      <c r="D1369" s="2" t="s">
        <v>204</v>
      </c>
      <c r="E1369" s="2">
        <v>80</v>
      </c>
      <c r="F1369" s="2">
        <v>948.1</v>
      </c>
    </row>
    <row r="1370" spans="3:6" x14ac:dyDescent="0.25">
      <c r="C1370" s="2" t="s">
        <v>13216</v>
      </c>
      <c r="D1370" s="2" t="s">
        <v>204</v>
      </c>
      <c r="E1370" s="2">
        <v>105</v>
      </c>
      <c r="F1370" s="2">
        <v>2012.22</v>
      </c>
    </row>
    <row r="1371" spans="3:6" x14ac:dyDescent="0.25">
      <c r="C1371" s="2" t="s">
        <v>13217</v>
      </c>
      <c r="D1371" s="2" t="s">
        <v>204</v>
      </c>
      <c r="E1371" s="2">
        <v>105</v>
      </c>
      <c r="F1371" s="2">
        <v>2118.24</v>
      </c>
    </row>
    <row r="1372" spans="3:6" x14ac:dyDescent="0.25">
      <c r="C1372" s="2" t="s">
        <v>13218</v>
      </c>
      <c r="D1372" s="2" t="s">
        <v>204</v>
      </c>
      <c r="E1372" s="2">
        <v>156</v>
      </c>
      <c r="F1372" s="2">
        <v>2811.42</v>
      </c>
    </row>
    <row r="1373" spans="3:6" x14ac:dyDescent="0.25">
      <c r="C1373" s="2" t="s">
        <v>13219</v>
      </c>
      <c r="D1373" s="2" t="s">
        <v>204</v>
      </c>
      <c r="E1373" s="2">
        <v>156</v>
      </c>
      <c r="F1373" s="2">
        <v>2990.189</v>
      </c>
    </row>
    <row r="1374" spans="3:6" x14ac:dyDescent="0.25">
      <c r="C1374" s="2" t="s">
        <v>13220</v>
      </c>
      <c r="D1374" s="2" t="s">
        <v>204</v>
      </c>
      <c r="E1374" s="2">
        <v>156</v>
      </c>
      <c r="F1374" s="2">
        <v>3036.299</v>
      </c>
    </row>
    <row r="1375" spans="3:6" x14ac:dyDescent="0.25">
      <c r="C1375" s="2" t="s">
        <v>13221</v>
      </c>
      <c r="D1375" s="2" t="s">
        <v>236</v>
      </c>
      <c r="E1375" s="2">
        <v>60</v>
      </c>
      <c r="F1375" s="2">
        <v>1080.33</v>
      </c>
    </row>
    <row r="1376" spans="3:6" x14ac:dyDescent="0.25">
      <c r="C1376" s="2" t="s">
        <v>13222</v>
      </c>
      <c r="D1376" s="2" t="s">
        <v>236</v>
      </c>
      <c r="E1376" s="2">
        <v>60</v>
      </c>
      <c r="F1376" s="2">
        <v>1143.879</v>
      </c>
    </row>
    <row r="1377" spans="3:6" x14ac:dyDescent="0.25">
      <c r="C1377" s="2" t="s">
        <v>13223</v>
      </c>
      <c r="D1377" s="2" t="s">
        <v>236</v>
      </c>
      <c r="E1377" s="2">
        <v>36</v>
      </c>
      <c r="F1377" s="2">
        <v>709.41</v>
      </c>
    </row>
    <row r="1378" spans="3:6" x14ac:dyDescent="0.25">
      <c r="C1378" s="2" t="s">
        <v>13224</v>
      </c>
      <c r="D1378" s="2" t="s">
        <v>236</v>
      </c>
      <c r="E1378" s="2">
        <v>76</v>
      </c>
      <c r="F1378" s="2">
        <v>1433.979</v>
      </c>
    </row>
    <row r="1379" spans="3:6" x14ac:dyDescent="0.25">
      <c r="C1379" s="2" t="s">
        <v>13225</v>
      </c>
      <c r="D1379" s="2" t="s">
        <v>236</v>
      </c>
      <c r="E1379" s="2">
        <v>80</v>
      </c>
      <c r="F1379" s="2">
        <v>1529.01</v>
      </c>
    </row>
    <row r="1380" spans="3:6" x14ac:dyDescent="0.25">
      <c r="C1380" s="2" t="s">
        <v>13226</v>
      </c>
      <c r="D1380" s="2" t="s">
        <v>204</v>
      </c>
      <c r="E1380" s="2">
        <v>136</v>
      </c>
      <c r="F1380" s="2">
        <v>2684.86</v>
      </c>
    </row>
    <row r="1381" spans="3:6" x14ac:dyDescent="0.25">
      <c r="C1381" s="2" t="s">
        <v>13133</v>
      </c>
      <c r="D1381" s="2" t="s">
        <v>204</v>
      </c>
      <c r="E1381" s="2">
        <v>36</v>
      </c>
      <c r="F1381" s="2">
        <v>726.04</v>
      </c>
    </row>
    <row r="1382" spans="3:6" x14ac:dyDescent="0.25">
      <c r="C1382" s="2" t="s">
        <v>13227</v>
      </c>
      <c r="D1382" s="2" t="s">
        <v>204</v>
      </c>
      <c r="E1382" s="2">
        <v>156</v>
      </c>
      <c r="F1382" s="2">
        <v>3145.87</v>
      </c>
    </row>
    <row r="1383" spans="3:6" x14ac:dyDescent="0.25">
      <c r="C1383" s="2" t="s">
        <v>13228</v>
      </c>
      <c r="D1383" s="2" t="s">
        <v>204</v>
      </c>
      <c r="E1383" s="2">
        <v>156</v>
      </c>
      <c r="F1383" s="2">
        <v>3190.14</v>
      </c>
    </row>
    <row r="1384" spans="3:6" x14ac:dyDescent="0.25">
      <c r="C1384" s="2" t="s">
        <v>13136</v>
      </c>
      <c r="D1384" s="2" t="s">
        <v>204</v>
      </c>
      <c r="E1384" s="2">
        <v>105</v>
      </c>
      <c r="F1384" s="2">
        <v>2057.409</v>
      </c>
    </row>
    <row r="1385" spans="3:6" x14ac:dyDescent="0.25">
      <c r="C1385" s="2" t="s">
        <v>13229</v>
      </c>
      <c r="D1385" s="2" t="s">
        <v>204</v>
      </c>
      <c r="E1385" s="2">
        <v>134</v>
      </c>
      <c r="F1385" s="2">
        <v>2723.9</v>
      </c>
    </row>
    <row r="1386" spans="3:6" x14ac:dyDescent="0.25">
      <c r="C1386" s="2" t="s">
        <v>13230</v>
      </c>
      <c r="D1386" s="2" t="s">
        <v>204</v>
      </c>
      <c r="E1386" s="2">
        <v>134</v>
      </c>
      <c r="F1386" s="2">
        <v>2639.87</v>
      </c>
    </row>
    <row r="1387" spans="3:6" x14ac:dyDescent="0.25">
      <c r="C1387" s="2" t="s">
        <v>13231</v>
      </c>
      <c r="D1387" s="2" t="s">
        <v>204</v>
      </c>
      <c r="E1387" s="2">
        <v>134</v>
      </c>
      <c r="F1387" s="2">
        <v>2638.227</v>
      </c>
    </row>
    <row r="1388" spans="3:6" x14ac:dyDescent="0.25">
      <c r="C1388" s="2" t="s">
        <v>13232</v>
      </c>
      <c r="D1388" s="2" t="s">
        <v>204</v>
      </c>
      <c r="E1388" s="2">
        <v>134</v>
      </c>
      <c r="F1388" s="2">
        <v>2683.4</v>
      </c>
    </row>
    <row r="1389" spans="3:6" x14ac:dyDescent="0.25">
      <c r="C1389" s="2" t="s">
        <v>13233</v>
      </c>
      <c r="D1389" s="2" t="s">
        <v>204</v>
      </c>
      <c r="E1389" s="2">
        <v>134</v>
      </c>
      <c r="F1389" s="2">
        <v>2644.369</v>
      </c>
    </row>
    <row r="1390" spans="3:6" x14ac:dyDescent="0.25">
      <c r="C1390" s="2" t="s">
        <v>13234</v>
      </c>
      <c r="D1390" s="2" t="s">
        <v>204</v>
      </c>
      <c r="E1390" s="2">
        <v>103</v>
      </c>
      <c r="F1390" s="2">
        <v>1767.51</v>
      </c>
    </row>
    <row r="1391" spans="3:6" x14ac:dyDescent="0.25">
      <c r="C1391" s="2" t="s">
        <v>13235</v>
      </c>
      <c r="D1391" s="2" t="s">
        <v>204</v>
      </c>
      <c r="E1391" s="2">
        <v>103</v>
      </c>
      <c r="F1391" s="2">
        <v>2009.45</v>
      </c>
    </row>
    <row r="1392" spans="3:6" x14ac:dyDescent="0.25">
      <c r="C1392" s="2" t="s">
        <v>13236</v>
      </c>
      <c r="D1392" s="2" t="s">
        <v>204</v>
      </c>
      <c r="E1392" s="2">
        <v>156</v>
      </c>
      <c r="F1392" s="2">
        <v>2780.97</v>
      </c>
    </row>
    <row r="1393" spans="3:6" x14ac:dyDescent="0.25">
      <c r="C1393" s="2" t="s">
        <v>13237</v>
      </c>
      <c r="D1393" s="2" t="s">
        <v>204</v>
      </c>
      <c r="E1393" s="2">
        <v>20</v>
      </c>
      <c r="F1393" s="2">
        <v>382</v>
      </c>
    </row>
    <row r="1395" spans="3:6" x14ac:dyDescent="0.25">
      <c r="C1395" s="2" t="s">
        <v>13238</v>
      </c>
      <c r="D1395" s="2" t="s">
        <v>342</v>
      </c>
      <c r="E1395" s="2">
        <v>156</v>
      </c>
      <c r="F1395" s="2">
        <v>3170.22</v>
      </c>
    </row>
    <row r="1396" spans="3:6" x14ac:dyDescent="0.25">
      <c r="C1396" s="2" t="s">
        <v>13239</v>
      </c>
      <c r="D1396" s="2" t="s">
        <v>342</v>
      </c>
      <c r="E1396" s="2">
        <v>156</v>
      </c>
      <c r="F1396" s="2">
        <v>3141.399</v>
      </c>
    </row>
    <row r="1398" spans="2:6" x14ac:dyDescent="0.25">
      <c r="B1398" s="2" t="s">
        <v>2077</v>
      </c>
      <c r="C1398" s="2" t="s">
        <v>13240</v>
      </c>
      <c r="D1398" s="2" t="s">
        <v>214</v>
      </c>
      <c r="E1398" s="2">
        <v>156</v>
      </c>
      <c r="F1398" s="2">
        <v>2590</v>
      </c>
    </row>
    <row r="1399" spans="3:6" x14ac:dyDescent="0.25">
      <c r="C1399" s="2" t="s">
        <v>13241</v>
      </c>
      <c r="D1399" s="2" t="s">
        <v>214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1434</v>
      </c>
      <c r="C1401" s="2" t="s">
        <v>13242</v>
      </c>
      <c r="D1401" s="2" t="s">
        <v>122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13243</v>
      </c>
      <c r="D1402" s="2" t="s">
        <v>122</v>
      </c>
      <c r="E1402" s="2">
        <v>121</v>
      </c>
      <c r="F1402" s="2">
        <v>2551.42</v>
      </c>
    </row>
    <row r="1403" spans="3:6" x14ac:dyDescent="0.25">
      <c r="C1403" s="2" t="s">
        <v>13244</v>
      </c>
      <c r="D1403" s="2" t="s">
        <v>122</v>
      </c>
      <c r="E1403" s="2">
        <v>121</v>
      </c>
      <c r="F1403" s="2">
        <v>2498.37</v>
      </c>
    </row>
    <row r="1404" spans="3:6" x14ac:dyDescent="0.25">
      <c r="C1404" s="2" t="s">
        <v>13245</v>
      </c>
      <c r="D1404" s="2" t="s">
        <v>122</v>
      </c>
      <c r="E1404" s="2">
        <v>141</v>
      </c>
      <c r="F1404" s="2">
        <v>2948.96</v>
      </c>
    </row>
    <row r="1405" spans="3:6" x14ac:dyDescent="0.25">
      <c r="C1405" s="2" t="s">
        <v>13246</v>
      </c>
      <c r="D1405" s="2" t="s">
        <v>122</v>
      </c>
      <c r="E1405" s="2">
        <v>62</v>
      </c>
      <c r="F1405" s="2">
        <v>1277.68</v>
      </c>
    </row>
    <row r="1406" spans="3:6" x14ac:dyDescent="0.25">
      <c r="C1406" s="2" t="s">
        <v>13247</v>
      </c>
      <c r="D1406" s="2" t="s">
        <v>122</v>
      </c>
      <c r="E1406" s="2">
        <v>25</v>
      </c>
      <c r="F1406" s="2">
        <v>517.86</v>
      </c>
    </row>
    <row r="1407" spans="3:6" x14ac:dyDescent="0.25">
      <c r="C1407" s="2" t="s">
        <v>13248</v>
      </c>
      <c r="D1407" s="2" t="s">
        <v>122</v>
      </c>
      <c r="E1407" s="2">
        <v>54</v>
      </c>
      <c r="F1407" s="2">
        <v>1116.61</v>
      </c>
    </row>
    <row r="1408" spans="3:6" x14ac:dyDescent="0.25">
      <c r="C1408" s="2" t="s">
        <v>13249</v>
      </c>
      <c r="D1408" s="2" t="s">
        <v>122</v>
      </c>
      <c r="E1408" s="2">
        <v>141</v>
      </c>
      <c r="F1408" s="2">
        <v>2928.87</v>
      </c>
    </row>
    <row r="1409" spans="3:6" x14ac:dyDescent="0.25">
      <c r="C1409" s="2" t="s">
        <v>13250</v>
      </c>
      <c r="D1409" s="2" t="s">
        <v>122</v>
      </c>
      <c r="E1409" s="2">
        <v>141</v>
      </c>
      <c r="F1409" s="2">
        <v>2635.51</v>
      </c>
    </row>
    <row r="1410" spans="3:6" x14ac:dyDescent="0.25">
      <c r="C1410" s="2" t="s">
        <v>13251</v>
      </c>
      <c r="D1410" s="2" t="s">
        <v>122</v>
      </c>
      <c r="E1410" s="2">
        <v>82</v>
      </c>
      <c r="F1410" s="2">
        <v>1638.05</v>
      </c>
    </row>
    <row r="1411" spans="3:6" x14ac:dyDescent="0.25">
      <c r="C1411" s="2" t="s">
        <v>13252</v>
      </c>
      <c r="D1411" s="2" t="s">
        <v>122</v>
      </c>
      <c r="E1411" s="2">
        <v>60</v>
      </c>
      <c r="F1411" s="2">
        <v>1114.77</v>
      </c>
    </row>
    <row r="1412" spans="3:6" x14ac:dyDescent="0.25">
      <c r="C1412" s="2" t="s">
        <v>13253</v>
      </c>
      <c r="D1412" s="2" t="s">
        <v>122</v>
      </c>
      <c r="E1412" s="2">
        <v>69</v>
      </c>
      <c r="F1412" s="2">
        <v>1269.83</v>
      </c>
    </row>
    <row r="1413" spans="3:6" x14ac:dyDescent="0.25">
      <c r="C1413" s="2" t="s">
        <v>13254</v>
      </c>
      <c r="D1413" s="2" t="s">
        <v>122</v>
      </c>
      <c r="E1413" s="2">
        <v>32</v>
      </c>
      <c r="F1413" s="2">
        <v>575.8</v>
      </c>
    </row>
    <row r="1414" spans="3:6" x14ac:dyDescent="0.25">
      <c r="C1414" s="2" t="s">
        <v>13255</v>
      </c>
      <c r="D1414" s="2" t="s">
        <v>122</v>
      </c>
      <c r="E1414" s="2">
        <v>101</v>
      </c>
      <c r="F1414" s="2">
        <v>2130.01</v>
      </c>
    </row>
    <row r="1415" spans="3:6" x14ac:dyDescent="0.25">
      <c r="C1415" s="2" t="s">
        <v>13256</v>
      </c>
      <c r="D1415" s="2" t="s">
        <v>122</v>
      </c>
      <c r="E1415" s="2">
        <v>28</v>
      </c>
      <c r="F1415" s="2">
        <v>521.56</v>
      </c>
    </row>
    <row r="1416" spans="3:6" x14ac:dyDescent="0.25">
      <c r="C1416" s="2" t="s">
        <v>13257</v>
      </c>
      <c r="D1416" s="2" t="s">
        <v>122</v>
      </c>
      <c r="E1416" s="2">
        <v>46</v>
      </c>
      <c r="F1416" s="2">
        <v>916.78</v>
      </c>
    </row>
    <row r="1417" spans="3:6" x14ac:dyDescent="0.25">
      <c r="C1417" s="2" t="s">
        <v>13258</v>
      </c>
      <c r="D1417" s="2" t="s">
        <v>122</v>
      </c>
      <c r="E1417" s="2">
        <v>39</v>
      </c>
      <c r="F1417" s="2">
        <v>797.7</v>
      </c>
    </row>
    <row r="1418" spans="3:6" x14ac:dyDescent="0.25">
      <c r="C1418" s="2" t="s">
        <v>13259</v>
      </c>
      <c r="D1418" s="2" t="s">
        <v>122</v>
      </c>
      <c r="E1418" s="2">
        <v>28</v>
      </c>
      <c r="F1418" s="2">
        <v>539.098</v>
      </c>
    </row>
    <row r="1419" spans="3:6" x14ac:dyDescent="0.25">
      <c r="C1419" s="2" t="s">
        <v>13260</v>
      </c>
      <c r="D1419" s="2" t="s">
        <v>122</v>
      </c>
      <c r="E1419" s="2">
        <v>141</v>
      </c>
      <c r="F1419" s="2">
        <v>2965.58</v>
      </c>
    </row>
    <row r="1420" spans="3:6" x14ac:dyDescent="0.25">
      <c r="C1420" s="2" t="s">
        <v>13261</v>
      </c>
      <c r="D1420" s="2" t="s">
        <v>122</v>
      </c>
      <c r="E1420" s="2">
        <v>141</v>
      </c>
      <c r="F1420" s="2">
        <v>2914.53</v>
      </c>
    </row>
    <row r="1421" spans="3:6" x14ac:dyDescent="0.25">
      <c r="C1421" s="2" t="s">
        <v>13262</v>
      </c>
      <c r="D1421" s="2" t="s">
        <v>122</v>
      </c>
      <c r="E1421" s="2">
        <v>101</v>
      </c>
      <c r="F1421" s="2">
        <v>2141.16</v>
      </c>
    </row>
    <row r="1422" spans="3:6" x14ac:dyDescent="0.25">
      <c r="C1422" s="2" t="s">
        <v>13263</v>
      </c>
      <c r="D1422" s="2" t="s">
        <v>122</v>
      </c>
      <c r="E1422" s="2">
        <v>101</v>
      </c>
      <c r="F1422" s="2">
        <v>2096.1</v>
      </c>
    </row>
    <row r="1423" spans="3:6" x14ac:dyDescent="0.25">
      <c r="C1423" s="2" t="s">
        <v>13264</v>
      </c>
      <c r="D1423" s="2" t="s">
        <v>122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1289</v>
      </c>
      <c r="C1425" s="2" t="s">
        <v>13265</v>
      </c>
      <c r="D1425" s="2" t="s">
        <v>9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13266</v>
      </c>
      <c r="D1426" s="2" t="s">
        <v>9</v>
      </c>
      <c r="E1426" s="2">
        <v>102</v>
      </c>
      <c r="F1426" s="2">
        <v>1910.109</v>
      </c>
    </row>
    <row r="1427" spans="3:6" x14ac:dyDescent="0.25">
      <c r="C1427" s="2" t="s">
        <v>13267</v>
      </c>
      <c r="D1427" s="2" t="s">
        <v>9</v>
      </c>
      <c r="E1427" s="2">
        <v>141</v>
      </c>
      <c r="F1427" s="2">
        <v>2669.319</v>
      </c>
    </row>
    <row r="1428" spans="3:6" x14ac:dyDescent="0.25">
      <c r="C1428" s="2" t="s">
        <v>13268</v>
      </c>
      <c r="D1428" s="2" t="s">
        <v>9</v>
      </c>
      <c r="E1428" s="2">
        <v>123</v>
      </c>
      <c r="F1428" s="2">
        <v>2113.709</v>
      </c>
    </row>
    <row r="1429" spans="3:6" x14ac:dyDescent="0.25">
      <c r="C1429" s="2" t="s">
        <v>13269</v>
      </c>
      <c r="D1429" s="2" t="s">
        <v>9</v>
      </c>
      <c r="E1429" s="2">
        <v>102</v>
      </c>
      <c r="F1429" s="2">
        <v>1871.869</v>
      </c>
    </row>
    <row r="1430" spans="3:6" x14ac:dyDescent="0.25">
      <c r="C1430" s="2" t="s">
        <v>13270</v>
      </c>
      <c r="D1430" s="2" t="s">
        <v>9</v>
      </c>
      <c r="E1430" s="2">
        <v>246</v>
      </c>
      <c r="F1430" s="2">
        <v>5052.76</v>
      </c>
    </row>
    <row r="1431" spans="3:6" x14ac:dyDescent="0.25">
      <c r="C1431" s="2" t="s">
        <v>13271</v>
      </c>
      <c r="D1431" s="2" t="s">
        <v>9</v>
      </c>
      <c r="E1431" s="2">
        <v>134</v>
      </c>
      <c r="F1431" s="2">
        <v>2716.85</v>
      </c>
    </row>
    <row r="1432" spans="3:6" x14ac:dyDescent="0.25">
      <c r="C1432" s="2" t="s">
        <v>13272</v>
      </c>
      <c r="D1432" s="2" t="s">
        <v>9</v>
      </c>
      <c r="E1432" s="2">
        <v>141</v>
      </c>
      <c r="F1432" s="2">
        <v>2978.47</v>
      </c>
    </row>
    <row r="1433" spans="3:6" x14ac:dyDescent="0.25">
      <c r="C1433" s="2" t="s">
        <v>13273</v>
      </c>
      <c r="D1433" s="2" t="s">
        <v>9</v>
      </c>
      <c r="E1433" s="2">
        <v>204</v>
      </c>
      <c r="F1433" s="2">
        <v>4128.7</v>
      </c>
    </row>
    <row r="1434" spans="3:6" x14ac:dyDescent="0.25">
      <c r="C1434" s="2" t="s">
        <v>13274</v>
      </c>
      <c r="D1434" s="2" t="s">
        <v>9</v>
      </c>
      <c r="E1434" s="2">
        <v>141</v>
      </c>
      <c r="F1434" s="2">
        <v>3050.11</v>
      </c>
    </row>
    <row r="1435" spans="3:6" x14ac:dyDescent="0.25">
      <c r="C1435" s="2" t="s">
        <v>13275</v>
      </c>
      <c r="D1435" s="2" t="s">
        <v>9</v>
      </c>
      <c r="E1435" s="2">
        <v>57</v>
      </c>
      <c r="F1435" s="2">
        <v>1098.71</v>
      </c>
    </row>
    <row r="1436" spans="3:6" x14ac:dyDescent="0.25">
      <c r="C1436" s="2" t="s">
        <v>13276</v>
      </c>
      <c r="D1436" s="2" t="s">
        <v>9</v>
      </c>
      <c r="E1436" s="2">
        <v>84</v>
      </c>
      <c r="F1436" s="2">
        <v>1584.399</v>
      </c>
    </row>
    <row r="1437" spans="3:6" x14ac:dyDescent="0.25">
      <c r="C1437" s="2" t="s">
        <v>13277</v>
      </c>
      <c r="D1437" s="2" t="s">
        <v>9</v>
      </c>
      <c r="E1437" s="2">
        <v>141</v>
      </c>
      <c r="F1437" s="2">
        <v>2901.04</v>
      </c>
    </row>
    <row r="1438" spans="3:6" x14ac:dyDescent="0.25">
      <c r="C1438" s="2" t="s">
        <v>13278</v>
      </c>
      <c r="D1438" s="2" t="s">
        <v>9</v>
      </c>
      <c r="E1438" s="2">
        <v>141</v>
      </c>
      <c r="F1438" s="2">
        <v>2962.24</v>
      </c>
    </row>
    <row r="1439" spans="3:6" x14ac:dyDescent="0.25">
      <c r="C1439" s="2" t="s">
        <v>13279</v>
      </c>
      <c r="D1439" s="2" t="s">
        <v>9</v>
      </c>
      <c r="E1439" s="2">
        <v>123</v>
      </c>
      <c r="F1439" s="2">
        <v>2509.78</v>
      </c>
    </row>
    <row r="1440" spans="3:6" x14ac:dyDescent="0.25">
      <c r="C1440" s="2" t="s">
        <v>13280</v>
      </c>
      <c r="D1440" s="2" t="s">
        <v>9</v>
      </c>
      <c r="E1440" s="2">
        <v>102</v>
      </c>
      <c r="F1440" s="2">
        <v>2139.34</v>
      </c>
    </row>
    <row r="1441" spans="3:6" x14ac:dyDescent="0.25">
      <c r="C1441" s="2" t="s">
        <v>13281</v>
      </c>
      <c r="D1441" s="2" t="s">
        <v>9</v>
      </c>
      <c r="E1441" s="2">
        <v>141</v>
      </c>
      <c r="F1441" s="2">
        <v>2874.999</v>
      </c>
    </row>
    <row r="1442" spans="3:6" x14ac:dyDescent="0.25">
      <c r="C1442" s="2" t="s">
        <v>13282</v>
      </c>
      <c r="D1442" s="2" t="s">
        <v>9</v>
      </c>
      <c r="E1442" s="2">
        <v>102</v>
      </c>
      <c r="F1442" s="2">
        <v>2027.16</v>
      </c>
    </row>
    <row r="1443" spans="3:6" x14ac:dyDescent="0.25">
      <c r="C1443" s="2" t="s">
        <v>13283</v>
      </c>
      <c r="D1443" s="2" t="s">
        <v>9</v>
      </c>
      <c r="E1443" s="2">
        <v>70</v>
      </c>
      <c r="F1443" s="2">
        <v>1260.99</v>
      </c>
    </row>
    <row r="1444" spans="3:6" x14ac:dyDescent="0.25">
      <c r="C1444" s="2" t="s">
        <v>13284</v>
      </c>
      <c r="D1444" s="2" t="s">
        <v>9</v>
      </c>
      <c r="E1444" s="2">
        <v>32</v>
      </c>
      <c r="F1444" s="2">
        <v>545.419</v>
      </c>
    </row>
    <row r="1445" spans="3:6" x14ac:dyDescent="0.25">
      <c r="C1445" s="2" t="s">
        <v>13285</v>
      </c>
      <c r="D1445" s="2" t="s">
        <v>9</v>
      </c>
      <c r="E1445" s="2">
        <v>141</v>
      </c>
      <c r="F1445" s="2">
        <v>2827.13</v>
      </c>
    </row>
    <row r="1446" spans="3:6" x14ac:dyDescent="0.25">
      <c r="C1446" s="2" t="s">
        <v>13286</v>
      </c>
      <c r="D1446" s="2" t="s">
        <v>9</v>
      </c>
      <c r="E1446" s="2">
        <v>143</v>
      </c>
      <c r="F1446" s="2">
        <v>2843.23</v>
      </c>
    </row>
    <row r="1447" spans="3:6" x14ac:dyDescent="0.25">
      <c r="C1447" s="2" t="s">
        <v>13287</v>
      </c>
      <c r="D1447" s="2" t="s">
        <v>9</v>
      </c>
      <c r="E1447" s="2">
        <v>141</v>
      </c>
      <c r="F1447" s="2">
        <v>3009.369</v>
      </c>
    </row>
    <row r="1448" spans="3:6" x14ac:dyDescent="0.25">
      <c r="C1448" s="2" t="s">
        <v>13288</v>
      </c>
      <c r="D1448" s="2" t="s">
        <v>9</v>
      </c>
      <c r="E1448" s="2">
        <v>141</v>
      </c>
      <c r="F1448" s="2">
        <v>2941.37</v>
      </c>
    </row>
    <row r="1449" spans="3:6" x14ac:dyDescent="0.25">
      <c r="C1449" s="2" t="s">
        <v>13289</v>
      </c>
      <c r="D1449" s="2" t="s">
        <v>9</v>
      </c>
      <c r="E1449" s="2">
        <v>141</v>
      </c>
      <c r="F1449" s="2">
        <v>2961.68</v>
      </c>
    </row>
    <row r="1450" spans="3:6" x14ac:dyDescent="0.25">
      <c r="C1450" s="2" t="s">
        <v>13290</v>
      </c>
      <c r="D1450" s="2" t="s">
        <v>9</v>
      </c>
      <c r="E1450" s="2">
        <v>142</v>
      </c>
      <c r="F1450" s="2">
        <v>2917.9</v>
      </c>
    </row>
    <row r="1451" spans="3:6" x14ac:dyDescent="0.25">
      <c r="C1451" s="2" t="s">
        <v>13291</v>
      </c>
      <c r="D1451" s="2" t="s">
        <v>9</v>
      </c>
      <c r="E1451" s="2">
        <v>141</v>
      </c>
      <c r="F1451" s="2">
        <v>2795.128</v>
      </c>
    </row>
    <row r="1452" spans="3:6" x14ac:dyDescent="0.25">
      <c r="C1452" s="2" t="s">
        <v>13292</v>
      </c>
      <c r="D1452" s="2" t="s">
        <v>9</v>
      </c>
      <c r="E1452" s="2">
        <v>175</v>
      </c>
      <c r="F1452" s="2">
        <v>3102.579</v>
      </c>
    </row>
    <row r="1453" spans="3:6" x14ac:dyDescent="0.25">
      <c r="C1453" s="2" t="s">
        <v>13293</v>
      </c>
      <c r="D1453" s="2" t="s">
        <v>9</v>
      </c>
      <c r="E1453" s="2">
        <v>25</v>
      </c>
      <c r="F1453" s="2">
        <v>483.04</v>
      </c>
    </row>
    <row r="1454" spans="3:6" x14ac:dyDescent="0.25">
      <c r="C1454" s="2" t="s">
        <v>13294</v>
      </c>
      <c r="D1454" s="2" t="s">
        <v>9</v>
      </c>
      <c r="E1454" s="2">
        <v>82</v>
      </c>
      <c r="F1454" s="2">
        <v>1576.77</v>
      </c>
    </row>
    <row r="1455" spans="3:6" x14ac:dyDescent="0.25">
      <c r="C1455" s="2" t="s">
        <v>13295</v>
      </c>
      <c r="D1455" s="2" t="s">
        <v>9</v>
      </c>
      <c r="E1455" s="2">
        <v>44</v>
      </c>
      <c r="F1455" s="2">
        <v>893.9</v>
      </c>
    </row>
    <row r="1456" spans="3:6" x14ac:dyDescent="0.25">
      <c r="C1456" s="2" t="s">
        <v>13296</v>
      </c>
      <c r="D1456" s="2" t="s">
        <v>9</v>
      </c>
      <c r="E1456" s="2">
        <v>32</v>
      </c>
      <c r="F1456" s="2">
        <v>562.92</v>
      </c>
    </row>
    <row r="1457" spans="3:6" x14ac:dyDescent="0.25">
      <c r="C1457" s="2" t="s">
        <v>13297</v>
      </c>
      <c r="D1457" s="2" t="s">
        <v>9</v>
      </c>
      <c r="E1457" s="2">
        <v>70</v>
      </c>
      <c r="F1457" s="2">
        <v>1433.09</v>
      </c>
    </row>
    <row r="1458" spans="3:6" x14ac:dyDescent="0.25">
      <c r="C1458" s="2" t="s">
        <v>13298</v>
      </c>
      <c r="D1458" s="2" t="s">
        <v>9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183</v>
      </c>
      <c r="C1460" s="2" t="s">
        <v>13299</v>
      </c>
      <c r="D1460" s="2" t="s">
        <v>42</v>
      </c>
      <c r="E1460" s="2">
        <v>36</v>
      </c>
      <c r="F1460" s="2">
        <v>798.07</v>
      </c>
    </row>
    <row r="1461" spans="3:6" x14ac:dyDescent="0.25">
      <c r="C1461" s="2" t="s">
        <v>13300</v>
      </c>
      <c r="D1461" s="2" t="s">
        <v>42</v>
      </c>
      <c r="E1461" s="2">
        <v>48</v>
      </c>
      <c r="F1461" s="2">
        <v>1001.359</v>
      </c>
    </row>
    <row r="1462" spans="3:6" x14ac:dyDescent="0.25">
      <c r="C1462" s="2" t="s">
        <v>13301</v>
      </c>
      <c r="D1462" s="2" t="s">
        <v>42</v>
      </c>
      <c r="E1462" s="2">
        <v>30</v>
      </c>
      <c r="F1462" s="2">
        <v>146.96</v>
      </c>
    </row>
    <row r="1463" spans="3:6" x14ac:dyDescent="0.25">
      <c r="C1463" s="2" t="s">
        <v>13302</v>
      </c>
      <c r="D1463" s="2" t="s">
        <v>42</v>
      </c>
      <c r="E1463" s="2">
        <v>13</v>
      </c>
      <c r="F1463" s="2">
        <v>236.2</v>
      </c>
    </row>
    <row r="1464" spans="3:6" x14ac:dyDescent="0.25">
      <c r="C1464" s="2" t="s">
        <v>13303</v>
      </c>
      <c r="D1464" s="2" t="s">
        <v>42</v>
      </c>
      <c r="E1464" s="2">
        <v>23</v>
      </c>
      <c r="F1464" s="2">
        <v>356.428</v>
      </c>
    </row>
    <row r="1465" spans="3:6" x14ac:dyDescent="0.25">
      <c r="C1465" s="2" t="s">
        <v>13304</v>
      </c>
      <c r="D1465" s="2" t="s">
        <v>42</v>
      </c>
      <c r="E1465" s="2">
        <v>27</v>
      </c>
      <c r="F1465" s="2">
        <v>556.75</v>
      </c>
    </row>
    <row r="1466" spans="3:6" x14ac:dyDescent="0.25">
      <c r="C1466" s="2" t="s">
        <v>13305</v>
      </c>
      <c r="D1466" s="2" t="s">
        <v>42</v>
      </c>
      <c r="E1466" s="2">
        <v>43</v>
      </c>
      <c r="F1466" s="2">
        <v>936.27</v>
      </c>
    </row>
    <row r="1467" spans="3:6" x14ac:dyDescent="0.25">
      <c r="C1467" s="2" t="s">
        <v>13306</v>
      </c>
      <c r="D1467" s="2" t="s">
        <v>42</v>
      </c>
      <c r="E1467" s="2">
        <v>110</v>
      </c>
      <c r="F1467" s="2">
        <v>2262.61</v>
      </c>
    </row>
    <row r="1468" spans="3:6" x14ac:dyDescent="0.25">
      <c r="C1468" s="2" t="s">
        <v>13307</v>
      </c>
      <c r="D1468" s="2" t="s">
        <v>42</v>
      </c>
      <c r="E1468" s="2">
        <v>123</v>
      </c>
      <c r="F1468" s="2">
        <v>2551.88</v>
      </c>
    </row>
    <row r="1469" spans="3:6" x14ac:dyDescent="0.25">
      <c r="C1469" s="2" t="s">
        <v>13308</v>
      </c>
      <c r="D1469" s="2" t="s">
        <v>42</v>
      </c>
      <c r="E1469" s="2">
        <v>123</v>
      </c>
      <c r="F1469" s="2">
        <v>2529.79</v>
      </c>
    </row>
    <row r="1470" spans="3:6" x14ac:dyDescent="0.25">
      <c r="C1470" s="2" t="s">
        <v>13309</v>
      </c>
      <c r="D1470" s="2" t="s">
        <v>42</v>
      </c>
      <c r="E1470" s="2">
        <v>123</v>
      </c>
      <c r="F1470" s="2">
        <v>2695.43</v>
      </c>
    </row>
    <row r="1471" spans="3:6" x14ac:dyDescent="0.25">
      <c r="C1471" s="2" t="s">
        <v>13310</v>
      </c>
      <c r="D1471" s="2" t="s">
        <v>42</v>
      </c>
      <c r="E1471" s="2">
        <v>85</v>
      </c>
      <c r="F1471" s="2">
        <v>1901.579</v>
      </c>
    </row>
    <row r="1472" spans="3:6" x14ac:dyDescent="0.25">
      <c r="C1472" s="2" t="s">
        <v>13311</v>
      </c>
      <c r="D1472" s="2" t="s">
        <v>42</v>
      </c>
      <c r="E1472" s="2">
        <v>141</v>
      </c>
      <c r="F1472" s="2">
        <v>2941.4</v>
      </c>
    </row>
    <row r="1473" spans="3:6" x14ac:dyDescent="0.25">
      <c r="C1473" s="2" t="s">
        <v>13312</v>
      </c>
      <c r="D1473" s="2" t="s">
        <v>42</v>
      </c>
      <c r="E1473" s="2">
        <v>95</v>
      </c>
      <c r="F1473" s="2">
        <v>1968.18</v>
      </c>
    </row>
    <row r="1474" spans="3:6" x14ac:dyDescent="0.25">
      <c r="C1474" s="2" t="s">
        <v>13313</v>
      </c>
      <c r="D1474" s="2" t="s">
        <v>42</v>
      </c>
      <c r="E1474" s="2">
        <v>121</v>
      </c>
      <c r="F1474" s="2">
        <v>2477.84</v>
      </c>
    </row>
    <row r="1475" spans="3:6" x14ac:dyDescent="0.25">
      <c r="C1475" s="2" t="s">
        <v>13314</v>
      </c>
      <c r="D1475" s="2" t="s">
        <v>42</v>
      </c>
      <c r="E1475" s="2">
        <v>114</v>
      </c>
      <c r="F1475" s="2">
        <v>2271.56</v>
      </c>
    </row>
    <row r="1476" spans="3:6" x14ac:dyDescent="0.25">
      <c r="C1476" s="2" t="s">
        <v>13315</v>
      </c>
      <c r="D1476" s="2" t="s">
        <v>42</v>
      </c>
      <c r="E1476" s="2">
        <v>141</v>
      </c>
      <c r="F1476" s="2">
        <v>2952.21</v>
      </c>
    </row>
    <row r="1477" spans="3:6" x14ac:dyDescent="0.25">
      <c r="C1477" s="2" t="s">
        <v>13316</v>
      </c>
      <c r="D1477" s="2" t="s">
        <v>42</v>
      </c>
      <c r="E1477" s="2">
        <v>142</v>
      </c>
      <c r="F1477" s="2">
        <v>2045.075</v>
      </c>
    </row>
    <row r="1478" spans="3:6" x14ac:dyDescent="0.25">
      <c r="C1478" s="2" t="s">
        <v>13317</v>
      </c>
      <c r="D1478" s="2" t="s">
        <v>42</v>
      </c>
      <c r="E1478" s="2">
        <v>141</v>
      </c>
      <c r="F1478" s="2">
        <v>2847.459</v>
      </c>
    </row>
    <row r="1479" spans="3:6" x14ac:dyDescent="0.25">
      <c r="C1479" s="2" t="s">
        <v>13318</v>
      </c>
      <c r="D1479" s="2" t="s">
        <v>42</v>
      </c>
      <c r="E1479" s="2">
        <v>83</v>
      </c>
      <c r="F1479" s="2">
        <v>1677.049</v>
      </c>
    </row>
    <row r="1480" spans="3:6" x14ac:dyDescent="0.25">
      <c r="C1480" s="2" t="s">
        <v>13319</v>
      </c>
      <c r="D1480" s="2" t="s">
        <v>42</v>
      </c>
      <c r="E1480" s="2">
        <v>132</v>
      </c>
      <c r="F1480" s="2">
        <v>1961.483</v>
      </c>
    </row>
    <row r="1481" spans="3:6" x14ac:dyDescent="0.25">
      <c r="C1481" s="2" t="s">
        <v>13320</v>
      </c>
      <c r="D1481" s="2" t="s">
        <v>42</v>
      </c>
      <c r="E1481" s="2">
        <v>141</v>
      </c>
      <c r="F1481" s="2">
        <v>2902.114</v>
      </c>
    </row>
    <row r="1482" spans="3:6" x14ac:dyDescent="0.25">
      <c r="C1482" s="2" t="s">
        <v>13321</v>
      </c>
      <c r="D1482" s="2" t="s">
        <v>42</v>
      </c>
      <c r="E1482" s="2">
        <v>141</v>
      </c>
      <c r="F1482" s="2">
        <v>2947.869</v>
      </c>
    </row>
    <row r="1483" spans="3:6" x14ac:dyDescent="0.25">
      <c r="C1483" s="2" t="s">
        <v>13322</v>
      </c>
      <c r="D1483" s="2" t="s">
        <v>42</v>
      </c>
      <c r="E1483" s="2">
        <v>95</v>
      </c>
      <c r="F1483" s="2">
        <v>1556.203</v>
      </c>
    </row>
    <row r="1484" spans="3:6" x14ac:dyDescent="0.25">
      <c r="C1484" s="2" t="s">
        <v>13323</v>
      </c>
      <c r="D1484" s="2" t="s">
        <v>42</v>
      </c>
      <c r="E1484" s="2">
        <v>100</v>
      </c>
      <c r="F1484" s="2">
        <v>2016.53</v>
      </c>
    </row>
    <row r="1485" spans="3:6" x14ac:dyDescent="0.25">
      <c r="C1485" s="2" t="s">
        <v>13324</v>
      </c>
      <c r="D1485" s="2" t="s">
        <v>42</v>
      </c>
      <c r="E1485" s="2">
        <v>47</v>
      </c>
      <c r="F1485" s="2">
        <v>963.199</v>
      </c>
    </row>
    <row r="1486" spans="3:6" x14ac:dyDescent="0.25">
      <c r="C1486" s="2" t="s">
        <v>13325</v>
      </c>
      <c r="D1486" s="2" t="s">
        <v>42</v>
      </c>
      <c r="E1486" s="2">
        <v>51</v>
      </c>
      <c r="F1486" s="2">
        <v>1017.173</v>
      </c>
    </row>
    <row r="1487" spans="3:6" x14ac:dyDescent="0.25">
      <c r="C1487" s="2" t="s">
        <v>13326</v>
      </c>
      <c r="D1487" s="2" t="s">
        <v>42</v>
      </c>
      <c r="E1487" s="2">
        <v>44</v>
      </c>
      <c r="F1487" s="2">
        <v>926.54</v>
      </c>
    </row>
    <row r="1488" spans="3:6" x14ac:dyDescent="0.25">
      <c r="C1488" s="2" t="s">
        <v>13327</v>
      </c>
      <c r="D1488" s="2" t="s">
        <v>42</v>
      </c>
      <c r="E1488" s="2">
        <v>57</v>
      </c>
      <c r="F1488" s="2">
        <v>1120.09</v>
      </c>
    </row>
    <row r="1489" spans="3:6" x14ac:dyDescent="0.25">
      <c r="C1489" s="2" t="s">
        <v>13328</v>
      </c>
      <c r="D1489" s="2" t="s">
        <v>42</v>
      </c>
      <c r="E1489" s="2">
        <v>10</v>
      </c>
      <c r="F1489" s="2">
        <v>204.77</v>
      </c>
    </row>
    <row r="1490" spans="3:6" x14ac:dyDescent="0.25">
      <c r="C1490" s="2" t="s">
        <v>13329</v>
      </c>
      <c r="D1490" s="2" t="s">
        <v>42</v>
      </c>
      <c r="E1490" s="2">
        <v>65</v>
      </c>
      <c r="F1490" s="2">
        <v>1343.53</v>
      </c>
    </row>
    <row r="1491" spans="3:6" x14ac:dyDescent="0.25">
      <c r="C1491" s="2" t="s">
        <v>13330</v>
      </c>
      <c r="D1491" s="2" t="s">
        <v>42</v>
      </c>
      <c r="E1491" s="2">
        <v>75</v>
      </c>
      <c r="F1491" s="2">
        <v>378.3</v>
      </c>
    </row>
    <row r="1492" spans="3:6" x14ac:dyDescent="0.25">
      <c r="C1492" s="2" t="s">
        <v>13331</v>
      </c>
      <c r="D1492" s="2" t="s">
        <v>42</v>
      </c>
      <c r="E1492" s="2">
        <v>75</v>
      </c>
      <c r="F1492" s="2">
        <v>391.73</v>
      </c>
    </row>
    <row r="1493" spans="3:6" x14ac:dyDescent="0.25">
      <c r="C1493" s="2" t="s">
        <v>13332</v>
      </c>
      <c r="D1493" s="2" t="s">
        <v>42</v>
      </c>
      <c r="E1493" s="2">
        <v>20</v>
      </c>
      <c r="F1493" s="2">
        <v>104.51</v>
      </c>
    </row>
    <row r="1494" spans="3:6" x14ac:dyDescent="0.25">
      <c r="C1494" s="2" t="s">
        <v>13333</v>
      </c>
      <c r="D1494" s="2" t="s">
        <v>42</v>
      </c>
      <c r="E1494" s="2">
        <v>58</v>
      </c>
      <c r="F1494" s="2">
        <v>1143.75</v>
      </c>
    </row>
    <row r="1495" spans="3:6" x14ac:dyDescent="0.25">
      <c r="C1495" s="2" t="s">
        <v>13334</v>
      </c>
      <c r="D1495" s="2" t="s">
        <v>42</v>
      </c>
      <c r="E1495" s="2">
        <v>21</v>
      </c>
      <c r="F1495" s="2">
        <v>394.85</v>
      </c>
    </row>
    <row r="1496" spans="3:6" x14ac:dyDescent="0.25">
      <c r="C1496" s="2" t="s">
        <v>13335</v>
      </c>
      <c r="D1496" s="2" t="s">
        <v>42</v>
      </c>
      <c r="E1496" s="2">
        <v>32</v>
      </c>
      <c r="F1496" s="2">
        <v>591.54</v>
      </c>
    </row>
    <row r="1497" spans="3:6" x14ac:dyDescent="0.25">
      <c r="C1497" s="2" t="s">
        <v>13336</v>
      </c>
      <c r="D1497" s="2" t="s">
        <v>42</v>
      </c>
      <c r="E1497" s="2">
        <v>27</v>
      </c>
      <c r="F1497" s="2">
        <v>551.799</v>
      </c>
    </row>
    <row r="1498" spans="3:6" x14ac:dyDescent="0.25">
      <c r="C1498" s="2" t="s">
        <v>13337</v>
      </c>
      <c r="D1498" s="2" t="s">
        <v>42</v>
      </c>
      <c r="E1498" s="2">
        <v>59</v>
      </c>
      <c r="F1498" s="2">
        <v>808.728</v>
      </c>
    </row>
    <row r="1499" spans="3:6" x14ac:dyDescent="0.25">
      <c r="C1499" s="2" t="s">
        <v>13338</v>
      </c>
      <c r="D1499" s="2" t="s">
        <v>42</v>
      </c>
      <c r="E1499" s="2">
        <v>20</v>
      </c>
      <c r="F1499" s="2">
        <v>400.32</v>
      </c>
    </row>
    <row r="1500" spans="3:6" x14ac:dyDescent="0.25">
      <c r="C1500" s="2" t="s">
        <v>13339</v>
      </c>
      <c r="D1500" s="2" t="s">
        <v>42</v>
      </c>
      <c r="E1500" s="2">
        <v>141</v>
      </c>
      <c r="F1500" s="2">
        <v>2903.51</v>
      </c>
    </row>
    <row r="1501" spans="3:6" x14ac:dyDescent="0.25">
      <c r="C1501" s="2" t="s">
        <v>13340</v>
      </c>
      <c r="D1501" s="2" t="s">
        <v>42</v>
      </c>
      <c r="E1501" s="2">
        <v>141</v>
      </c>
      <c r="F1501" s="2">
        <v>2903.459</v>
      </c>
    </row>
    <row r="1502" spans="3:6" x14ac:dyDescent="0.25">
      <c r="C1502" s="2" t="s">
        <v>13341</v>
      </c>
      <c r="D1502" s="2" t="s">
        <v>42</v>
      </c>
      <c r="E1502" s="2">
        <v>102</v>
      </c>
      <c r="F1502" s="2">
        <v>2074.63</v>
      </c>
    </row>
    <row r="1503" spans="3:6" x14ac:dyDescent="0.25">
      <c r="C1503" s="2" t="s">
        <v>13342</v>
      </c>
      <c r="D1503" s="2" t="s">
        <v>42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10</v>
      </c>
      <c r="C1505" s="2" t="s">
        <v>13343</v>
      </c>
      <c r="D1505" s="2" t="s">
        <v>12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13344</v>
      </c>
      <c r="D1506" s="2" t="s">
        <v>12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1286</v>
      </c>
      <c r="C1509" s="2" t="s">
        <v>13345</v>
      </c>
      <c r="D1509" s="2" t="s">
        <v>1288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212</v>
      </c>
      <c r="C1511" s="2" t="s">
        <v>13346</v>
      </c>
      <c r="D1511" s="2" t="s">
        <v>342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13347</v>
      </c>
      <c r="D1512" s="2" t="s">
        <v>342</v>
      </c>
      <c r="E1512" s="2">
        <v>27</v>
      </c>
      <c r="F1512" s="2">
        <v>470.87</v>
      </c>
    </row>
    <row r="1514" spans="2:7" x14ac:dyDescent="0.25">
      <c r="B1514" s="2" t="s">
        <v>13348</v>
      </c>
      <c r="C1514" s="2" t="s">
        <v>13349</v>
      </c>
      <c r="D1514" s="2" t="s">
        <v>236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13350</v>
      </c>
      <c r="D1515" s="2" t="s">
        <v>236</v>
      </c>
      <c r="E1515" s="2">
        <v>50</v>
      </c>
      <c r="F1515" s="2">
        <v>933</v>
      </c>
    </row>
    <row r="1516" spans="3:6" x14ac:dyDescent="0.25">
      <c r="C1516" s="2" t="s">
        <v>13351</v>
      </c>
      <c r="D1516" s="2" t="s">
        <v>204</v>
      </c>
      <c r="E1516" s="2">
        <v>105</v>
      </c>
      <c r="F1516" s="2">
        <v>1971.319</v>
      </c>
    </row>
    <row r="1517" spans="3:6" x14ac:dyDescent="0.25">
      <c r="C1517" s="2" t="s">
        <v>13352</v>
      </c>
      <c r="D1517" s="2" t="s">
        <v>204</v>
      </c>
      <c r="E1517" s="2">
        <v>77</v>
      </c>
      <c r="F1517" s="2">
        <v>1083.839</v>
      </c>
    </row>
    <row r="1518" spans="3:6" x14ac:dyDescent="0.25">
      <c r="C1518" s="2" t="s">
        <v>13353</v>
      </c>
      <c r="D1518" s="2" t="s">
        <v>204</v>
      </c>
      <c r="E1518" s="2">
        <v>24</v>
      </c>
      <c r="F1518" s="2">
        <v>450.16</v>
      </c>
    </row>
    <row r="1519" spans="3:6" x14ac:dyDescent="0.25">
      <c r="C1519" s="2" t="s">
        <v>13354</v>
      </c>
      <c r="D1519" s="2" t="s">
        <v>204</v>
      </c>
      <c r="E1519" s="2">
        <v>148</v>
      </c>
      <c r="F1519" s="2">
        <v>2955.96</v>
      </c>
    </row>
    <row r="1520" spans="3:6" x14ac:dyDescent="0.25">
      <c r="C1520" s="2" t="s">
        <v>13355</v>
      </c>
      <c r="D1520" s="2" t="s">
        <v>204</v>
      </c>
      <c r="E1520" s="2">
        <v>105</v>
      </c>
      <c r="F1520" s="2">
        <v>2082.289</v>
      </c>
    </row>
    <row r="1521" spans="3:6" x14ac:dyDescent="0.25">
      <c r="C1521" s="2" t="s">
        <v>13356</v>
      </c>
      <c r="D1521" s="2" t="s">
        <v>216</v>
      </c>
      <c r="E1521" s="2">
        <v>163</v>
      </c>
      <c r="F1521" s="2">
        <v>3093.819</v>
      </c>
    </row>
    <row r="1522" spans="3:6" x14ac:dyDescent="0.25">
      <c r="C1522" s="2" t="s">
        <v>13357</v>
      </c>
      <c r="D1522" s="2" t="s">
        <v>216</v>
      </c>
      <c r="E1522" s="2">
        <v>163</v>
      </c>
      <c r="F1522" s="2">
        <v>3212.319</v>
      </c>
    </row>
    <row r="1523" spans="3:6" x14ac:dyDescent="0.25">
      <c r="C1523" s="2" t="s">
        <v>13358</v>
      </c>
      <c r="D1523" s="2" t="s">
        <v>204</v>
      </c>
      <c r="E1523" s="2">
        <v>156</v>
      </c>
      <c r="F1523" s="2">
        <v>3059.099</v>
      </c>
    </row>
    <row r="1524" spans="3:6" x14ac:dyDescent="0.25">
      <c r="C1524" s="2" t="s">
        <v>13359</v>
      </c>
      <c r="D1524" s="2" t="s">
        <v>204</v>
      </c>
      <c r="E1524" s="2">
        <v>156</v>
      </c>
      <c r="F1524" s="2">
        <v>2681.91</v>
      </c>
    </row>
    <row r="1525" spans="3:6" x14ac:dyDescent="0.25">
      <c r="C1525" s="2" t="s">
        <v>13360</v>
      </c>
      <c r="D1525" s="2" t="s">
        <v>204</v>
      </c>
      <c r="E1525" s="2">
        <v>156</v>
      </c>
      <c r="F1525" s="2">
        <v>3098.02</v>
      </c>
    </row>
    <row r="1526" spans="3:6" x14ac:dyDescent="0.25">
      <c r="C1526" s="2" t="s">
        <v>13361</v>
      </c>
      <c r="D1526" s="2" t="s">
        <v>204</v>
      </c>
      <c r="E1526" s="2">
        <v>156</v>
      </c>
      <c r="F1526" s="2">
        <v>3103.699</v>
      </c>
    </row>
    <row r="1527" spans="3:6" x14ac:dyDescent="0.25">
      <c r="C1527" s="2" t="s">
        <v>13362</v>
      </c>
      <c r="D1527" s="2" t="s">
        <v>204</v>
      </c>
      <c r="E1527" s="2">
        <v>156</v>
      </c>
      <c r="F1527" s="2">
        <v>3081.298</v>
      </c>
    </row>
    <row r="1528" spans="3:6" x14ac:dyDescent="0.25">
      <c r="C1528" s="2" t="s">
        <v>13363</v>
      </c>
      <c r="D1528" s="2" t="s">
        <v>214</v>
      </c>
      <c r="E1528" s="2">
        <v>156</v>
      </c>
      <c r="F1528" s="2">
        <v>3028.777</v>
      </c>
    </row>
    <row r="1529" spans="3:6" x14ac:dyDescent="0.25">
      <c r="C1529" s="2" t="s">
        <v>13364</v>
      </c>
      <c r="D1529" s="2" t="s">
        <v>236</v>
      </c>
      <c r="E1529" s="2">
        <v>80</v>
      </c>
      <c r="F1529" s="2">
        <v>1510.52</v>
      </c>
    </row>
    <row r="1530" spans="3:6" x14ac:dyDescent="0.25">
      <c r="C1530" s="2" t="s">
        <v>13365</v>
      </c>
      <c r="D1530" s="2" t="s">
        <v>236</v>
      </c>
      <c r="E1530" s="2">
        <v>76</v>
      </c>
      <c r="F1530" s="2">
        <v>1483.21</v>
      </c>
    </row>
    <row r="1531" spans="3:6" x14ac:dyDescent="0.25">
      <c r="C1531" s="2" t="s">
        <v>13216</v>
      </c>
      <c r="D1531" s="2" t="s">
        <v>204</v>
      </c>
      <c r="E1531" s="2">
        <v>105</v>
      </c>
      <c r="F1531" s="2">
        <v>2012.22</v>
      </c>
    </row>
    <row r="1532" spans="3:6" x14ac:dyDescent="0.25">
      <c r="C1532" s="2" t="s">
        <v>13366</v>
      </c>
      <c r="D1532" s="2" t="s">
        <v>216</v>
      </c>
      <c r="E1532" s="2">
        <v>134</v>
      </c>
      <c r="F1532" s="2">
        <v>2658.998</v>
      </c>
    </row>
    <row r="1533" spans="3:6" x14ac:dyDescent="0.25">
      <c r="C1533" s="2" t="s">
        <v>13367</v>
      </c>
      <c r="D1533" s="2" t="s">
        <v>216</v>
      </c>
      <c r="E1533" s="2">
        <v>134</v>
      </c>
      <c r="F1533" s="2">
        <v>2630.05</v>
      </c>
    </row>
    <row r="1534" spans="3:6" x14ac:dyDescent="0.25">
      <c r="C1534" s="2" t="s">
        <v>13368</v>
      </c>
      <c r="D1534" s="2" t="s">
        <v>216</v>
      </c>
      <c r="E1534" s="2">
        <v>134</v>
      </c>
      <c r="F1534" s="2">
        <v>2783.34</v>
      </c>
    </row>
    <row r="1535" spans="3:6" x14ac:dyDescent="0.25">
      <c r="C1535" s="2" t="s">
        <v>13369</v>
      </c>
      <c r="D1535" s="2" t="s">
        <v>216</v>
      </c>
      <c r="E1535" s="2">
        <v>134</v>
      </c>
      <c r="F1535" s="2">
        <v>2578.36</v>
      </c>
    </row>
    <row r="1536" spans="3:6" x14ac:dyDescent="0.25">
      <c r="C1536" s="2" t="s">
        <v>13370</v>
      </c>
      <c r="D1536" s="2" t="s">
        <v>216</v>
      </c>
      <c r="E1536" s="2">
        <v>134</v>
      </c>
      <c r="F1536" s="2">
        <v>2643.41</v>
      </c>
    </row>
    <row r="1537" spans="3:6" x14ac:dyDescent="0.25">
      <c r="C1537" s="2" t="s">
        <v>13371</v>
      </c>
      <c r="D1537" s="2" t="s">
        <v>216</v>
      </c>
      <c r="E1537" s="2">
        <v>134</v>
      </c>
      <c r="F1537" s="2">
        <v>2680.129</v>
      </c>
    </row>
    <row r="1538" spans="3:6" x14ac:dyDescent="0.25">
      <c r="C1538" s="2" t="s">
        <v>13133</v>
      </c>
      <c r="D1538" s="2" t="s">
        <v>204</v>
      </c>
      <c r="E1538" s="2">
        <v>36</v>
      </c>
      <c r="F1538" s="2">
        <v>726.04</v>
      </c>
    </row>
    <row r="1540" spans="2:6" x14ac:dyDescent="0.25">
      <c r="B1540" s="2" t="s">
        <v>2077</v>
      </c>
      <c r="C1540" s="2" t="s">
        <v>13372</v>
      </c>
      <c r="D1540" s="2" t="s">
        <v>214</v>
      </c>
      <c r="E1540" s="2">
        <v>156</v>
      </c>
      <c r="F1540" s="2">
        <v>2564</v>
      </c>
    </row>
    <row r="1541" spans="3:6" x14ac:dyDescent="0.25">
      <c r="C1541" s="2" t="s">
        <v>13373</v>
      </c>
      <c r="D1541" s="2" t="s">
        <v>216</v>
      </c>
      <c r="E1541" s="2">
        <v>105</v>
      </c>
      <c r="F1541" s="2">
        <v>1802</v>
      </c>
    </row>
    <row r="1542" spans="3:6" x14ac:dyDescent="0.25">
      <c r="C1542" s="2" t="s">
        <v>13374</v>
      </c>
      <c r="D1542" s="2" t="s">
        <v>216</v>
      </c>
      <c r="E1542" s="2">
        <v>13</v>
      </c>
      <c r="F1542" s="2">
        <v>210</v>
      </c>
    </row>
    <row r="1543" spans="3:6" x14ac:dyDescent="0.25">
      <c r="C1543" s="2" t="s">
        <v>13375</v>
      </c>
      <c r="D1543" s="2" t="s">
        <v>216</v>
      </c>
      <c r="E1543" s="2">
        <v>143</v>
      </c>
      <c r="F1543" s="2">
        <v>2628</v>
      </c>
    </row>
    <row r="1544" spans="3:6" x14ac:dyDescent="0.25">
      <c r="C1544" s="2" t="s">
        <v>13376</v>
      </c>
      <c r="D1544" s="2" t="s">
        <v>214</v>
      </c>
      <c r="E1544" s="2">
        <v>105</v>
      </c>
      <c r="F1544" s="2">
        <v>1808</v>
      </c>
    </row>
    <row r="1545" spans="3:6" x14ac:dyDescent="0.25">
      <c r="C1545" s="2" t="s">
        <v>13377</v>
      </c>
      <c r="D1545" s="2" t="s">
        <v>216</v>
      </c>
      <c r="E1545" s="2">
        <v>156</v>
      </c>
      <c r="F1545" s="2">
        <v>2822</v>
      </c>
    </row>
    <row r="1546" spans="3:6" x14ac:dyDescent="0.25">
      <c r="C1546" s="2" t="s">
        <v>13378</v>
      </c>
      <c r="D1546" s="2" t="s">
        <v>214</v>
      </c>
      <c r="E1546" s="2">
        <v>156</v>
      </c>
      <c r="F1546" s="2">
        <v>2688</v>
      </c>
    </row>
    <row r="1547" spans="3:6" x14ac:dyDescent="0.25">
      <c r="C1547" s="2" t="s">
        <v>13379</v>
      </c>
      <c r="D1547" s="2" t="s">
        <v>216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18</v>
      </c>
      <c r="C1549" s="2" t="s">
        <v>13380</v>
      </c>
      <c r="D1549" s="2" t="s">
        <v>20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13381</v>
      </c>
      <c r="D1550" s="2" t="s">
        <v>20</v>
      </c>
      <c r="E1550" s="2">
        <v>222</v>
      </c>
      <c r="F1550" s="2">
        <v>3862.207</v>
      </c>
    </row>
    <row r="1551" spans="3:6" x14ac:dyDescent="0.25">
      <c r="C1551" s="2" t="s">
        <v>13382</v>
      </c>
      <c r="D1551" s="2" t="s">
        <v>20</v>
      </c>
      <c r="E1551" s="2">
        <v>149</v>
      </c>
      <c r="F1551" s="2">
        <v>2786.609</v>
      </c>
    </row>
    <row r="1552" spans="3:6" x14ac:dyDescent="0.25">
      <c r="C1552" s="2" t="s">
        <v>13383</v>
      </c>
      <c r="D1552" s="2" t="s">
        <v>20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335</v>
      </c>
      <c r="C1554" s="2" t="s">
        <v>13384</v>
      </c>
      <c r="D1554" s="2" t="s">
        <v>20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13385</v>
      </c>
      <c r="D1555" s="2" t="s">
        <v>20</v>
      </c>
      <c r="E1555" s="2">
        <v>149</v>
      </c>
      <c r="F1555" s="2">
        <v>2837.03</v>
      </c>
    </row>
    <row r="1556" spans="3:6" x14ac:dyDescent="0.25">
      <c r="C1556" s="2" t="s">
        <v>13386</v>
      </c>
      <c r="D1556" s="2" t="s">
        <v>20</v>
      </c>
      <c r="E1556" s="2">
        <v>149</v>
      </c>
      <c r="F1556" s="2">
        <v>2834.628</v>
      </c>
    </row>
    <row r="1557" spans="3:6" x14ac:dyDescent="0.25">
      <c r="C1557" s="2" t="s">
        <v>13387</v>
      </c>
      <c r="D1557" s="2" t="s">
        <v>20</v>
      </c>
      <c r="E1557" s="2">
        <v>149</v>
      </c>
      <c r="F1557" s="2">
        <v>2860.89</v>
      </c>
    </row>
    <row r="1558" spans="3:6" x14ac:dyDescent="0.25">
      <c r="C1558" s="2" t="s">
        <v>13388</v>
      </c>
      <c r="D1558" s="2" t="s">
        <v>20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2378</v>
      </c>
      <c r="C1560" s="2" t="s">
        <v>13389</v>
      </c>
      <c r="D1560" s="2" t="s">
        <v>2096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206</v>
      </c>
      <c r="C1562" s="2" t="s">
        <v>13390</v>
      </c>
      <c r="D1562" s="2" t="s">
        <v>27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13391</v>
      </c>
      <c r="D1563" s="2" t="s">
        <v>27</v>
      </c>
      <c r="E1563" s="2">
        <v>101</v>
      </c>
      <c r="F1563" s="2">
        <v>1581.76</v>
      </c>
    </row>
    <row r="1564" spans="3:6" x14ac:dyDescent="0.25">
      <c r="C1564" s="2" t="s">
        <v>13392</v>
      </c>
      <c r="D1564" s="2" t="s">
        <v>27</v>
      </c>
      <c r="E1564" s="2">
        <v>7</v>
      </c>
      <c r="F1564" s="2">
        <v>141</v>
      </c>
    </row>
    <row r="1565" spans="3:6" x14ac:dyDescent="0.25">
      <c r="C1565" s="2" t="s">
        <v>13393</v>
      </c>
      <c r="D1565" s="2" t="s">
        <v>27</v>
      </c>
      <c r="E1565" s="2">
        <v>59</v>
      </c>
      <c r="F1565" s="2">
        <v>1052.18</v>
      </c>
    </row>
    <row r="1566" spans="3:6" x14ac:dyDescent="0.25">
      <c r="C1566" s="2" t="s">
        <v>13394</v>
      </c>
      <c r="D1566" s="2" t="s">
        <v>27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1286</v>
      </c>
      <c r="C1568" s="2" t="s">
        <v>13395</v>
      </c>
      <c r="D1568" s="2" t="s">
        <v>8924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13396</v>
      </c>
      <c r="C1570" s="2" t="s">
        <v>13397</v>
      </c>
      <c r="D1570" s="2" t="s">
        <v>1288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13398</v>
      </c>
      <c r="D1571" s="2" t="s">
        <v>1288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12462</v>
      </c>
      <c r="C1573" s="2" t="s">
        <v>13399</v>
      </c>
      <c r="D1573" s="2" t="s">
        <v>20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13400</v>
      </c>
      <c r="D1574" s="2" t="s">
        <v>20</v>
      </c>
      <c r="E1574" s="2">
        <v>208</v>
      </c>
      <c r="F1574" s="2">
        <v>4528.549</v>
      </c>
    </row>
    <row r="1575" spans="3:6" x14ac:dyDescent="0.25">
      <c r="C1575" s="2" t="s">
        <v>13401</v>
      </c>
      <c r="D1575" s="2" t="s">
        <v>20</v>
      </c>
      <c r="E1575" s="2">
        <v>149</v>
      </c>
      <c r="F1575" s="2">
        <v>2867.215</v>
      </c>
    </row>
    <row r="1576" spans="3:6" x14ac:dyDescent="0.25">
      <c r="C1576" s="2" t="s">
        <v>13402</v>
      </c>
      <c r="D1576" s="2" t="s">
        <v>20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7022</v>
      </c>
      <c r="C1578" s="2" t="s">
        <v>13403</v>
      </c>
      <c r="D1578" s="2" t="s">
        <v>20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13404</v>
      </c>
      <c r="D1579" s="2" t="s">
        <v>20</v>
      </c>
      <c r="E1579" s="2">
        <v>105</v>
      </c>
      <c r="F1579" s="2">
        <v>2174.61</v>
      </c>
    </row>
    <row r="1580" spans="3:6" x14ac:dyDescent="0.25">
      <c r="C1580" s="2" t="s">
        <v>13405</v>
      </c>
      <c r="D1580" s="2" t="s">
        <v>20</v>
      </c>
      <c r="E1580" s="2">
        <v>105</v>
      </c>
      <c r="F1580" s="2">
        <v>2170.28</v>
      </c>
    </row>
    <row r="1581" spans="3:6" x14ac:dyDescent="0.25">
      <c r="C1581" s="2" t="s">
        <v>13406</v>
      </c>
      <c r="D1581" s="2" t="s">
        <v>20</v>
      </c>
      <c r="E1581" s="2">
        <v>105</v>
      </c>
      <c r="F1581" s="2">
        <v>2072.22</v>
      </c>
    </row>
    <row r="1582" spans="3:6" x14ac:dyDescent="0.25">
      <c r="C1582" s="2" t="s">
        <v>13407</v>
      </c>
      <c r="D1582" s="2" t="s">
        <v>20</v>
      </c>
      <c r="E1582" s="2">
        <v>105</v>
      </c>
      <c r="F1582" s="2">
        <v>2148.16</v>
      </c>
    </row>
    <row r="1583" spans="3:6" x14ac:dyDescent="0.25">
      <c r="C1583" s="2" t="s">
        <v>13408</v>
      </c>
      <c r="D1583" s="2" t="s">
        <v>20</v>
      </c>
      <c r="E1583" s="2">
        <v>108</v>
      </c>
      <c r="F1583" s="2">
        <v>2166.19</v>
      </c>
    </row>
    <row r="1584" spans="3:6" x14ac:dyDescent="0.25">
      <c r="C1584" s="2" t="s">
        <v>13409</v>
      </c>
      <c r="D1584" s="2" t="s">
        <v>20</v>
      </c>
      <c r="E1584" s="2">
        <v>267</v>
      </c>
      <c r="F1584" s="2">
        <v>4845.073</v>
      </c>
    </row>
    <row r="1585" spans="3:6" x14ac:dyDescent="0.25">
      <c r="C1585" s="2" t="s">
        <v>13410</v>
      </c>
      <c r="D1585" s="2" t="s">
        <v>20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2097</v>
      </c>
      <c r="C1587" s="2" t="s">
        <v>13411</v>
      </c>
      <c r="D1587" s="2" t="s">
        <v>27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13412</v>
      </c>
      <c r="D1588" s="2" t="s">
        <v>27</v>
      </c>
      <c r="E1588" s="2">
        <v>49</v>
      </c>
      <c r="F1588" s="2">
        <v>914.319</v>
      </c>
    </row>
    <row r="1589" spans="3:6" x14ac:dyDescent="0.25">
      <c r="C1589" s="2" t="s">
        <v>13413</v>
      </c>
      <c r="D1589" s="2" t="s">
        <v>27</v>
      </c>
      <c r="E1589" s="2">
        <v>50</v>
      </c>
      <c r="F1589" s="2">
        <v>829.73</v>
      </c>
    </row>
    <row r="1590" spans="3:6" x14ac:dyDescent="0.25">
      <c r="C1590" s="2" t="s">
        <v>13414</v>
      </c>
      <c r="D1590" s="2" t="s">
        <v>27</v>
      </c>
      <c r="E1590" s="2">
        <v>85</v>
      </c>
      <c r="F1590" s="2">
        <v>1732.33</v>
      </c>
    </row>
    <row r="1591" spans="3:6" x14ac:dyDescent="0.25">
      <c r="C1591" s="2" t="s">
        <v>13415</v>
      </c>
      <c r="D1591" s="2" t="s">
        <v>27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120</v>
      </c>
      <c r="C1593" s="2" t="s">
        <v>13416</v>
      </c>
      <c r="D1593" s="2" t="s">
        <v>122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13417</v>
      </c>
      <c r="D1594" s="2" t="s">
        <v>122</v>
      </c>
      <c r="E1594" s="2">
        <v>79</v>
      </c>
      <c r="F1594" s="2">
        <v>2396.498</v>
      </c>
    </row>
    <row r="1595" spans="3:6" x14ac:dyDescent="0.25">
      <c r="C1595" s="2" t="s">
        <v>13418</v>
      </c>
      <c r="D1595" s="2" t="s">
        <v>122</v>
      </c>
      <c r="E1595" s="2">
        <v>11</v>
      </c>
      <c r="F1595" s="2">
        <v>192.59</v>
      </c>
    </row>
    <row r="1596" spans="3:6" x14ac:dyDescent="0.25">
      <c r="C1596" s="2" t="s">
        <v>13419</v>
      </c>
      <c r="D1596" s="2" t="s">
        <v>122</v>
      </c>
      <c r="E1596" s="2">
        <v>37</v>
      </c>
      <c r="F1596" s="2">
        <v>687.95</v>
      </c>
    </row>
    <row r="1597" spans="3:6" x14ac:dyDescent="0.25">
      <c r="C1597" s="2" t="s">
        <v>13420</v>
      </c>
      <c r="D1597" s="2" t="s">
        <v>122</v>
      </c>
      <c r="E1597" s="2">
        <v>38</v>
      </c>
      <c r="F1597" s="2">
        <v>766.13</v>
      </c>
    </row>
    <row r="1598" spans="3:6" x14ac:dyDescent="0.25">
      <c r="C1598" s="2" t="s">
        <v>13421</v>
      </c>
      <c r="D1598" s="2" t="s">
        <v>122</v>
      </c>
      <c r="E1598" s="2">
        <v>16</v>
      </c>
      <c r="F1598" s="2">
        <v>303.43</v>
      </c>
    </row>
    <row r="1599" spans="3:6" x14ac:dyDescent="0.25">
      <c r="C1599" s="2" t="s">
        <v>13422</v>
      </c>
      <c r="D1599" s="2" t="s">
        <v>122</v>
      </c>
      <c r="E1599" s="2">
        <v>8</v>
      </c>
      <c r="F1599" s="2">
        <v>99.042</v>
      </c>
    </row>
    <row r="1600" spans="3:6" x14ac:dyDescent="0.25">
      <c r="C1600" s="2" t="s">
        <v>13423</v>
      </c>
      <c r="D1600" s="2" t="s">
        <v>122</v>
      </c>
      <c r="E1600" s="2">
        <v>11</v>
      </c>
      <c r="F1600" s="2">
        <v>203.47</v>
      </c>
    </row>
    <row r="1601" spans="3:6" x14ac:dyDescent="0.25">
      <c r="C1601" s="2" t="s">
        <v>13424</v>
      </c>
      <c r="D1601" s="2" t="s">
        <v>122</v>
      </c>
      <c r="E1601" s="2">
        <v>45</v>
      </c>
      <c r="F1601" s="2">
        <v>501.911</v>
      </c>
    </row>
    <row r="1602" spans="3:6" x14ac:dyDescent="0.25">
      <c r="C1602" s="2" t="s">
        <v>13425</v>
      </c>
      <c r="D1602" s="2" t="s">
        <v>122</v>
      </c>
      <c r="E1602" s="2">
        <v>30</v>
      </c>
      <c r="F1602" s="2">
        <v>608.1</v>
      </c>
    </row>
    <row r="1603" spans="3:6" x14ac:dyDescent="0.25">
      <c r="C1603" s="2" t="s">
        <v>13426</v>
      </c>
      <c r="D1603" s="2" t="s">
        <v>122</v>
      </c>
      <c r="E1603" s="2">
        <v>43</v>
      </c>
      <c r="F1603" s="2">
        <v>920.74</v>
      </c>
    </row>
    <row r="1604" spans="3:6" x14ac:dyDescent="0.25">
      <c r="C1604" s="2" t="s">
        <v>13427</v>
      </c>
      <c r="D1604" s="2" t="s">
        <v>122</v>
      </c>
      <c r="E1604" s="2">
        <v>29</v>
      </c>
      <c r="F1604" s="2">
        <v>576.04</v>
      </c>
    </row>
    <row r="1605" spans="3:6" x14ac:dyDescent="0.25">
      <c r="C1605" s="2" t="s">
        <v>13428</v>
      </c>
      <c r="D1605" s="2" t="s">
        <v>122</v>
      </c>
      <c r="E1605" s="2">
        <v>82</v>
      </c>
      <c r="F1605" s="2">
        <v>1683.199</v>
      </c>
    </row>
    <row r="1606" spans="3:6" x14ac:dyDescent="0.25">
      <c r="C1606" s="2" t="s">
        <v>13429</v>
      </c>
      <c r="D1606" s="2" t="s">
        <v>122</v>
      </c>
      <c r="E1606" s="2">
        <v>20</v>
      </c>
      <c r="F1606" s="2">
        <v>404.24</v>
      </c>
    </row>
    <row r="1607" spans="3:6" x14ac:dyDescent="0.25">
      <c r="C1607" s="2" t="s">
        <v>13430</v>
      </c>
      <c r="D1607" s="2" t="s">
        <v>122</v>
      </c>
      <c r="E1607" s="2">
        <v>140</v>
      </c>
      <c r="F1607" s="2">
        <v>611.918</v>
      </c>
    </row>
    <row r="1608" spans="3:6" x14ac:dyDescent="0.25">
      <c r="C1608" s="2" t="s">
        <v>13431</v>
      </c>
      <c r="D1608" s="2" t="s">
        <v>122</v>
      </c>
      <c r="E1608" s="2">
        <v>135</v>
      </c>
      <c r="F1608" s="2">
        <v>2753.26</v>
      </c>
    </row>
    <row r="1609" spans="3:6" x14ac:dyDescent="0.25">
      <c r="C1609" s="2" t="s">
        <v>13432</v>
      </c>
      <c r="D1609" s="2" t="s">
        <v>122</v>
      </c>
      <c r="E1609" s="2">
        <v>123</v>
      </c>
      <c r="F1609" s="2">
        <v>2537.15</v>
      </c>
    </row>
    <row r="1610" spans="3:6" x14ac:dyDescent="0.25">
      <c r="C1610" s="2" t="s">
        <v>13433</v>
      </c>
      <c r="D1610" s="2" t="s">
        <v>122</v>
      </c>
      <c r="E1610" s="2">
        <v>123</v>
      </c>
      <c r="F1610" s="2">
        <v>2560.799</v>
      </c>
    </row>
    <row r="1611" spans="3:6" x14ac:dyDescent="0.25">
      <c r="C1611" s="2" t="s">
        <v>13434</v>
      </c>
      <c r="D1611" s="2" t="s">
        <v>122</v>
      </c>
      <c r="E1611" s="2">
        <v>121</v>
      </c>
      <c r="F1611" s="2">
        <v>2506.728</v>
      </c>
    </row>
    <row r="1612" spans="3:6" x14ac:dyDescent="0.25">
      <c r="C1612" s="2" t="s">
        <v>13435</v>
      </c>
      <c r="D1612" s="2" t="s">
        <v>122</v>
      </c>
      <c r="E1612" s="2">
        <v>121</v>
      </c>
      <c r="F1612" s="2">
        <v>2501.84</v>
      </c>
    </row>
    <row r="1613" spans="3:6" x14ac:dyDescent="0.25">
      <c r="C1613" s="2" t="s">
        <v>13436</v>
      </c>
      <c r="D1613" s="2" t="s">
        <v>122</v>
      </c>
      <c r="E1613" s="2">
        <v>92</v>
      </c>
      <c r="F1613" s="2">
        <v>1830.679</v>
      </c>
    </row>
    <row r="1614" spans="3:6" x14ac:dyDescent="0.25">
      <c r="C1614" s="2" t="s">
        <v>13437</v>
      </c>
      <c r="D1614" s="2" t="s">
        <v>122</v>
      </c>
      <c r="E1614" s="2">
        <v>49</v>
      </c>
      <c r="F1614" s="2">
        <v>909.96</v>
      </c>
    </row>
    <row r="1615" spans="3:6" x14ac:dyDescent="0.25">
      <c r="C1615" s="2" t="s">
        <v>13438</v>
      </c>
      <c r="D1615" s="2" t="s">
        <v>122</v>
      </c>
      <c r="E1615" s="2">
        <v>79</v>
      </c>
      <c r="F1615" s="2">
        <v>1523.68</v>
      </c>
    </row>
    <row r="1616" spans="3:6" x14ac:dyDescent="0.25">
      <c r="C1616" s="2" t="s">
        <v>13439</v>
      </c>
      <c r="D1616" s="2" t="s">
        <v>122</v>
      </c>
      <c r="E1616" s="2">
        <v>62</v>
      </c>
      <c r="F1616" s="2">
        <v>1267.12</v>
      </c>
    </row>
    <row r="1617" spans="3:6" x14ac:dyDescent="0.25">
      <c r="C1617" s="2" t="s">
        <v>13440</v>
      </c>
      <c r="D1617" s="2" t="s">
        <v>122</v>
      </c>
      <c r="E1617" s="2">
        <v>141</v>
      </c>
      <c r="F1617" s="2">
        <v>2879.17</v>
      </c>
    </row>
    <row r="1618" spans="3:6" x14ac:dyDescent="0.25">
      <c r="C1618" s="2" t="s">
        <v>13441</v>
      </c>
      <c r="D1618" s="2" t="s">
        <v>122</v>
      </c>
      <c r="E1618" s="2">
        <v>102</v>
      </c>
      <c r="F1618" s="2">
        <v>2127.33</v>
      </c>
    </row>
    <row r="1619" spans="3:6" x14ac:dyDescent="0.25">
      <c r="C1619" s="2" t="s">
        <v>13442</v>
      </c>
      <c r="D1619" s="2" t="s">
        <v>122</v>
      </c>
      <c r="E1619" s="2">
        <v>85</v>
      </c>
      <c r="F1619" s="2">
        <v>1741.36</v>
      </c>
    </row>
    <row r="1620" spans="3:6" x14ac:dyDescent="0.25">
      <c r="C1620" s="2" t="s">
        <v>13443</v>
      </c>
      <c r="D1620" s="2" t="s">
        <v>122</v>
      </c>
      <c r="E1620" s="2">
        <v>56</v>
      </c>
      <c r="F1620" s="2">
        <v>1046.2</v>
      </c>
    </row>
    <row r="1621" spans="3:6" x14ac:dyDescent="0.25">
      <c r="C1621" s="2" t="s">
        <v>13444</v>
      </c>
      <c r="D1621" s="2" t="s">
        <v>122</v>
      </c>
      <c r="E1621" s="2">
        <v>59</v>
      </c>
      <c r="F1621" s="2">
        <v>1222.23</v>
      </c>
    </row>
    <row r="1622" spans="3:6" x14ac:dyDescent="0.25">
      <c r="C1622" s="2" t="s">
        <v>13445</v>
      </c>
      <c r="D1622" s="2" t="s">
        <v>122</v>
      </c>
      <c r="E1622" s="2">
        <v>39</v>
      </c>
      <c r="F1622" s="2">
        <v>796.55</v>
      </c>
    </row>
    <row r="1623" spans="3:6" x14ac:dyDescent="0.25">
      <c r="C1623" s="2" t="s">
        <v>13446</v>
      </c>
      <c r="D1623" s="2" t="s">
        <v>122</v>
      </c>
      <c r="E1623" s="2">
        <v>43</v>
      </c>
      <c r="F1623" s="2">
        <v>865.37</v>
      </c>
    </row>
    <row r="1624" spans="3:6" x14ac:dyDescent="0.25">
      <c r="C1624" s="2" t="s">
        <v>13447</v>
      </c>
      <c r="D1624" s="2" t="s">
        <v>122</v>
      </c>
      <c r="E1624" s="2">
        <v>141</v>
      </c>
      <c r="F1624" s="2">
        <v>2730.55</v>
      </c>
    </row>
    <row r="1625" spans="3:6" x14ac:dyDescent="0.25">
      <c r="C1625" s="2" t="s">
        <v>13448</v>
      </c>
      <c r="D1625" s="2" t="s">
        <v>122</v>
      </c>
      <c r="E1625" s="2">
        <v>69</v>
      </c>
      <c r="F1625" s="2">
        <v>1470</v>
      </c>
    </row>
    <row r="1626" spans="3:6" x14ac:dyDescent="0.25">
      <c r="C1626" s="2" t="s">
        <v>13449</v>
      </c>
      <c r="D1626" s="2" t="s">
        <v>122</v>
      </c>
      <c r="E1626" s="2" t="s">
        <v>8758</v>
      </c>
      <c r="F1626" s="2" t="s">
        <v>8758</v>
      </c>
    </row>
    <row r="1627" spans="3:6" x14ac:dyDescent="0.25">
      <c r="C1627" s="2" t="s">
        <v>13450</v>
      </c>
      <c r="D1627" s="2" t="s">
        <v>122</v>
      </c>
      <c r="E1627" s="2">
        <v>141</v>
      </c>
      <c r="F1627" s="2">
        <v>2827.19</v>
      </c>
    </row>
    <row r="1628" spans="3:6" x14ac:dyDescent="0.25">
      <c r="C1628" s="2" t="s">
        <v>13451</v>
      </c>
      <c r="D1628" s="2" t="s">
        <v>122</v>
      </c>
      <c r="E1628" s="2">
        <v>141</v>
      </c>
      <c r="F1628" s="2">
        <v>2916.35</v>
      </c>
    </row>
    <row r="1629" spans="3:6" x14ac:dyDescent="0.25">
      <c r="C1629" s="2" t="s">
        <v>13452</v>
      </c>
      <c r="D1629" s="2" t="s">
        <v>122</v>
      </c>
      <c r="E1629" s="2">
        <v>11</v>
      </c>
      <c r="F1629" s="2">
        <v>139.24</v>
      </c>
    </row>
    <row r="1630" spans="3:6" x14ac:dyDescent="0.25">
      <c r="C1630" s="2" t="s">
        <v>13453</v>
      </c>
      <c r="D1630" s="2" t="s">
        <v>122</v>
      </c>
      <c r="E1630" s="2">
        <v>130</v>
      </c>
      <c r="F1630" s="2">
        <v>2567.269</v>
      </c>
    </row>
    <row r="1631" spans="3:6" x14ac:dyDescent="0.25">
      <c r="C1631" s="2" t="s">
        <v>13454</v>
      </c>
      <c r="D1631" s="2" t="s">
        <v>122</v>
      </c>
      <c r="E1631" s="2">
        <v>60</v>
      </c>
      <c r="F1631" s="2">
        <v>1210.97</v>
      </c>
    </row>
    <row r="1632" spans="3:6" x14ac:dyDescent="0.25">
      <c r="C1632" s="2" t="s">
        <v>13455</v>
      </c>
      <c r="D1632" s="2" t="s">
        <v>122</v>
      </c>
      <c r="E1632" s="2">
        <v>81</v>
      </c>
      <c r="F1632" s="2">
        <v>1632.38</v>
      </c>
    </row>
    <row r="1633" spans="3:6" x14ac:dyDescent="0.25">
      <c r="C1633" s="2" t="s">
        <v>13456</v>
      </c>
      <c r="D1633" s="2" t="s">
        <v>122</v>
      </c>
      <c r="E1633" s="2">
        <v>60</v>
      </c>
      <c r="F1633" s="2">
        <v>262.93</v>
      </c>
    </row>
    <row r="1635" spans="2:7" x14ac:dyDescent="0.25">
      <c r="B1635" s="2" t="s">
        <v>13457</v>
      </c>
      <c r="C1635" s="2" t="s">
        <v>13458</v>
      </c>
      <c r="D1635" s="2" t="s">
        <v>122</v>
      </c>
      <c r="E1635" s="2" t="s">
        <v>8758</v>
      </c>
      <c r="F1635" s="2" t="s">
        <v>8758</v>
      </c>
      <c r="G1635" s="1">
        <v>46156</v>
      </c>
    </row>
    <row r="1636" spans="3:6" x14ac:dyDescent="0.25">
      <c r="C1636" s="2" t="s">
        <v>13459</v>
      </c>
      <c r="D1636" s="2" t="s">
        <v>122</v>
      </c>
      <c r="E1636" s="2" t="s">
        <v>8758</v>
      </c>
      <c r="F1636" s="2" t="s">
        <v>8758</v>
      </c>
    </row>
    <row r="1638" spans="1:7" x14ac:dyDescent="0.25">
      <c r="A1638" s="1">
        <v>46157</v>
      </c>
      <c r="B1638" s="2" t="s">
        <v>40</v>
      </c>
      <c r="C1638" s="2" t="s">
        <v>13460</v>
      </c>
      <c r="D1638" s="2" t="s">
        <v>42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13461</v>
      </c>
      <c r="D1639" s="2" t="s">
        <v>42</v>
      </c>
      <c r="E1639" s="2">
        <v>35</v>
      </c>
      <c r="F1639" s="2">
        <v>729.09</v>
      </c>
    </row>
    <row r="1640" spans="3:6" x14ac:dyDescent="0.25">
      <c r="C1640" s="2" t="s">
        <v>13462</v>
      </c>
      <c r="D1640" s="2" t="s">
        <v>42</v>
      </c>
      <c r="E1640" s="2">
        <v>32</v>
      </c>
      <c r="F1640" s="2">
        <v>510.348</v>
      </c>
    </row>
    <row r="1641" spans="3:6" x14ac:dyDescent="0.25">
      <c r="C1641" s="2" t="s">
        <v>13463</v>
      </c>
      <c r="D1641" s="2" t="s">
        <v>42</v>
      </c>
      <c r="E1641" s="2">
        <v>14</v>
      </c>
      <c r="F1641" s="2">
        <v>250.57</v>
      </c>
    </row>
    <row r="1642" spans="3:6" x14ac:dyDescent="0.25">
      <c r="C1642" s="2" t="s">
        <v>13464</v>
      </c>
      <c r="D1642" s="2" t="s">
        <v>42</v>
      </c>
      <c r="E1642" s="2">
        <v>30</v>
      </c>
      <c r="F1642" s="2">
        <v>147.69</v>
      </c>
    </row>
    <row r="1643" spans="3:6" x14ac:dyDescent="0.25">
      <c r="C1643" s="2" t="s">
        <v>13465</v>
      </c>
      <c r="D1643" s="2" t="s">
        <v>42</v>
      </c>
      <c r="E1643" s="2">
        <v>11</v>
      </c>
      <c r="F1643" s="2">
        <v>141.4</v>
      </c>
    </row>
    <row r="1644" spans="3:6" x14ac:dyDescent="0.25">
      <c r="C1644" s="2" t="s">
        <v>13466</v>
      </c>
      <c r="D1644" s="2" t="s">
        <v>42</v>
      </c>
      <c r="E1644" s="2">
        <v>17</v>
      </c>
      <c r="F1644" s="2">
        <v>340.05</v>
      </c>
    </row>
    <row r="1645" spans="3:6" x14ac:dyDescent="0.25">
      <c r="C1645" s="2" t="s">
        <v>13467</v>
      </c>
      <c r="D1645" s="2" t="s">
        <v>42</v>
      </c>
      <c r="E1645" s="2">
        <v>6</v>
      </c>
      <c r="F1645" s="2">
        <v>65.41</v>
      </c>
    </row>
    <row r="1646" spans="3:6" x14ac:dyDescent="0.25">
      <c r="C1646" s="2" t="s">
        <v>13468</v>
      </c>
      <c r="D1646" s="2" t="s">
        <v>42</v>
      </c>
      <c r="E1646" s="2">
        <v>123</v>
      </c>
      <c r="F1646" s="2">
        <v>2375.857</v>
      </c>
    </row>
    <row r="1647" spans="3:6" x14ac:dyDescent="0.25">
      <c r="C1647" s="2" t="s">
        <v>13469</v>
      </c>
      <c r="D1647" s="2" t="s">
        <v>42</v>
      </c>
      <c r="E1647" s="2">
        <v>109</v>
      </c>
      <c r="F1647" s="2">
        <v>2234.236</v>
      </c>
    </row>
    <row r="1648" spans="3:6" x14ac:dyDescent="0.25">
      <c r="C1648" s="2" t="s">
        <v>13470</v>
      </c>
      <c r="D1648" s="2" t="s">
        <v>42</v>
      </c>
      <c r="E1648" s="2">
        <v>123</v>
      </c>
      <c r="F1648" s="2">
        <v>2464.086</v>
      </c>
    </row>
    <row r="1649" spans="3:6" x14ac:dyDescent="0.25">
      <c r="C1649" s="2" t="s">
        <v>13471</v>
      </c>
      <c r="D1649" s="2" t="s">
        <v>42</v>
      </c>
      <c r="E1649" s="2">
        <v>119</v>
      </c>
      <c r="F1649" s="2">
        <v>1508.851</v>
      </c>
    </row>
    <row r="1650" spans="3:6" x14ac:dyDescent="0.25">
      <c r="C1650" s="2" t="s">
        <v>13472</v>
      </c>
      <c r="D1650" s="2" t="s">
        <v>42</v>
      </c>
      <c r="E1650" s="2">
        <v>141</v>
      </c>
      <c r="F1650" s="2">
        <v>2912.02</v>
      </c>
    </row>
    <row r="1651" spans="3:6" x14ac:dyDescent="0.25">
      <c r="C1651" s="2" t="s">
        <v>13473</v>
      </c>
      <c r="D1651" s="2" t="s">
        <v>42</v>
      </c>
      <c r="E1651" s="2">
        <v>127</v>
      </c>
      <c r="F1651" s="2">
        <v>2588.19</v>
      </c>
    </row>
    <row r="1652" spans="3:6" x14ac:dyDescent="0.25">
      <c r="C1652" s="2" t="s">
        <v>13474</v>
      </c>
      <c r="D1652" s="2" t="s">
        <v>42</v>
      </c>
      <c r="E1652" s="2">
        <v>74</v>
      </c>
      <c r="F1652" s="2">
        <v>1506.698</v>
      </c>
    </row>
    <row r="1653" spans="3:6" x14ac:dyDescent="0.25">
      <c r="C1653" s="2" t="s">
        <v>13475</v>
      </c>
      <c r="D1653" s="2" t="s">
        <v>42</v>
      </c>
      <c r="E1653" s="2">
        <v>64</v>
      </c>
      <c r="F1653" s="2">
        <v>1322.859</v>
      </c>
    </row>
    <row r="1654" spans="3:6" x14ac:dyDescent="0.25">
      <c r="C1654" s="2" t="s">
        <v>13476</v>
      </c>
      <c r="D1654" s="2" t="s">
        <v>42</v>
      </c>
      <c r="E1654" s="2">
        <v>95</v>
      </c>
      <c r="F1654" s="2">
        <v>449.718</v>
      </c>
    </row>
    <row r="1655" spans="3:6" x14ac:dyDescent="0.25">
      <c r="C1655" s="2" t="s">
        <v>13477</v>
      </c>
      <c r="D1655" s="2" t="s">
        <v>42</v>
      </c>
      <c r="E1655" s="2">
        <v>94</v>
      </c>
      <c r="F1655" s="2">
        <v>2011.29</v>
      </c>
    </row>
    <row r="1656" spans="3:6" x14ac:dyDescent="0.25">
      <c r="C1656" s="2" t="s">
        <v>13478</v>
      </c>
      <c r="D1656" s="2" t="s">
        <v>42</v>
      </c>
      <c r="E1656" s="2">
        <v>69</v>
      </c>
      <c r="F1656" s="2">
        <v>1414.05</v>
      </c>
    </row>
    <row r="1657" spans="3:6" x14ac:dyDescent="0.25">
      <c r="C1657" s="2" t="s">
        <v>13479</v>
      </c>
      <c r="D1657" s="2" t="s">
        <v>42</v>
      </c>
      <c r="E1657" s="2">
        <v>141</v>
      </c>
      <c r="F1657" s="2">
        <v>2824.059</v>
      </c>
    </row>
    <row r="1658" spans="3:6" x14ac:dyDescent="0.25">
      <c r="C1658" s="2" t="s">
        <v>13480</v>
      </c>
      <c r="D1658" s="2" t="s">
        <v>42</v>
      </c>
      <c r="E1658" s="2">
        <v>141</v>
      </c>
      <c r="F1658" s="2">
        <v>2793.945</v>
      </c>
    </row>
    <row r="1659" spans="3:6" x14ac:dyDescent="0.25">
      <c r="C1659" s="2" t="s">
        <v>13481</v>
      </c>
      <c r="D1659" s="2" t="s">
        <v>42</v>
      </c>
      <c r="E1659" s="2">
        <v>141</v>
      </c>
      <c r="F1659" s="2">
        <v>3065.22</v>
      </c>
    </row>
    <row r="1660" spans="3:6" x14ac:dyDescent="0.25">
      <c r="C1660" s="2" t="s">
        <v>13482</v>
      </c>
      <c r="D1660" s="2" t="s">
        <v>42</v>
      </c>
      <c r="E1660" s="2">
        <v>141</v>
      </c>
      <c r="F1660" s="2">
        <v>2934.82</v>
      </c>
    </row>
    <row r="1661" spans="3:6" x14ac:dyDescent="0.25">
      <c r="C1661" s="2" t="s">
        <v>13483</v>
      </c>
      <c r="D1661" s="2" t="s">
        <v>42</v>
      </c>
      <c r="E1661" s="2">
        <v>114</v>
      </c>
      <c r="F1661" s="2">
        <v>2249.99</v>
      </c>
    </row>
    <row r="1662" spans="3:6" x14ac:dyDescent="0.25">
      <c r="C1662" s="2" t="s">
        <v>13484</v>
      </c>
      <c r="D1662" s="2" t="s">
        <v>42</v>
      </c>
      <c r="E1662" s="2">
        <v>42</v>
      </c>
      <c r="F1662" s="2">
        <v>848.87</v>
      </c>
    </row>
    <row r="1663" spans="3:6" x14ac:dyDescent="0.25">
      <c r="C1663" s="2" t="s">
        <v>13485</v>
      </c>
      <c r="D1663" s="2" t="s">
        <v>42</v>
      </c>
      <c r="E1663" s="2">
        <v>100</v>
      </c>
      <c r="F1663" s="2">
        <v>2048.88</v>
      </c>
    </row>
    <row r="1664" spans="3:6" x14ac:dyDescent="0.25">
      <c r="C1664" s="2" t="s">
        <v>13486</v>
      </c>
      <c r="D1664" s="2" t="s">
        <v>42</v>
      </c>
      <c r="E1664" s="2">
        <v>67</v>
      </c>
      <c r="F1664" s="2">
        <v>1316.42</v>
      </c>
    </row>
    <row r="1665" spans="3:6" x14ac:dyDescent="0.25">
      <c r="C1665" s="2" t="s">
        <v>13487</v>
      </c>
      <c r="D1665" s="2" t="s">
        <v>42</v>
      </c>
      <c r="E1665" s="2">
        <v>65</v>
      </c>
      <c r="F1665" s="2">
        <v>1370.92</v>
      </c>
    </row>
    <row r="1666" spans="3:6" x14ac:dyDescent="0.25">
      <c r="C1666" s="2" t="s">
        <v>13488</v>
      </c>
      <c r="D1666" s="2" t="s">
        <v>42</v>
      </c>
      <c r="E1666" s="2">
        <v>10</v>
      </c>
      <c r="F1666" s="2">
        <v>209.59</v>
      </c>
    </row>
    <row r="1667" spans="3:6" x14ac:dyDescent="0.25">
      <c r="C1667" s="2" t="s">
        <v>13489</v>
      </c>
      <c r="D1667" s="2" t="s">
        <v>42</v>
      </c>
      <c r="E1667" s="2">
        <v>27</v>
      </c>
      <c r="F1667" s="2">
        <v>525.55</v>
      </c>
    </row>
    <row r="1668" spans="3:6" x14ac:dyDescent="0.25">
      <c r="C1668" s="2" t="s">
        <v>13490</v>
      </c>
      <c r="D1668" s="2" t="s">
        <v>42</v>
      </c>
      <c r="E1668" s="2">
        <v>75</v>
      </c>
      <c r="F1668" s="2">
        <v>337.942</v>
      </c>
    </row>
    <row r="1669" spans="3:6" x14ac:dyDescent="0.25">
      <c r="C1669" s="2" t="s">
        <v>13491</v>
      </c>
      <c r="D1669" s="2" t="s">
        <v>42</v>
      </c>
      <c r="E1669" s="2">
        <v>20</v>
      </c>
      <c r="F1669" s="2">
        <v>92.25</v>
      </c>
    </row>
    <row r="1670" spans="3:6" x14ac:dyDescent="0.25">
      <c r="C1670" s="2" t="s">
        <v>13492</v>
      </c>
      <c r="D1670" s="2" t="s">
        <v>42</v>
      </c>
      <c r="E1670" s="2">
        <v>64</v>
      </c>
      <c r="F1670" s="2">
        <v>1249.322</v>
      </c>
    </row>
    <row r="1671" spans="3:6" x14ac:dyDescent="0.25">
      <c r="C1671" s="2" t="s">
        <v>13493</v>
      </c>
      <c r="D1671" s="2" t="s">
        <v>42</v>
      </c>
      <c r="E1671" s="2">
        <v>56</v>
      </c>
      <c r="F1671" s="2">
        <v>1103.48</v>
      </c>
    </row>
    <row r="1672" spans="3:6" x14ac:dyDescent="0.25">
      <c r="C1672" s="2" t="s">
        <v>13494</v>
      </c>
      <c r="D1672" s="2" t="s">
        <v>42</v>
      </c>
      <c r="E1672" s="2">
        <v>16</v>
      </c>
      <c r="F1672" s="2">
        <v>337.79</v>
      </c>
    </row>
    <row r="1673" spans="3:6" x14ac:dyDescent="0.25">
      <c r="C1673" s="2" t="s">
        <v>13495</v>
      </c>
      <c r="D1673" s="2" t="s">
        <v>42</v>
      </c>
      <c r="E1673" s="2">
        <v>75</v>
      </c>
      <c r="F1673" s="2">
        <v>362.088</v>
      </c>
    </row>
    <row r="1674" spans="3:6" x14ac:dyDescent="0.25">
      <c r="C1674" s="2" t="s">
        <v>13496</v>
      </c>
      <c r="D1674" s="2" t="s">
        <v>42</v>
      </c>
      <c r="E1674" s="2">
        <v>34</v>
      </c>
      <c r="F1674" s="2">
        <v>613.04</v>
      </c>
    </row>
    <row r="1675" spans="3:6" x14ac:dyDescent="0.25">
      <c r="C1675" s="2" t="s">
        <v>13497</v>
      </c>
      <c r="D1675" s="2" t="s">
        <v>42</v>
      </c>
      <c r="E1675" s="2">
        <v>13</v>
      </c>
      <c r="F1675" s="2">
        <v>235.64</v>
      </c>
    </row>
    <row r="1676" spans="3:6" x14ac:dyDescent="0.25">
      <c r="C1676" s="2" t="s">
        <v>13498</v>
      </c>
      <c r="D1676" s="2" t="s">
        <v>42</v>
      </c>
      <c r="E1676" s="2">
        <v>70</v>
      </c>
      <c r="F1676" s="2">
        <v>1461.73</v>
      </c>
    </row>
    <row r="1677" spans="3:6" x14ac:dyDescent="0.25">
      <c r="C1677" s="2" t="s">
        <v>13499</v>
      </c>
      <c r="D1677" s="2" t="s">
        <v>42</v>
      </c>
      <c r="E1677" s="2">
        <v>8</v>
      </c>
      <c r="F1677" s="2">
        <v>133.74</v>
      </c>
    </row>
    <row r="1678" spans="3:6" x14ac:dyDescent="0.25">
      <c r="C1678" s="2" t="s">
        <v>13500</v>
      </c>
      <c r="D1678" s="2" t="s">
        <v>42</v>
      </c>
      <c r="E1678" s="2">
        <v>56</v>
      </c>
      <c r="F1678" s="2">
        <v>1101.284</v>
      </c>
    </row>
    <row r="1679" spans="3:6" x14ac:dyDescent="0.25">
      <c r="C1679" s="2" t="s">
        <v>13501</v>
      </c>
      <c r="D1679" s="2" t="s">
        <v>42</v>
      </c>
      <c r="E1679" s="2">
        <v>141</v>
      </c>
      <c r="F1679" s="2">
        <v>2918.93</v>
      </c>
    </row>
    <row r="1680" spans="3:6" x14ac:dyDescent="0.25">
      <c r="C1680" s="2" t="s">
        <v>13502</v>
      </c>
      <c r="D1680" s="2" t="s">
        <v>42</v>
      </c>
      <c r="E1680" s="2">
        <v>141</v>
      </c>
      <c r="F1680" s="2">
        <v>2805.54</v>
      </c>
    </row>
    <row r="1681" spans="3:6" x14ac:dyDescent="0.25">
      <c r="C1681" s="2" t="s">
        <v>13503</v>
      </c>
      <c r="D1681" s="2" t="s">
        <v>42</v>
      </c>
      <c r="E1681" s="2">
        <v>102</v>
      </c>
      <c r="F1681" s="2">
        <v>2184.37</v>
      </c>
    </row>
    <row r="1682" spans="3:6" x14ac:dyDescent="0.25">
      <c r="C1682" s="2" t="s">
        <v>13504</v>
      </c>
      <c r="D1682" s="2" t="s">
        <v>42</v>
      </c>
      <c r="E1682" s="2">
        <v>102</v>
      </c>
      <c r="F1682" s="2">
        <v>2001.38</v>
      </c>
    </row>
    <row r="1683" spans="3:6" x14ac:dyDescent="0.25">
      <c r="C1683" s="2" t="s">
        <v>13505</v>
      </c>
      <c r="D1683" s="2" t="s">
        <v>42</v>
      </c>
      <c r="E1683" s="2">
        <v>102</v>
      </c>
      <c r="F1683" s="2">
        <v>2059.25</v>
      </c>
    </row>
    <row r="1684" spans="3:6" x14ac:dyDescent="0.25">
      <c r="C1684" s="2" t="s">
        <v>13506</v>
      </c>
      <c r="D1684" s="2" t="s">
        <v>42</v>
      </c>
      <c r="E1684" s="2">
        <v>102</v>
      </c>
      <c r="F1684" s="2">
        <v>2059.72</v>
      </c>
    </row>
    <row r="1685" spans="3:6" x14ac:dyDescent="0.25">
      <c r="C1685" s="2" t="s">
        <v>13507</v>
      </c>
      <c r="D1685" s="2" t="s">
        <v>42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90</v>
      </c>
      <c r="C1687" s="2" t="s">
        <v>13508</v>
      </c>
      <c r="D1687" s="2" t="s">
        <v>9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13509</v>
      </c>
      <c r="D1688" s="2" t="s">
        <v>9</v>
      </c>
      <c r="E1688" s="2">
        <v>141</v>
      </c>
      <c r="F1688" s="2">
        <v>2647.849</v>
      </c>
    </row>
    <row r="1689" spans="3:6" x14ac:dyDescent="0.25">
      <c r="C1689" s="2" t="s">
        <v>13510</v>
      </c>
      <c r="D1689" s="2" t="s">
        <v>9</v>
      </c>
      <c r="E1689" s="2">
        <v>141</v>
      </c>
      <c r="F1689" s="2">
        <v>2830.39</v>
      </c>
    </row>
    <row r="1690" spans="3:6" x14ac:dyDescent="0.25">
      <c r="C1690" s="2" t="s">
        <v>13511</v>
      </c>
      <c r="D1690" s="2" t="s">
        <v>9</v>
      </c>
      <c r="E1690" s="2">
        <v>102</v>
      </c>
      <c r="F1690" s="2">
        <v>1844.429</v>
      </c>
    </row>
    <row r="1691" spans="3:6" x14ac:dyDescent="0.25">
      <c r="C1691" s="2" t="s">
        <v>13512</v>
      </c>
      <c r="D1691" s="2" t="s">
        <v>9</v>
      </c>
      <c r="E1691" s="2">
        <v>282</v>
      </c>
      <c r="F1691" s="2">
        <v>5805.249</v>
      </c>
    </row>
    <row r="1692" spans="3:6" x14ac:dyDescent="0.25">
      <c r="C1692" s="2" t="s">
        <v>13513</v>
      </c>
      <c r="D1692" s="2" t="s">
        <v>9</v>
      </c>
      <c r="E1692" s="2">
        <v>76</v>
      </c>
      <c r="F1692" s="2">
        <v>1458.82</v>
      </c>
    </row>
    <row r="1693" spans="3:6" x14ac:dyDescent="0.25">
      <c r="C1693" s="2" t="s">
        <v>13514</v>
      </c>
      <c r="D1693" s="2" t="s">
        <v>9</v>
      </c>
      <c r="E1693" s="2">
        <v>65</v>
      </c>
      <c r="F1693" s="2">
        <v>1261.449</v>
      </c>
    </row>
    <row r="1694" spans="3:6" x14ac:dyDescent="0.25">
      <c r="C1694" s="2" t="s">
        <v>13515</v>
      </c>
      <c r="D1694" s="2" t="s">
        <v>9</v>
      </c>
      <c r="E1694" s="2">
        <v>246</v>
      </c>
      <c r="F1694" s="2">
        <v>5035.849</v>
      </c>
    </row>
    <row r="1695" spans="3:6" x14ac:dyDescent="0.25">
      <c r="C1695" s="2" t="s">
        <v>13516</v>
      </c>
      <c r="D1695" s="2" t="s">
        <v>9</v>
      </c>
      <c r="E1695" s="2">
        <v>123</v>
      </c>
      <c r="F1695" s="2">
        <v>2561.34</v>
      </c>
    </row>
    <row r="1696" spans="3:6" x14ac:dyDescent="0.25">
      <c r="C1696" s="2" t="s">
        <v>13517</v>
      </c>
      <c r="D1696" s="2" t="s">
        <v>9</v>
      </c>
      <c r="E1696" s="2">
        <v>30</v>
      </c>
      <c r="F1696" s="2">
        <v>126.66</v>
      </c>
    </row>
    <row r="1697" spans="3:6" x14ac:dyDescent="0.25">
      <c r="C1697" s="2" t="s">
        <v>13518</v>
      </c>
      <c r="D1697" s="2" t="s">
        <v>9</v>
      </c>
      <c r="E1697" s="2">
        <v>141</v>
      </c>
      <c r="F1697" s="2">
        <v>2945.38</v>
      </c>
    </row>
    <row r="1698" spans="3:6" x14ac:dyDescent="0.25">
      <c r="C1698" s="2" t="s">
        <v>13519</v>
      </c>
      <c r="D1698" s="2" t="s">
        <v>9</v>
      </c>
      <c r="E1698" s="2">
        <v>141</v>
      </c>
      <c r="F1698" s="2">
        <v>2796.169</v>
      </c>
    </row>
    <row r="1699" spans="3:6" x14ac:dyDescent="0.25">
      <c r="C1699" s="2" t="s">
        <v>13520</v>
      </c>
      <c r="D1699" s="2" t="s">
        <v>9</v>
      </c>
      <c r="E1699" s="2">
        <v>236</v>
      </c>
      <c r="F1699" s="2">
        <v>4786.979</v>
      </c>
    </row>
    <row r="1700" spans="3:6" x14ac:dyDescent="0.25">
      <c r="C1700" s="2" t="s">
        <v>13521</v>
      </c>
      <c r="D1700" s="2" t="s">
        <v>9</v>
      </c>
      <c r="E1700" s="2">
        <v>102</v>
      </c>
      <c r="F1700" s="2">
        <v>2105.73</v>
      </c>
    </row>
    <row r="1701" spans="3:6" x14ac:dyDescent="0.25">
      <c r="C1701" s="2" t="s">
        <v>13522</v>
      </c>
      <c r="D1701" s="2" t="s">
        <v>9</v>
      </c>
      <c r="E1701" s="2">
        <v>77</v>
      </c>
      <c r="F1701" s="2">
        <v>1565.67</v>
      </c>
    </row>
    <row r="1702" spans="3:6" x14ac:dyDescent="0.25">
      <c r="C1702" s="2" t="s">
        <v>13523</v>
      </c>
      <c r="D1702" s="2" t="s">
        <v>9</v>
      </c>
      <c r="E1702" s="2">
        <v>45</v>
      </c>
      <c r="F1702" s="2">
        <v>188.49</v>
      </c>
    </row>
    <row r="1703" spans="3:6" x14ac:dyDescent="0.25">
      <c r="C1703" s="2" t="s">
        <v>13524</v>
      </c>
      <c r="D1703" s="2" t="s">
        <v>9</v>
      </c>
      <c r="E1703" s="2">
        <v>77</v>
      </c>
      <c r="F1703" s="2">
        <v>1515.59</v>
      </c>
    </row>
    <row r="1704" spans="3:6" x14ac:dyDescent="0.25">
      <c r="C1704" s="2" t="s">
        <v>13525</v>
      </c>
      <c r="D1704" s="2" t="s">
        <v>9</v>
      </c>
      <c r="E1704" s="2">
        <v>45</v>
      </c>
      <c r="F1704" s="2">
        <v>191.599</v>
      </c>
    </row>
    <row r="1705" spans="3:6" x14ac:dyDescent="0.25">
      <c r="C1705" s="2" t="s">
        <v>13526</v>
      </c>
      <c r="D1705" s="2" t="s">
        <v>9</v>
      </c>
      <c r="E1705" s="2">
        <v>123</v>
      </c>
      <c r="F1705" s="2">
        <v>2479.55</v>
      </c>
    </row>
    <row r="1706" spans="3:6" x14ac:dyDescent="0.25">
      <c r="C1706" s="2" t="s">
        <v>13527</v>
      </c>
      <c r="D1706" s="2" t="s">
        <v>9</v>
      </c>
      <c r="E1706" s="2">
        <v>30</v>
      </c>
      <c r="F1706" s="2">
        <v>129.56</v>
      </c>
    </row>
    <row r="1707" spans="3:6" x14ac:dyDescent="0.25">
      <c r="C1707" s="2" t="s">
        <v>13528</v>
      </c>
      <c r="D1707" s="2" t="s">
        <v>9</v>
      </c>
      <c r="E1707" s="2">
        <v>141</v>
      </c>
      <c r="F1707" s="2">
        <v>2865.1</v>
      </c>
    </row>
    <row r="1708" spans="3:6" x14ac:dyDescent="0.25">
      <c r="C1708" s="2" t="s">
        <v>13529</v>
      </c>
      <c r="D1708" s="2" t="s">
        <v>9</v>
      </c>
      <c r="E1708" s="2">
        <v>141</v>
      </c>
      <c r="F1708" s="2">
        <v>2830.65</v>
      </c>
    </row>
    <row r="1709" spans="3:6" x14ac:dyDescent="0.25">
      <c r="C1709" s="2" t="s">
        <v>13530</v>
      </c>
      <c r="D1709" s="2" t="s">
        <v>9</v>
      </c>
      <c r="E1709" s="2">
        <v>141</v>
      </c>
      <c r="F1709" s="2">
        <v>2921.97</v>
      </c>
    </row>
    <row r="1710" spans="3:6" x14ac:dyDescent="0.25">
      <c r="C1710" s="2" t="s">
        <v>13531</v>
      </c>
      <c r="D1710" s="2" t="s">
        <v>9</v>
      </c>
      <c r="E1710" s="2">
        <v>141</v>
      </c>
      <c r="F1710" s="2">
        <v>3020.7</v>
      </c>
    </row>
    <row r="1711" spans="3:6" x14ac:dyDescent="0.25">
      <c r="C1711" s="2" t="s">
        <v>13532</v>
      </c>
      <c r="D1711" s="2" t="s">
        <v>9</v>
      </c>
      <c r="E1711" s="2">
        <v>141</v>
      </c>
      <c r="F1711" s="2">
        <v>2883.88</v>
      </c>
    </row>
    <row r="1712" spans="3:6" x14ac:dyDescent="0.25">
      <c r="C1712" s="2" t="s">
        <v>13533</v>
      </c>
      <c r="D1712" s="2" t="s">
        <v>9</v>
      </c>
      <c r="E1712" s="2">
        <v>77</v>
      </c>
      <c r="F1712" s="2">
        <v>1573.57</v>
      </c>
    </row>
    <row r="1713" spans="3:6" x14ac:dyDescent="0.25">
      <c r="C1713" s="2" t="s">
        <v>13534</v>
      </c>
      <c r="D1713" s="2" t="s">
        <v>9</v>
      </c>
      <c r="E1713" s="2">
        <v>45</v>
      </c>
      <c r="F1713" s="2">
        <v>194.86</v>
      </c>
    </row>
    <row r="1714" spans="3:6" x14ac:dyDescent="0.25">
      <c r="C1714" s="2" t="s">
        <v>13535</v>
      </c>
      <c r="D1714" s="2" t="s">
        <v>9</v>
      </c>
      <c r="E1714" s="2">
        <v>95</v>
      </c>
      <c r="F1714" s="2">
        <v>2049.54</v>
      </c>
    </row>
    <row r="1715" spans="3:6" x14ac:dyDescent="0.25">
      <c r="C1715" s="2" t="s">
        <v>13536</v>
      </c>
      <c r="D1715" s="2" t="s">
        <v>9</v>
      </c>
      <c r="E1715" s="2">
        <v>12</v>
      </c>
      <c r="F1715" s="2">
        <v>51.86</v>
      </c>
    </row>
    <row r="1716" spans="3:6" x14ac:dyDescent="0.25">
      <c r="C1716" s="2" t="s">
        <v>13537</v>
      </c>
      <c r="D1716" s="2" t="s">
        <v>9</v>
      </c>
      <c r="E1716" s="2">
        <v>25</v>
      </c>
      <c r="F1716" s="2">
        <v>459.61</v>
      </c>
    </row>
    <row r="1717" spans="3:6" x14ac:dyDescent="0.25">
      <c r="C1717" s="2" t="s">
        <v>13538</v>
      </c>
      <c r="D1717" s="2" t="s">
        <v>9</v>
      </c>
      <c r="E1717" s="2">
        <v>33</v>
      </c>
      <c r="F1717" s="2">
        <v>588.36</v>
      </c>
    </row>
    <row r="1718" spans="3:6" x14ac:dyDescent="0.25">
      <c r="C1718" s="2" t="s">
        <v>13539</v>
      </c>
      <c r="D1718" s="2" t="s">
        <v>9</v>
      </c>
      <c r="E1718" s="2">
        <v>2</v>
      </c>
      <c r="F1718" s="2">
        <v>34.99</v>
      </c>
    </row>
    <row r="1719" spans="3:6" x14ac:dyDescent="0.25">
      <c r="C1719" s="2" t="s">
        <v>13540</v>
      </c>
      <c r="D1719" s="2" t="s">
        <v>9</v>
      </c>
      <c r="E1719" s="2">
        <v>15</v>
      </c>
      <c r="F1719" s="2">
        <v>292.63</v>
      </c>
    </row>
    <row r="1720" spans="3:6" x14ac:dyDescent="0.25">
      <c r="C1720" s="2" t="s">
        <v>13541</v>
      </c>
      <c r="D1720" s="2" t="s">
        <v>9</v>
      </c>
      <c r="E1720" s="2">
        <v>1</v>
      </c>
      <c r="F1720" s="2">
        <v>11.28</v>
      </c>
    </row>
    <row r="1721" spans="3:6" x14ac:dyDescent="0.25">
      <c r="C1721" s="2" t="s">
        <v>13542</v>
      </c>
      <c r="D1721" s="2" t="s">
        <v>9</v>
      </c>
      <c r="E1721" s="2">
        <v>142</v>
      </c>
      <c r="F1721" s="2">
        <v>2850.79</v>
      </c>
    </row>
    <row r="1722" spans="3:6" x14ac:dyDescent="0.25">
      <c r="C1722" s="2" t="s">
        <v>13543</v>
      </c>
      <c r="D1722" s="2" t="s">
        <v>9</v>
      </c>
      <c r="E1722" s="2">
        <v>47</v>
      </c>
      <c r="F1722" s="2">
        <v>976.07</v>
      </c>
    </row>
    <row r="1723" spans="3:6" x14ac:dyDescent="0.25">
      <c r="C1723" s="2" t="s">
        <v>13544</v>
      </c>
      <c r="D1723" s="2" t="s">
        <v>9</v>
      </c>
      <c r="E1723" s="2">
        <v>94</v>
      </c>
      <c r="F1723" s="2">
        <v>1882.209</v>
      </c>
    </row>
    <row r="1724" spans="3:6" x14ac:dyDescent="0.25">
      <c r="C1724" s="2" t="s">
        <v>13545</v>
      </c>
      <c r="D1724" s="2" t="s">
        <v>9</v>
      </c>
      <c r="E1724" s="2">
        <v>142</v>
      </c>
      <c r="F1724" s="2">
        <v>2853.16</v>
      </c>
    </row>
    <row r="1725" spans="3:6" x14ac:dyDescent="0.25">
      <c r="C1725" s="2" t="s">
        <v>13546</v>
      </c>
      <c r="D1725" s="2" t="s">
        <v>9</v>
      </c>
      <c r="E1725" s="2">
        <v>50</v>
      </c>
      <c r="F1725" s="2">
        <v>1023.28</v>
      </c>
    </row>
    <row r="1726" spans="3:6" x14ac:dyDescent="0.25">
      <c r="C1726" s="2" t="s">
        <v>13547</v>
      </c>
      <c r="D1726" s="2" t="s">
        <v>9</v>
      </c>
      <c r="E1726" s="2">
        <v>91</v>
      </c>
      <c r="F1726" s="2">
        <v>1931.55</v>
      </c>
    </row>
    <row r="1727" spans="3:6" x14ac:dyDescent="0.25">
      <c r="C1727" s="2" t="s">
        <v>13548</v>
      </c>
      <c r="D1727" s="2" t="s">
        <v>9</v>
      </c>
      <c r="E1727" s="2">
        <v>61</v>
      </c>
      <c r="F1727" s="2">
        <v>1207.88</v>
      </c>
    </row>
    <row r="1728" spans="3:6" x14ac:dyDescent="0.25">
      <c r="C1728" s="2" t="s">
        <v>13549</v>
      </c>
      <c r="D1728" s="2" t="s">
        <v>9</v>
      </c>
      <c r="E1728" s="2">
        <v>31</v>
      </c>
      <c r="F1728" s="2">
        <v>617.22</v>
      </c>
    </row>
    <row r="1729" spans="3:6" x14ac:dyDescent="0.25">
      <c r="C1729" s="2" t="s">
        <v>13550</v>
      </c>
      <c r="D1729" s="2" t="s">
        <v>9</v>
      </c>
      <c r="E1729" s="2">
        <v>50</v>
      </c>
      <c r="F1729" s="2">
        <v>1046.71</v>
      </c>
    </row>
    <row r="1730" spans="3:6" x14ac:dyDescent="0.25">
      <c r="C1730" s="2" t="s">
        <v>13551</v>
      </c>
      <c r="D1730" s="2" t="s">
        <v>9</v>
      </c>
      <c r="E1730" s="2">
        <v>55</v>
      </c>
      <c r="F1730" s="2">
        <v>980.429</v>
      </c>
    </row>
    <row r="1731" spans="3:6" x14ac:dyDescent="0.25">
      <c r="C1731" s="2" t="s">
        <v>13552</v>
      </c>
      <c r="D1731" s="2" t="s">
        <v>9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14</v>
      </c>
      <c r="C1733" s="2" t="s">
        <v>13553</v>
      </c>
      <c r="D1733" s="2" t="s">
        <v>12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13554</v>
      </c>
      <c r="D1734" s="2" t="s">
        <v>12</v>
      </c>
      <c r="E1734" s="2">
        <v>156</v>
      </c>
      <c r="F1734" s="2">
        <v>3191.207</v>
      </c>
    </row>
    <row r="1735" spans="3:6" x14ac:dyDescent="0.25">
      <c r="C1735" s="2" t="s">
        <v>13555</v>
      </c>
      <c r="D1735" s="2" t="s">
        <v>12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10</v>
      </c>
      <c r="C1737" s="2" t="s">
        <v>13556</v>
      </c>
      <c r="D1737" s="2" t="s">
        <v>12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13557</v>
      </c>
      <c r="D1738" s="2" t="s">
        <v>12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10</v>
      </c>
      <c r="C1740" s="2" t="s">
        <v>13558</v>
      </c>
      <c r="D1740" s="2" t="s">
        <v>12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13559</v>
      </c>
      <c r="D1741" s="2" t="s">
        <v>12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7022</v>
      </c>
      <c r="C1743" s="2" t="s">
        <v>13560</v>
      </c>
      <c r="D1743" s="2" t="s">
        <v>20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13561</v>
      </c>
      <c r="D1744" s="2" t="s">
        <v>20</v>
      </c>
      <c r="E1744" s="2">
        <v>274</v>
      </c>
      <c r="F1744" s="2">
        <v>5011.196</v>
      </c>
    </row>
    <row r="1745" spans="3:6" x14ac:dyDescent="0.25">
      <c r="C1745" s="2" t="s">
        <v>13562</v>
      </c>
      <c r="D1745" s="2" t="s">
        <v>20</v>
      </c>
      <c r="E1745" s="2">
        <v>105</v>
      </c>
      <c r="F1745" s="2">
        <v>1969.816</v>
      </c>
    </row>
    <row r="1746" spans="3:6" x14ac:dyDescent="0.25">
      <c r="C1746" s="2" t="s">
        <v>13563</v>
      </c>
      <c r="D1746" s="2" t="s">
        <v>20</v>
      </c>
      <c r="E1746" s="2">
        <v>138</v>
      </c>
      <c r="F1746" s="2">
        <v>2855.22</v>
      </c>
    </row>
    <row r="1747" spans="3:6" x14ac:dyDescent="0.25">
      <c r="C1747" s="2" t="s">
        <v>13564</v>
      </c>
      <c r="D1747" s="2" t="s">
        <v>20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2736</v>
      </c>
      <c r="C1749" s="2" t="s">
        <v>13565</v>
      </c>
      <c r="D1749" s="2" t="s">
        <v>342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13566</v>
      </c>
      <c r="D1750" s="2" t="s">
        <v>342</v>
      </c>
      <c r="E1750" s="2">
        <v>27</v>
      </c>
      <c r="F1750" s="2">
        <v>487.43</v>
      </c>
    </row>
    <row r="1752" spans="2:6" x14ac:dyDescent="0.25">
      <c r="B1752" s="2" t="s">
        <v>2077</v>
      </c>
      <c r="C1752" s="2" t="s">
        <v>13567</v>
      </c>
      <c r="D1752" s="2" t="s">
        <v>342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2738</v>
      </c>
      <c r="C1754" s="2" t="s">
        <v>13568</v>
      </c>
      <c r="D1754" s="2" t="s">
        <v>20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13569</v>
      </c>
      <c r="D1755" s="2" t="s">
        <v>20</v>
      </c>
      <c r="E1755" s="2">
        <v>142</v>
      </c>
      <c r="F1755" s="2">
        <v>3184.799</v>
      </c>
    </row>
    <row r="1756" spans="3:6" x14ac:dyDescent="0.25">
      <c r="C1756" s="2" t="s">
        <v>13570</v>
      </c>
      <c r="D1756" s="2" t="s">
        <v>20</v>
      </c>
      <c r="E1756" s="2">
        <v>149</v>
      </c>
      <c r="F1756" s="2">
        <v>2939.49</v>
      </c>
    </row>
    <row r="1757" spans="3:6" x14ac:dyDescent="0.25">
      <c r="C1757" s="2" t="s">
        <v>13571</v>
      </c>
      <c r="D1757" s="2" t="s">
        <v>20</v>
      </c>
      <c r="E1757" s="2">
        <v>149</v>
      </c>
      <c r="F1757" s="2">
        <v>2940.289</v>
      </c>
    </row>
    <row r="1758" spans="3:6" x14ac:dyDescent="0.25">
      <c r="C1758" s="2" t="s">
        <v>13572</v>
      </c>
      <c r="D1758" s="2" t="s">
        <v>20</v>
      </c>
      <c r="E1758" s="2">
        <v>149</v>
      </c>
      <c r="F1758" s="2">
        <v>2972.72</v>
      </c>
    </row>
    <row r="1759" spans="3:6" x14ac:dyDescent="0.25">
      <c r="C1759" s="2" t="s">
        <v>13573</v>
      </c>
      <c r="D1759" s="2" t="s">
        <v>20</v>
      </c>
      <c r="E1759" s="2">
        <v>149</v>
      </c>
      <c r="F1759" s="2">
        <v>2950.99</v>
      </c>
    </row>
    <row r="1760" spans="3:6" x14ac:dyDescent="0.25">
      <c r="C1760" s="2" t="s">
        <v>13574</v>
      </c>
      <c r="D1760" s="2" t="s">
        <v>20</v>
      </c>
      <c r="E1760" s="2">
        <v>149</v>
      </c>
      <c r="F1760" s="2">
        <v>2918.219</v>
      </c>
    </row>
    <row r="1761" spans="3:6" x14ac:dyDescent="0.25">
      <c r="C1761" s="2" t="s">
        <v>13575</v>
      </c>
      <c r="D1761" s="2" t="s">
        <v>20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13576</v>
      </c>
      <c r="C1763" s="2" t="s">
        <v>13577</v>
      </c>
      <c r="D1763" s="2" t="s">
        <v>1288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13578</v>
      </c>
      <c r="D1764" s="2" t="s">
        <v>1288</v>
      </c>
      <c r="E1764" s="2">
        <v>26</v>
      </c>
      <c r="F1764" s="2">
        <v>959.08</v>
      </c>
    </row>
    <row r="1765" spans="3:6" x14ac:dyDescent="0.25">
      <c r="C1765" s="2" t="s">
        <v>13579</v>
      </c>
      <c r="D1765" s="2" t="s">
        <v>1288</v>
      </c>
      <c r="E1765" s="2">
        <v>72</v>
      </c>
      <c r="F1765" s="2">
        <v>1524.57</v>
      </c>
    </row>
    <row r="1766" spans="3:6" x14ac:dyDescent="0.25">
      <c r="C1766" s="2" t="s">
        <v>13580</v>
      </c>
      <c r="D1766" s="2" t="s">
        <v>1288</v>
      </c>
      <c r="E1766" s="2">
        <v>17</v>
      </c>
      <c r="F1766" s="2">
        <v>354.83</v>
      </c>
    </row>
    <row r="1767" spans="3:6" x14ac:dyDescent="0.25">
      <c r="C1767" s="2" t="s">
        <v>13581</v>
      </c>
      <c r="D1767" s="2" t="s">
        <v>1288</v>
      </c>
      <c r="E1767" s="2">
        <v>100</v>
      </c>
      <c r="F1767" s="2">
        <v>1937.489</v>
      </c>
    </row>
    <row r="1768" spans="3:6" x14ac:dyDescent="0.25">
      <c r="C1768" s="2" t="s">
        <v>13582</v>
      </c>
      <c r="D1768" s="2" t="s">
        <v>1288</v>
      </c>
      <c r="E1768" s="2">
        <v>37</v>
      </c>
      <c r="F1768" s="2">
        <v>725.64</v>
      </c>
    </row>
    <row r="1769" spans="3:6" x14ac:dyDescent="0.25">
      <c r="C1769" s="2" t="s">
        <v>13583</v>
      </c>
      <c r="D1769" s="2" t="s">
        <v>1288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4182</v>
      </c>
      <c r="C1771" s="2" t="s">
        <v>13584</v>
      </c>
      <c r="D1771" s="2" t="s">
        <v>122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13585</v>
      </c>
      <c r="D1772" s="2" t="s">
        <v>122</v>
      </c>
      <c r="E1772" s="2">
        <v>121</v>
      </c>
      <c r="F1772" s="2">
        <v>2502.98</v>
      </c>
    </row>
    <row r="1773" spans="3:6" x14ac:dyDescent="0.25">
      <c r="C1773" s="2" t="s">
        <v>13586</v>
      </c>
      <c r="D1773" s="2" t="s">
        <v>122</v>
      </c>
      <c r="E1773" s="2">
        <v>142</v>
      </c>
      <c r="F1773" s="2">
        <v>2896.21</v>
      </c>
    </row>
    <row r="1774" spans="3:6" x14ac:dyDescent="0.25">
      <c r="C1774" s="2" t="s">
        <v>13587</v>
      </c>
      <c r="D1774" s="2" t="s">
        <v>122</v>
      </c>
      <c r="E1774" s="2">
        <v>141</v>
      </c>
      <c r="F1774" s="2">
        <v>2906.72</v>
      </c>
    </row>
    <row r="1775" spans="3:6" x14ac:dyDescent="0.25">
      <c r="C1775" s="2" t="s">
        <v>13588</v>
      </c>
      <c r="D1775" s="2" t="s">
        <v>122</v>
      </c>
      <c r="E1775" s="2">
        <v>101</v>
      </c>
      <c r="F1775" s="2">
        <v>2026.14</v>
      </c>
    </row>
    <row r="1776" spans="3:6" x14ac:dyDescent="0.25">
      <c r="C1776" s="2" t="s">
        <v>13589</v>
      </c>
      <c r="D1776" s="2" t="s">
        <v>122</v>
      </c>
      <c r="E1776" s="2">
        <v>101</v>
      </c>
      <c r="F1776" s="2">
        <v>2085.269</v>
      </c>
    </row>
    <row r="1777" spans="3:6" x14ac:dyDescent="0.25">
      <c r="C1777" s="2" t="s">
        <v>13590</v>
      </c>
      <c r="D1777" s="2" t="s">
        <v>122</v>
      </c>
      <c r="E1777" s="2">
        <v>48</v>
      </c>
      <c r="F1777" s="2">
        <v>947.13</v>
      </c>
    </row>
    <row r="1778" spans="3:6" x14ac:dyDescent="0.25">
      <c r="C1778" s="2" t="s">
        <v>13591</v>
      </c>
      <c r="D1778" s="2" t="s">
        <v>122</v>
      </c>
      <c r="E1778" s="2">
        <v>95</v>
      </c>
      <c r="F1778" s="2">
        <v>1880.21</v>
      </c>
    </row>
    <row r="1779" spans="3:6" x14ac:dyDescent="0.25">
      <c r="C1779" s="2" t="s">
        <v>13592</v>
      </c>
      <c r="D1779" s="2" t="s">
        <v>122</v>
      </c>
      <c r="E1779" s="2">
        <v>77</v>
      </c>
      <c r="F1779" s="2">
        <v>2461.083</v>
      </c>
    </row>
    <row r="1780" spans="3:6" x14ac:dyDescent="0.25">
      <c r="C1780" s="2" t="s">
        <v>13593</v>
      </c>
      <c r="D1780" s="2" t="s">
        <v>122</v>
      </c>
      <c r="E1780" s="2">
        <v>72</v>
      </c>
      <c r="F1780" s="2">
        <v>2625.151</v>
      </c>
    </row>
    <row r="1781" spans="3:6" x14ac:dyDescent="0.25">
      <c r="C1781" s="2" t="s">
        <v>13594</v>
      </c>
      <c r="D1781" s="2" t="s">
        <v>122</v>
      </c>
      <c r="E1781" s="2">
        <v>101</v>
      </c>
      <c r="F1781" s="2">
        <v>2144.03</v>
      </c>
    </row>
    <row r="1782" spans="3:6" x14ac:dyDescent="0.25">
      <c r="C1782" s="2" t="s">
        <v>13595</v>
      </c>
      <c r="D1782" s="2" t="s">
        <v>122</v>
      </c>
      <c r="E1782" s="2">
        <v>63</v>
      </c>
      <c r="F1782" s="2">
        <v>1146.04</v>
      </c>
    </row>
    <row r="1783" spans="3:6" x14ac:dyDescent="0.25">
      <c r="C1783" s="2" t="s">
        <v>13596</v>
      </c>
      <c r="D1783" s="2" t="s">
        <v>122</v>
      </c>
      <c r="E1783" s="2">
        <v>78</v>
      </c>
      <c r="F1783" s="2">
        <v>1595.84</v>
      </c>
    </row>
    <row r="1784" spans="3:6" x14ac:dyDescent="0.25">
      <c r="C1784" s="2" t="s">
        <v>13597</v>
      </c>
      <c r="D1784" s="2" t="s">
        <v>122</v>
      </c>
      <c r="E1784" s="2">
        <v>77</v>
      </c>
      <c r="F1784" s="2">
        <v>2532.344</v>
      </c>
    </row>
    <row r="1785" spans="3:6" x14ac:dyDescent="0.25">
      <c r="C1785" s="2" t="s">
        <v>13598</v>
      </c>
      <c r="D1785" s="2" t="s">
        <v>122</v>
      </c>
      <c r="E1785" s="2">
        <v>28</v>
      </c>
      <c r="F1785" s="2">
        <v>543.39</v>
      </c>
    </row>
    <row r="1786" spans="3:6" x14ac:dyDescent="0.25">
      <c r="C1786" s="2" t="s">
        <v>13599</v>
      </c>
      <c r="D1786" s="2" t="s">
        <v>122</v>
      </c>
      <c r="E1786" s="2">
        <v>57</v>
      </c>
      <c r="F1786" s="2">
        <v>1190.45</v>
      </c>
    </row>
    <row r="1787" spans="3:6" x14ac:dyDescent="0.25">
      <c r="C1787" s="2" t="s">
        <v>13600</v>
      </c>
      <c r="D1787" s="2" t="s">
        <v>122</v>
      </c>
      <c r="E1787" s="2">
        <v>56</v>
      </c>
      <c r="F1787" s="2">
        <v>1108.379</v>
      </c>
    </row>
    <row r="1788" spans="3:6" x14ac:dyDescent="0.25">
      <c r="C1788" s="2" t="s">
        <v>13601</v>
      </c>
      <c r="D1788" s="2" t="s">
        <v>122</v>
      </c>
      <c r="E1788" s="2">
        <v>141</v>
      </c>
      <c r="F1788" s="2">
        <v>2973.45</v>
      </c>
    </row>
    <row r="1789" spans="3:6" x14ac:dyDescent="0.25">
      <c r="C1789" s="2" t="s">
        <v>13602</v>
      </c>
      <c r="D1789" s="2" t="s">
        <v>122</v>
      </c>
      <c r="E1789" s="2">
        <v>101</v>
      </c>
      <c r="F1789" s="2">
        <v>2004.709</v>
      </c>
    </row>
    <row r="1790" spans="3:6" x14ac:dyDescent="0.25">
      <c r="C1790" s="2" t="s">
        <v>13603</v>
      </c>
      <c r="D1790" s="2" t="s">
        <v>122</v>
      </c>
      <c r="E1790" s="2">
        <v>35</v>
      </c>
      <c r="F1790" s="2">
        <v>743.84</v>
      </c>
    </row>
    <row r="1791" spans="3:6" x14ac:dyDescent="0.25">
      <c r="C1791" s="2" t="s">
        <v>13604</v>
      </c>
      <c r="D1791" s="2" t="s">
        <v>122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324</v>
      </c>
      <c r="C1793" s="2" t="s">
        <v>13605</v>
      </c>
      <c r="D1793" s="2" t="s">
        <v>27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13606</v>
      </c>
      <c r="D1794" s="2" t="s">
        <v>27</v>
      </c>
      <c r="E1794" s="2">
        <v>45</v>
      </c>
      <c r="F1794" s="2">
        <v>812.55</v>
      </c>
    </row>
    <row r="1795" spans="3:6" x14ac:dyDescent="0.25">
      <c r="C1795" s="2" t="s">
        <v>13607</v>
      </c>
      <c r="D1795" s="2" t="s">
        <v>27</v>
      </c>
      <c r="E1795" s="2">
        <v>45</v>
      </c>
      <c r="F1795" s="2">
        <v>718.6</v>
      </c>
    </row>
    <row r="1796" spans="3:6" x14ac:dyDescent="0.25">
      <c r="C1796" s="2" t="s">
        <v>13608</v>
      </c>
      <c r="D1796" s="2" t="s">
        <v>27</v>
      </c>
      <c r="E1796" s="2">
        <v>89</v>
      </c>
      <c r="F1796" s="2">
        <v>1842.06</v>
      </c>
    </row>
    <row r="1797" spans="3:6" x14ac:dyDescent="0.25">
      <c r="C1797" s="2" t="s">
        <v>13609</v>
      </c>
      <c r="D1797" s="2" t="s">
        <v>27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8925</v>
      </c>
      <c r="C1799" s="2" t="s">
        <v>13610</v>
      </c>
      <c r="D1799" s="2" t="s">
        <v>122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13611</v>
      </c>
      <c r="D1800" s="2" t="s">
        <v>122</v>
      </c>
      <c r="E1800" s="2">
        <v>71</v>
      </c>
      <c r="F1800" s="2">
        <v>2519.482</v>
      </c>
    </row>
    <row r="1801" spans="3:6" x14ac:dyDescent="0.25">
      <c r="C1801" s="2" t="s">
        <v>13612</v>
      </c>
      <c r="D1801" s="2" t="s">
        <v>122</v>
      </c>
      <c r="E1801" s="2">
        <v>112</v>
      </c>
      <c r="F1801" s="2">
        <v>2309.219</v>
      </c>
    </row>
    <row r="1802" spans="3:6" x14ac:dyDescent="0.25">
      <c r="C1802" s="2" t="s">
        <v>13613</v>
      </c>
      <c r="D1802" s="2" t="s">
        <v>122</v>
      </c>
      <c r="E1802" s="2">
        <v>19</v>
      </c>
      <c r="F1802" s="2">
        <v>355.75</v>
      </c>
    </row>
    <row r="1803" spans="3:6" x14ac:dyDescent="0.25">
      <c r="C1803" s="2" t="s">
        <v>13614</v>
      </c>
      <c r="D1803" s="2" t="s">
        <v>122</v>
      </c>
      <c r="E1803" s="2">
        <v>9</v>
      </c>
      <c r="F1803" s="2">
        <v>182.55</v>
      </c>
    </row>
    <row r="1804" spans="3:6" x14ac:dyDescent="0.25">
      <c r="C1804" s="2" t="s">
        <v>13615</v>
      </c>
      <c r="D1804" s="2" t="s">
        <v>122</v>
      </c>
      <c r="E1804" s="2">
        <v>75</v>
      </c>
      <c r="F1804" s="2">
        <v>1355.06</v>
      </c>
    </row>
    <row r="1805" spans="3:6" x14ac:dyDescent="0.25">
      <c r="C1805" s="2" t="s">
        <v>13616</v>
      </c>
      <c r="D1805" s="2" t="s">
        <v>122</v>
      </c>
      <c r="E1805" s="2">
        <v>142</v>
      </c>
      <c r="F1805" s="2">
        <v>2899.98</v>
      </c>
    </row>
    <row r="1806" spans="3:6" x14ac:dyDescent="0.25">
      <c r="C1806" s="2" t="s">
        <v>13617</v>
      </c>
      <c r="D1806" s="2" t="s">
        <v>122</v>
      </c>
      <c r="E1806" s="2">
        <v>138</v>
      </c>
      <c r="F1806" s="2">
        <v>2913.76</v>
      </c>
    </row>
    <row r="1807" spans="3:6" x14ac:dyDescent="0.25">
      <c r="C1807" s="2" t="s">
        <v>13618</v>
      </c>
      <c r="D1807" s="2" t="s">
        <v>122</v>
      </c>
      <c r="E1807" s="2">
        <v>128</v>
      </c>
      <c r="F1807" s="2">
        <v>544.09</v>
      </c>
    </row>
    <row r="1808" spans="3:6" x14ac:dyDescent="0.25">
      <c r="C1808" s="2" t="s">
        <v>13619</v>
      </c>
      <c r="D1808" s="2" t="s">
        <v>122</v>
      </c>
      <c r="E1808" s="2">
        <v>141</v>
      </c>
      <c r="F1808" s="2">
        <v>2909.839</v>
      </c>
    </row>
    <row r="1809" spans="3:6" x14ac:dyDescent="0.25">
      <c r="C1809" s="2" t="s">
        <v>13620</v>
      </c>
      <c r="D1809" s="2" t="s">
        <v>122</v>
      </c>
      <c r="E1809" s="2">
        <v>105</v>
      </c>
      <c r="F1809" s="2">
        <v>2068.25</v>
      </c>
    </row>
    <row r="1810" spans="3:6" x14ac:dyDescent="0.25">
      <c r="C1810" s="2" t="s">
        <v>13621</v>
      </c>
      <c r="D1810" s="2" t="s">
        <v>122</v>
      </c>
      <c r="E1810" s="2">
        <v>77</v>
      </c>
      <c r="F1810" s="2">
        <v>1591.18</v>
      </c>
    </row>
    <row r="1811" spans="3:6" x14ac:dyDescent="0.25">
      <c r="C1811" s="2" t="s">
        <v>13622</v>
      </c>
      <c r="D1811" s="2" t="s">
        <v>122</v>
      </c>
      <c r="E1811" s="2">
        <v>34</v>
      </c>
      <c r="F1811" s="2">
        <v>320.601</v>
      </c>
    </row>
    <row r="1812" spans="3:6" x14ac:dyDescent="0.25">
      <c r="C1812" s="2" t="s">
        <v>13623</v>
      </c>
      <c r="D1812" s="2" t="s">
        <v>122</v>
      </c>
      <c r="E1812" s="2">
        <v>102</v>
      </c>
      <c r="F1812" s="2">
        <v>2139.52</v>
      </c>
    </row>
    <row r="1813" spans="3:6" x14ac:dyDescent="0.25">
      <c r="C1813" s="2" t="s">
        <v>13624</v>
      </c>
      <c r="D1813" s="2" t="s">
        <v>122</v>
      </c>
      <c r="E1813" s="2">
        <v>65</v>
      </c>
      <c r="F1813" s="2">
        <v>1860.629</v>
      </c>
    </row>
    <row r="1814" spans="3:6" x14ac:dyDescent="0.25">
      <c r="C1814" s="2" t="s">
        <v>13625</v>
      </c>
      <c r="D1814" s="2" t="s">
        <v>122</v>
      </c>
      <c r="E1814" s="2">
        <v>121</v>
      </c>
      <c r="F1814" s="2">
        <v>2520.37</v>
      </c>
    </row>
    <row r="1815" spans="3:6" x14ac:dyDescent="0.25">
      <c r="C1815" s="2" t="s">
        <v>13626</v>
      </c>
      <c r="D1815" s="2" t="s">
        <v>122</v>
      </c>
      <c r="E1815" s="2">
        <v>65</v>
      </c>
      <c r="F1815" s="2">
        <v>2231.146</v>
      </c>
    </row>
    <row r="1816" spans="3:6" x14ac:dyDescent="0.25">
      <c r="C1816" s="2" t="s">
        <v>13627</v>
      </c>
      <c r="D1816" s="2" t="s">
        <v>122</v>
      </c>
      <c r="E1816" s="2">
        <v>134</v>
      </c>
      <c r="F1816" s="2">
        <v>2661.389</v>
      </c>
    </row>
    <row r="1817" spans="3:6" x14ac:dyDescent="0.25">
      <c r="C1817" s="2" t="s">
        <v>13628</v>
      </c>
      <c r="D1817" s="2" t="s">
        <v>122</v>
      </c>
      <c r="E1817" s="2">
        <v>102</v>
      </c>
      <c r="F1817" s="2">
        <v>2052.499</v>
      </c>
    </row>
    <row r="1818" spans="3:6" x14ac:dyDescent="0.25">
      <c r="C1818" s="2" t="s">
        <v>13629</v>
      </c>
      <c r="D1818" s="2" t="s">
        <v>122</v>
      </c>
      <c r="E1818" s="2">
        <v>102</v>
      </c>
      <c r="F1818" s="2">
        <v>2098.009</v>
      </c>
    </row>
    <row r="1819" spans="3:6" x14ac:dyDescent="0.25">
      <c r="C1819" s="2" t="s">
        <v>13630</v>
      </c>
      <c r="D1819" s="2" t="s">
        <v>122</v>
      </c>
      <c r="E1819" s="2">
        <v>141</v>
      </c>
      <c r="F1819" s="2">
        <v>2956.07</v>
      </c>
    </row>
    <row r="1820" spans="3:6" x14ac:dyDescent="0.25">
      <c r="C1820" s="2" t="s">
        <v>13631</v>
      </c>
      <c r="D1820" s="2" t="s">
        <v>122</v>
      </c>
      <c r="E1820" s="2">
        <v>141</v>
      </c>
      <c r="F1820" s="2">
        <v>2879.71</v>
      </c>
    </row>
    <row r="1821" spans="3:6" x14ac:dyDescent="0.25">
      <c r="C1821" s="2" t="s">
        <v>13632</v>
      </c>
      <c r="D1821" s="2" t="s">
        <v>122</v>
      </c>
      <c r="E1821" s="2">
        <v>141</v>
      </c>
      <c r="F1821" s="2">
        <v>2851.23</v>
      </c>
    </row>
    <row r="1822" spans="3:6" x14ac:dyDescent="0.25">
      <c r="C1822" s="2" t="s">
        <v>13633</v>
      </c>
      <c r="D1822" s="2" t="s">
        <v>122</v>
      </c>
      <c r="E1822" s="2">
        <v>72</v>
      </c>
      <c r="F1822" s="2">
        <v>1450.773</v>
      </c>
    </row>
    <row r="1823" spans="3:6" x14ac:dyDescent="0.25">
      <c r="C1823" s="2" t="s">
        <v>13634</v>
      </c>
      <c r="D1823" s="2" t="s">
        <v>122</v>
      </c>
      <c r="E1823" s="2">
        <v>69</v>
      </c>
      <c r="F1823" s="2">
        <v>1397.69</v>
      </c>
    </row>
    <row r="1824" spans="3:6" x14ac:dyDescent="0.25">
      <c r="C1824" s="2" t="s">
        <v>13635</v>
      </c>
      <c r="D1824" s="2" t="s">
        <v>122</v>
      </c>
      <c r="E1824" s="2">
        <v>46</v>
      </c>
      <c r="F1824" s="2">
        <v>927.85</v>
      </c>
    </row>
    <row r="1825" spans="3:6" x14ac:dyDescent="0.25">
      <c r="C1825" s="2" t="s">
        <v>13636</v>
      </c>
      <c r="D1825" s="2" t="s">
        <v>122</v>
      </c>
      <c r="E1825" s="2">
        <v>45</v>
      </c>
      <c r="F1825" s="2">
        <v>826.07</v>
      </c>
    </row>
    <row r="1826" spans="3:6" x14ac:dyDescent="0.25">
      <c r="C1826" s="2" t="s">
        <v>13637</v>
      </c>
      <c r="D1826" s="2" t="s">
        <v>122</v>
      </c>
      <c r="E1826" s="2">
        <v>50</v>
      </c>
      <c r="F1826" s="2">
        <v>975.48</v>
      </c>
    </row>
    <row r="1827" spans="3:6" x14ac:dyDescent="0.25">
      <c r="C1827" s="2" t="s">
        <v>13638</v>
      </c>
      <c r="D1827" s="2" t="s">
        <v>122</v>
      </c>
      <c r="E1827" s="2">
        <v>128</v>
      </c>
      <c r="F1827" s="2">
        <v>2605.639</v>
      </c>
    </row>
    <row r="1828" spans="3:6" x14ac:dyDescent="0.25">
      <c r="C1828" s="2" t="s">
        <v>13639</v>
      </c>
      <c r="D1828" s="2" t="s">
        <v>122</v>
      </c>
      <c r="E1828" s="2">
        <v>13</v>
      </c>
      <c r="F1828" s="2">
        <v>259.97</v>
      </c>
    </row>
    <row r="1829" spans="3:6" x14ac:dyDescent="0.25">
      <c r="C1829" s="2" t="s">
        <v>13640</v>
      </c>
      <c r="D1829" s="2" t="s">
        <v>122</v>
      </c>
      <c r="E1829" s="2">
        <v>12</v>
      </c>
      <c r="F1829" s="2">
        <v>242.19</v>
      </c>
    </row>
    <row r="1830" spans="3:6" x14ac:dyDescent="0.25">
      <c r="C1830" s="2" t="s">
        <v>13641</v>
      </c>
      <c r="D1830" s="2" t="s">
        <v>122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10</v>
      </c>
      <c r="C1832" s="2" t="s">
        <v>13642</v>
      </c>
      <c r="D1832" s="2" t="s">
        <v>12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13643</v>
      </c>
      <c r="D1833" s="2" t="s">
        <v>12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5633</v>
      </c>
      <c r="C1835" s="2" t="s">
        <v>13644</v>
      </c>
      <c r="D1835" s="2" t="s">
        <v>27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13645</v>
      </c>
      <c r="D1836" s="2" t="s">
        <v>27</v>
      </c>
      <c r="E1836" s="2">
        <v>24</v>
      </c>
      <c r="F1836" s="2">
        <v>516.24</v>
      </c>
    </row>
    <row r="1837" spans="3:6" x14ac:dyDescent="0.25">
      <c r="C1837" s="2" t="s">
        <v>13646</v>
      </c>
      <c r="D1837" s="2" t="s">
        <v>27</v>
      </c>
      <c r="E1837" s="2">
        <v>34</v>
      </c>
      <c r="F1837" s="2">
        <v>605.91</v>
      </c>
    </row>
    <row r="1838" spans="3:6" x14ac:dyDescent="0.25">
      <c r="C1838" s="2" t="s">
        <v>13647</v>
      </c>
      <c r="D1838" s="2" t="s">
        <v>27</v>
      </c>
      <c r="E1838" s="2">
        <v>98</v>
      </c>
      <c r="F1838" s="2">
        <v>1952.94</v>
      </c>
    </row>
    <row r="1839" spans="3:6" x14ac:dyDescent="0.25">
      <c r="C1839" s="2" t="s">
        <v>13648</v>
      </c>
      <c r="D1839" s="2" t="s">
        <v>27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2097</v>
      </c>
      <c r="C1841" s="2" t="s">
        <v>13649</v>
      </c>
      <c r="D1841" s="2" t="s">
        <v>27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13650</v>
      </c>
      <c r="D1842" s="2" t="s">
        <v>27</v>
      </c>
      <c r="E1842" s="2">
        <v>85</v>
      </c>
      <c r="F1842" s="2">
        <v>1738.93</v>
      </c>
    </row>
    <row r="1843" spans="3:6" x14ac:dyDescent="0.25">
      <c r="C1843" s="2" t="s">
        <v>13651</v>
      </c>
      <c r="D1843" s="2" t="s">
        <v>27</v>
      </c>
      <c r="E1843" s="2">
        <v>40</v>
      </c>
      <c r="F1843" s="2">
        <v>687.67</v>
      </c>
    </row>
    <row r="1844" spans="3:6" x14ac:dyDescent="0.25">
      <c r="C1844" s="2" t="s">
        <v>13652</v>
      </c>
      <c r="D1844" s="2" t="s">
        <v>27</v>
      </c>
      <c r="E1844" s="2">
        <v>13</v>
      </c>
      <c r="F1844" s="2">
        <v>232.47</v>
      </c>
    </row>
    <row r="1845" spans="3:6" x14ac:dyDescent="0.25">
      <c r="C1845" s="2" t="s">
        <v>13653</v>
      </c>
      <c r="D1845" s="2" t="s">
        <v>27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10399</v>
      </c>
      <c r="C1847" s="2" t="s">
        <v>13654</v>
      </c>
      <c r="D1847" s="2" t="s">
        <v>204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172</v>
      </c>
      <c r="C1849" s="2" t="s">
        <v>13655</v>
      </c>
      <c r="D1849" s="2" t="s">
        <v>9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13656</v>
      </c>
      <c r="D1850" s="2" t="s">
        <v>9</v>
      </c>
      <c r="E1850" s="2">
        <v>121</v>
      </c>
      <c r="F1850" s="2">
        <v>2333.7</v>
      </c>
    </row>
    <row r="1851" spans="3:6" x14ac:dyDescent="0.25">
      <c r="C1851" s="2" t="s">
        <v>13657</v>
      </c>
      <c r="D1851" s="2" t="s">
        <v>9</v>
      </c>
      <c r="E1851" s="2">
        <v>121</v>
      </c>
      <c r="F1851" s="2">
        <v>2313.5</v>
      </c>
    </row>
    <row r="1852" spans="3:6" x14ac:dyDescent="0.25">
      <c r="C1852" s="2" t="s">
        <v>13658</v>
      </c>
      <c r="D1852" s="2" t="s">
        <v>9</v>
      </c>
      <c r="E1852" s="2">
        <v>300</v>
      </c>
      <c r="F1852" s="2">
        <v>6094.8</v>
      </c>
    </row>
    <row r="1853" spans="3:6" x14ac:dyDescent="0.25">
      <c r="C1853" s="2" t="s">
        <v>13659</v>
      </c>
      <c r="D1853" s="2" t="s">
        <v>9</v>
      </c>
      <c r="E1853" s="2">
        <v>133</v>
      </c>
      <c r="F1853" s="2">
        <v>2707.119</v>
      </c>
    </row>
    <row r="1854" spans="3:6" x14ac:dyDescent="0.25">
      <c r="C1854" s="2" t="s">
        <v>13660</v>
      </c>
      <c r="D1854" s="2" t="s">
        <v>9</v>
      </c>
      <c r="E1854" s="2">
        <v>139</v>
      </c>
      <c r="F1854" s="2">
        <v>2520.51</v>
      </c>
    </row>
    <row r="1855" spans="3:6" x14ac:dyDescent="0.25">
      <c r="C1855" s="2" t="s">
        <v>13661</v>
      </c>
      <c r="D1855" s="2" t="s">
        <v>9</v>
      </c>
      <c r="E1855" s="2">
        <v>139</v>
      </c>
      <c r="F1855" s="2">
        <v>2868.36</v>
      </c>
    </row>
    <row r="1856" spans="3:6" x14ac:dyDescent="0.25">
      <c r="C1856" s="2" t="s">
        <v>13662</v>
      </c>
      <c r="D1856" s="2" t="s">
        <v>9</v>
      </c>
      <c r="E1856" s="2">
        <v>45</v>
      </c>
      <c r="F1856" s="2">
        <v>194.63</v>
      </c>
    </row>
    <row r="1857" spans="3:6" x14ac:dyDescent="0.25">
      <c r="C1857" s="2" t="s">
        <v>13663</v>
      </c>
      <c r="D1857" s="2" t="s">
        <v>9</v>
      </c>
      <c r="E1857" s="2">
        <v>278</v>
      </c>
      <c r="F1857" s="2">
        <v>5931.969</v>
      </c>
    </row>
    <row r="1858" spans="3:6" x14ac:dyDescent="0.25">
      <c r="C1858" s="2" t="s">
        <v>13664</v>
      </c>
      <c r="D1858" s="2" t="s">
        <v>9</v>
      </c>
      <c r="E1858" s="2">
        <v>139</v>
      </c>
      <c r="F1858" s="2">
        <v>3021.56</v>
      </c>
    </row>
    <row r="1859" spans="3:6" x14ac:dyDescent="0.25">
      <c r="C1859" s="2" t="s">
        <v>13665</v>
      </c>
      <c r="D1859" s="2" t="s">
        <v>9</v>
      </c>
      <c r="E1859" s="2">
        <v>100</v>
      </c>
      <c r="F1859" s="2">
        <v>2075.76</v>
      </c>
    </row>
    <row r="1860" spans="3:6" x14ac:dyDescent="0.25">
      <c r="C1860" s="2" t="s">
        <v>13666</v>
      </c>
      <c r="D1860" s="2" t="s">
        <v>9</v>
      </c>
      <c r="E1860" s="2">
        <v>30</v>
      </c>
      <c r="F1860" s="2">
        <v>128.3</v>
      </c>
    </row>
    <row r="1861" spans="3:6" x14ac:dyDescent="0.25">
      <c r="C1861" s="2" t="s">
        <v>13667</v>
      </c>
      <c r="D1861" s="2" t="s">
        <v>9</v>
      </c>
      <c r="E1861" s="2">
        <v>278</v>
      </c>
      <c r="F1861" s="2">
        <v>5856.708</v>
      </c>
    </row>
    <row r="1862" spans="3:6" x14ac:dyDescent="0.25">
      <c r="C1862" s="2" t="s">
        <v>13668</v>
      </c>
      <c r="D1862" s="2" t="s">
        <v>9</v>
      </c>
      <c r="E1862" s="2">
        <v>139</v>
      </c>
      <c r="F1862" s="2">
        <v>2894.619</v>
      </c>
    </row>
    <row r="1863" spans="3:6" x14ac:dyDescent="0.25">
      <c r="C1863" s="2" t="s">
        <v>13669</v>
      </c>
      <c r="D1863" s="2" t="s">
        <v>9</v>
      </c>
      <c r="E1863" s="2">
        <v>100</v>
      </c>
      <c r="F1863" s="2">
        <v>2014.82</v>
      </c>
    </row>
    <row r="1864" spans="3:6" x14ac:dyDescent="0.25">
      <c r="C1864" s="2" t="s">
        <v>13670</v>
      </c>
      <c r="D1864" s="2" t="s">
        <v>9</v>
      </c>
      <c r="E1864" s="2">
        <v>100</v>
      </c>
      <c r="F1864" s="2">
        <v>2094.76</v>
      </c>
    </row>
    <row r="1865" spans="3:6" x14ac:dyDescent="0.25">
      <c r="C1865" s="2" t="s">
        <v>13671</v>
      </c>
      <c r="D1865" s="2" t="s">
        <v>9</v>
      </c>
      <c r="E1865" s="2">
        <v>139</v>
      </c>
      <c r="F1865" s="2">
        <v>2858.33</v>
      </c>
    </row>
    <row r="1866" spans="3:6" x14ac:dyDescent="0.25">
      <c r="C1866" s="2" t="s">
        <v>13672</v>
      </c>
      <c r="D1866" s="2" t="s">
        <v>9</v>
      </c>
      <c r="E1866" s="2">
        <v>139</v>
      </c>
      <c r="F1866" s="2">
        <v>2812.227</v>
      </c>
    </row>
    <row r="1867" spans="3:6" x14ac:dyDescent="0.25">
      <c r="C1867" s="2" t="s">
        <v>13673</v>
      </c>
      <c r="D1867" s="2" t="s">
        <v>9</v>
      </c>
      <c r="E1867" s="2">
        <v>139</v>
      </c>
      <c r="F1867" s="2">
        <v>2777.51</v>
      </c>
    </row>
    <row r="1868" spans="3:6" x14ac:dyDescent="0.25">
      <c r="C1868" s="2" t="s">
        <v>13674</v>
      </c>
      <c r="D1868" s="2" t="s">
        <v>9</v>
      </c>
      <c r="E1868" s="2">
        <v>139</v>
      </c>
      <c r="F1868" s="2">
        <v>2827.03</v>
      </c>
    </row>
    <row r="1869" spans="3:6" x14ac:dyDescent="0.25">
      <c r="C1869" s="2" t="s">
        <v>13675</v>
      </c>
      <c r="D1869" s="2" t="s">
        <v>9</v>
      </c>
      <c r="E1869" s="2">
        <v>139</v>
      </c>
      <c r="F1869" s="2">
        <v>2832.869</v>
      </c>
    </row>
    <row r="1870" spans="3:6" x14ac:dyDescent="0.25">
      <c r="C1870" s="2" t="s">
        <v>13676</v>
      </c>
      <c r="D1870" s="2" t="s">
        <v>9</v>
      </c>
      <c r="E1870" s="2">
        <v>100</v>
      </c>
      <c r="F1870" s="2">
        <v>2047.5</v>
      </c>
    </row>
    <row r="1871" spans="3:6" x14ac:dyDescent="0.25">
      <c r="C1871" s="2" t="s">
        <v>13677</v>
      </c>
      <c r="D1871" s="2" t="s">
        <v>9</v>
      </c>
      <c r="E1871" s="2">
        <v>20</v>
      </c>
      <c r="F1871" s="2">
        <v>361.348</v>
      </c>
    </row>
    <row r="1872" spans="3:6" x14ac:dyDescent="0.25">
      <c r="C1872" s="2" t="s">
        <v>13678</v>
      </c>
      <c r="D1872" s="2" t="s">
        <v>9</v>
      </c>
      <c r="E1872" s="2">
        <v>51</v>
      </c>
      <c r="F1872" s="2">
        <v>1053.23</v>
      </c>
    </row>
    <row r="1873" spans="3:6" x14ac:dyDescent="0.25">
      <c r="C1873" s="2" t="s">
        <v>13679</v>
      </c>
      <c r="D1873" s="2" t="s">
        <v>9</v>
      </c>
      <c r="E1873" s="2">
        <v>2</v>
      </c>
      <c r="F1873" s="2">
        <v>42.37</v>
      </c>
    </row>
    <row r="1874" spans="3:6" x14ac:dyDescent="0.25">
      <c r="C1874" s="2" t="s">
        <v>13680</v>
      </c>
      <c r="D1874" s="2" t="s">
        <v>9</v>
      </c>
      <c r="E1874" s="2">
        <v>3</v>
      </c>
      <c r="F1874" s="2">
        <v>44.04</v>
      </c>
    </row>
    <row r="1875" spans="3:6" x14ac:dyDescent="0.25">
      <c r="C1875" s="2" t="s">
        <v>13681</v>
      </c>
      <c r="D1875" s="2" t="s">
        <v>9</v>
      </c>
      <c r="E1875" s="2">
        <v>139</v>
      </c>
      <c r="F1875" s="2">
        <v>2971.509</v>
      </c>
    </row>
    <row r="1876" spans="3:6" x14ac:dyDescent="0.25">
      <c r="C1876" s="2" t="s">
        <v>13682</v>
      </c>
      <c r="D1876" s="2" t="s">
        <v>9</v>
      </c>
      <c r="E1876" s="2">
        <v>282</v>
      </c>
      <c r="F1876" s="2">
        <v>5861.43</v>
      </c>
    </row>
    <row r="1877" spans="3:6" x14ac:dyDescent="0.25">
      <c r="C1877" s="2" t="s">
        <v>13683</v>
      </c>
      <c r="D1877" s="2" t="s">
        <v>9</v>
      </c>
      <c r="E1877" s="2">
        <v>60</v>
      </c>
      <c r="F1877" s="2">
        <v>1159.059</v>
      </c>
    </row>
    <row r="1878" spans="3:6" x14ac:dyDescent="0.25">
      <c r="C1878" s="2" t="s">
        <v>13684</v>
      </c>
      <c r="D1878" s="2" t="s">
        <v>9</v>
      </c>
      <c r="E1878" s="2">
        <v>79</v>
      </c>
      <c r="F1878" s="2">
        <v>1474.18</v>
      </c>
    </row>
    <row r="1879" spans="3:6" x14ac:dyDescent="0.25">
      <c r="C1879" s="2" t="s">
        <v>13685</v>
      </c>
      <c r="D1879" s="2" t="s">
        <v>9</v>
      </c>
      <c r="E1879" s="2">
        <v>139</v>
      </c>
      <c r="F1879" s="2">
        <v>2849.649</v>
      </c>
    </row>
    <row r="1880" spans="3:6" x14ac:dyDescent="0.25">
      <c r="C1880" s="2" t="s">
        <v>13686</v>
      </c>
      <c r="D1880" s="2" t="s">
        <v>9</v>
      </c>
      <c r="E1880" s="2">
        <v>89</v>
      </c>
      <c r="F1880" s="2">
        <v>1908.55</v>
      </c>
    </row>
    <row r="1881" spans="3:6" x14ac:dyDescent="0.25">
      <c r="C1881" s="2" t="s">
        <v>13687</v>
      </c>
      <c r="D1881" s="2" t="s">
        <v>9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183</v>
      </c>
      <c r="C1883" s="2" t="s">
        <v>13688</v>
      </c>
      <c r="D1883" s="2" t="s">
        <v>122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13689</v>
      </c>
      <c r="D1884" s="2" t="s">
        <v>122</v>
      </c>
      <c r="E1884" s="2">
        <v>77</v>
      </c>
      <c r="F1884" s="2">
        <v>1975.542</v>
      </c>
    </row>
    <row r="1885" spans="3:6" x14ac:dyDescent="0.25">
      <c r="C1885" s="2" t="s">
        <v>13690</v>
      </c>
      <c r="D1885" s="2" t="s">
        <v>122</v>
      </c>
      <c r="E1885" s="2">
        <v>77</v>
      </c>
      <c r="F1885" s="2">
        <v>2063.516</v>
      </c>
    </row>
    <row r="1886" spans="3:6" x14ac:dyDescent="0.25">
      <c r="C1886" s="2" t="s">
        <v>13691</v>
      </c>
      <c r="D1886" s="2" t="s">
        <v>122</v>
      </c>
      <c r="E1886" s="2">
        <v>76</v>
      </c>
      <c r="F1886" s="2">
        <v>2024.671</v>
      </c>
    </row>
    <row r="1887" spans="3:6" x14ac:dyDescent="0.25">
      <c r="C1887" s="2" t="s">
        <v>13692</v>
      </c>
      <c r="D1887" s="2" t="s">
        <v>122</v>
      </c>
      <c r="E1887" s="2">
        <v>44</v>
      </c>
      <c r="F1887" s="2">
        <v>873.11</v>
      </c>
    </row>
    <row r="1888" spans="3:6" x14ac:dyDescent="0.25">
      <c r="C1888" s="2" t="s">
        <v>13693</v>
      </c>
      <c r="D1888" s="2" t="s">
        <v>122</v>
      </c>
      <c r="E1888" s="2">
        <v>34</v>
      </c>
      <c r="F1888" s="2">
        <v>680.47</v>
      </c>
    </row>
    <row r="1889" spans="3:6" x14ac:dyDescent="0.25">
      <c r="C1889" s="2" t="s">
        <v>13694</v>
      </c>
      <c r="D1889" s="2" t="s">
        <v>122</v>
      </c>
      <c r="E1889" s="2">
        <v>32</v>
      </c>
      <c r="F1889" s="2">
        <v>592.77</v>
      </c>
    </row>
    <row r="1890" spans="3:6" x14ac:dyDescent="0.25">
      <c r="C1890" s="2" t="s">
        <v>13695</v>
      </c>
      <c r="D1890" s="2" t="s">
        <v>122</v>
      </c>
      <c r="E1890" s="2">
        <v>11</v>
      </c>
      <c r="F1890" s="2">
        <v>228.58</v>
      </c>
    </row>
    <row r="1891" spans="3:6" x14ac:dyDescent="0.25">
      <c r="C1891" s="2" t="s">
        <v>13696</v>
      </c>
      <c r="D1891" s="2" t="s">
        <v>122</v>
      </c>
      <c r="E1891" s="2">
        <v>78</v>
      </c>
      <c r="F1891" s="2">
        <v>1732.897</v>
      </c>
    </row>
    <row r="1892" spans="3:6" x14ac:dyDescent="0.25">
      <c r="C1892" s="2" t="s">
        <v>13697</v>
      </c>
      <c r="D1892" s="2" t="s">
        <v>122</v>
      </c>
      <c r="E1892" s="2">
        <v>62</v>
      </c>
      <c r="F1892" s="2">
        <v>1283.919</v>
      </c>
    </row>
    <row r="1893" spans="3:6" x14ac:dyDescent="0.25">
      <c r="C1893" s="2" t="s">
        <v>13698</v>
      </c>
      <c r="D1893" s="2" t="s">
        <v>122</v>
      </c>
      <c r="E1893" s="2">
        <v>24</v>
      </c>
      <c r="F1893" s="2">
        <v>271.892</v>
      </c>
    </row>
    <row r="1894" spans="3:6" x14ac:dyDescent="0.25">
      <c r="C1894" s="2" t="s">
        <v>13699</v>
      </c>
      <c r="D1894" s="2" t="s">
        <v>122</v>
      </c>
      <c r="E1894" s="2">
        <v>45</v>
      </c>
      <c r="F1894" s="2">
        <v>903.83</v>
      </c>
    </row>
    <row r="1895" spans="3:6" x14ac:dyDescent="0.25">
      <c r="C1895" s="2" t="s">
        <v>13700</v>
      </c>
      <c r="D1895" s="2" t="s">
        <v>122</v>
      </c>
      <c r="E1895" s="2">
        <v>17</v>
      </c>
      <c r="F1895" s="2">
        <v>325.43</v>
      </c>
    </row>
    <row r="1896" spans="3:6" x14ac:dyDescent="0.25">
      <c r="C1896" s="2" t="s">
        <v>13701</v>
      </c>
      <c r="D1896" s="2" t="s">
        <v>122</v>
      </c>
      <c r="E1896" s="2">
        <v>18</v>
      </c>
      <c r="F1896" s="2">
        <v>250.86</v>
      </c>
    </row>
    <row r="1897" spans="3:6" x14ac:dyDescent="0.25">
      <c r="C1897" s="2" t="s">
        <v>13702</v>
      </c>
      <c r="D1897" s="2" t="s">
        <v>122</v>
      </c>
      <c r="E1897" s="2">
        <v>64</v>
      </c>
      <c r="F1897" s="2">
        <v>1163.87</v>
      </c>
    </row>
    <row r="1898" spans="3:6" x14ac:dyDescent="0.25">
      <c r="C1898" s="2" t="s">
        <v>13703</v>
      </c>
      <c r="D1898" s="2" t="s">
        <v>122</v>
      </c>
      <c r="E1898" s="2">
        <v>12</v>
      </c>
      <c r="F1898" s="2">
        <v>190.97</v>
      </c>
    </row>
    <row r="1899" spans="3:6" x14ac:dyDescent="0.25">
      <c r="C1899" s="2" t="s">
        <v>13704</v>
      </c>
      <c r="D1899" s="2" t="s">
        <v>122</v>
      </c>
      <c r="E1899" s="2">
        <v>54</v>
      </c>
      <c r="F1899" s="2">
        <v>992.31</v>
      </c>
    </row>
    <row r="1900" spans="3:6" x14ac:dyDescent="0.25">
      <c r="C1900" s="2" t="s">
        <v>13705</v>
      </c>
      <c r="D1900" s="2" t="s">
        <v>122</v>
      </c>
      <c r="E1900" s="2">
        <v>39</v>
      </c>
      <c r="F1900" s="2">
        <v>804.11</v>
      </c>
    </row>
    <row r="1901" spans="3:6" x14ac:dyDescent="0.25">
      <c r="C1901" s="2" t="s">
        <v>13706</v>
      </c>
      <c r="D1901" s="2" t="s">
        <v>122</v>
      </c>
      <c r="E1901" s="2">
        <v>16</v>
      </c>
      <c r="F1901" s="2">
        <v>306.4</v>
      </c>
    </row>
    <row r="1902" spans="3:6" x14ac:dyDescent="0.25">
      <c r="C1902" s="2" t="s">
        <v>13707</v>
      </c>
      <c r="D1902" s="2" t="s">
        <v>122</v>
      </c>
      <c r="E1902" s="2">
        <v>6</v>
      </c>
      <c r="F1902" s="2">
        <v>117.4</v>
      </c>
    </row>
    <row r="1903" spans="3:6" x14ac:dyDescent="0.25">
      <c r="C1903" s="2" t="s">
        <v>13708</v>
      </c>
      <c r="D1903" s="2" t="s">
        <v>122</v>
      </c>
      <c r="E1903" s="2">
        <v>7</v>
      </c>
      <c r="F1903" s="2">
        <v>130.83</v>
      </c>
    </row>
    <row r="1904" spans="3:6" x14ac:dyDescent="0.25">
      <c r="C1904" s="2" t="s">
        <v>13709</v>
      </c>
      <c r="D1904" s="2" t="s">
        <v>122</v>
      </c>
      <c r="E1904" s="2">
        <v>69</v>
      </c>
      <c r="F1904" s="2">
        <v>1371.25</v>
      </c>
    </row>
    <row r="1905" spans="3:6" x14ac:dyDescent="0.25">
      <c r="C1905" s="2" t="s">
        <v>13710</v>
      </c>
      <c r="D1905" s="2" t="s">
        <v>122</v>
      </c>
      <c r="E1905" s="2">
        <v>45</v>
      </c>
      <c r="F1905" s="2">
        <v>901.81</v>
      </c>
    </row>
    <row r="1906" spans="3:6" x14ac:dyDescent="0.25">
      <c r="C1906" s="2" t="s">
        <v>13711</v>
      </c>
      <c r="D1906" s="2" t="s">
        <v>122</v>
      </c>
      <c r="E1906" s="2">
        <v>102</v>
      </c>
      <c r="F1906" s="2">
        <v>2045.25</v>
      </c>
    </row>
    <row r="1907" spans="3:6" x14ac:dyDescent="0.25">
      <c r="C1907" s="2" t="s">
        <v>13712</v>
      </c>
      <c r="D1907" s="2" t="s">
        <v>122</v>
      </c>
      <c r="E1907" s="2">
        <v>11</v>
      </c>
      <c r="F1907" s="2">
        <v>210.57</v>
      </c>
    </row>
    <row r="1908" spans="3:6" x14ac:dyDescent="0.25">
      <c r="C1908" s="2" t="s">
        <v>13713</v>
      </c>
      <c r="D1908" s="2" t="s">
        <v>122</v>
      </c>
      <c r="E1908" s="2">
        <v>37</v>
      </c>
      <c r="F1908" s="2">
        <v>760.4</v>
      </c>
    </row>
    <row r="1909" spans="3:6" x14ac:dyDescent="0.25">
      <c r="C1909" s="2" t="s">
        <v>13714</v>
      </c>
      <c r="D1909" s="2" t="s">
        <v>122</v>
      </c>
      <c r="E1909" s="2">
        <v>54</v>
      </c>
      <c r="F1909" s="2">
        <v>1011.7</v>
      </c>
    </row>
    <row r="1910" spans="3:6" x14ac:dyDescent="0.25">
      <c r="C1910" s="2" t="s">
        <v>13715</v>
      </c>
      <c r="D1910" s="2" t="s">
        <v>122</v>
      </c>
      <c r="E1910" s="2">
        <v>75</v>
      </c>
      <c r="F1910" s="2">
        <v>1569.58</v>
      </c>
    </row>
    <row r="1911" spans="3:6" x14ac:dyDescent="0.25">
      <c r="C1911" s="2" t="s">
        <v>13716</v>
      </c>
      <c r="D1911" s="2" t="s">
        <v>122</v>
      </c>
      <c r="E1911" s="2">
        <v>71</v>
      </c>
      <c r="F1911" s="2">
        <v>2084.219</v>
      </c>
    </row>
    <row r="1912" spans="3:6" x14ac:dyDescent="0.25">
      <c r="C1912" s="2" t="s">
        <v>13717</v>
      </c>
      <c r="D1912" s="2" t="s">
        <v>122</v>
      </c>
      <c r="E1912" s="2">
        <v>77</v>
      </c>
      <c r="F1912" s="2">
        <v>1554.16</v>
      </c>
    </row>
    <row r="1913" spans="3:6" x14ac:dyDescent="0.25">
      <c r="C1913" s="2" t="s">
        <v>13718</v>
      </c>
      <c r="D1913" s="2" t="s">
        <v>122</v>
      </c>
      <c r="E1913" s="2">
        <v>33</v>
      </c>
      <c r="F1913" s="2">
        <v>702.54</v>
      </c>
    </row>
    <row r="1914" spans="3:6" x14ac:dyDescent="0.25">
      <c r="C1914" s="2" t="s">
        <v>13719</v>
      </c>
      <c r="D1914" s="2" t="s">
        <v>122</v>
      </c>
      <c r="E1914" s="2">
        <v>24</v>
      </c>
      <c r="F1914" s="2">
        <v>522.35</v>
      </c>
    </row>
    <row r="1915" spans="3:6" x14ac:dyDescent="0.25">
      <c r="C1915" s="2" t="s">
        <v>13720</v>
      </c>
      <c r="D1915" s="2" t="s">
        <v>122</v>
      </c>
      <c r="E1915" s="2">
        <v>141</v>
      </c>
      <c r="F1915" s="2">
        <v>2775.587</v>
      </c>
    </row>
    <row r="1916" spans="3:6" x14ac:dyDescent="0.25">
      <c r="C1916" s="2" t="s">
        <v>13721</v>
      </c>
      <c r="D1916" s="2" t="s">
        <v>122</v>
      </c>
      <c r="E1916" s="2">
        <v>141</v>
      </c>
      <c r="F1916" s="2">
        <v>2895.22</v>
      </c>
    </row>
    <row r="1917" spans="3:6" x14ac:dyDescent="0.25">
      <c r="C1917" s="2" t="s">
        <v>13722</v>
      </c>
      <c r="D1917" s="2" t="s">
        <v>122</v>
      </c>
      <c r="E1917" s="2">
        <v>141</v>
      </c>
      <c r="F1917" s="2">
        <v>2935.55</v>
      </c>
    </row>
    <row r="1918" spans="3:6" x14ac:dyDescent="0.25">
      <c r="C1918" s="2" t="s">
        <v>13723</v>
      </c>
      <c r="D1918" s="2" t="s">
        <v>122</v>
      </c>
      <c r="E1918" s="2">
        <v>35</v>
      </c>
      <c r="F1918" s="2">
        <v>686.47</v>
      </c>
    </row>
    <row r="1919" spans="3:6" x14ac:dyDescent="0.25">
      <c r="C1919" s="2" t="s">
        <v>13724</v>
      </c>
      <c r="D1919" s="2" t="s">
        <v>122</v>
      </c>
      <c r="E1919" s="2">
        <v>46</v>
      </c>
      <c r="F1919" s="2">
        <v>915.4</v>
      </c>
    </row>
    <row r="1920" spans="3:6" x14ac:dyDescent="0.25">
      <c r="C1920" s="2" t="s">
        <v>13725</v>
      </c>
      <c r="D1920" s="2" t="s">
        <v>122</v>
      </c>
      <c r="E1920" s="2">
        <v>21</v>
      </c>
      <c r="F1920" s="2">
        <v>439.79</v>
      </c>
    </row>
    <row r="1921" spans="3:6" x14ac:dyDescent="0.25">
      <c r="C1921" s="2" t="s">
        <v>13726</v>
      </c>
      <c r="D1921" s="2" t="s">
        <v>122</v>
      </c>
      <c r="E1921" s="2">
        <v>51</v>
      </c>
      <c r="F1921" s="2">
        <v>1096.73</v>
      </c>
    </row>
    <row r="1922" spans="3:6" x14ac:dyDescent="0.25">
      <c r="C1922" s="2" t="s">
        <v>13727</v>
      </c>
      <c r="D1922" s="2" t="s">
        <v>122</v>
      </c>
      <c r="E1922" s="2">
        <v>60</v>
      </c>
      <c r="F1922" s="2">
        <v>1266.6</v>
      </c>
    </row>
    <row r="1923" spans="3:6" x14ac:dyDescent="0.25">
      <c r="C1923" s="2" t="s">
        <v>13728</v>
      </c>
      <c r="D1923" s="2" t="s">
        <v>122</v>
      </c>
      <c r="E1923" s="2">
        <v>30</v>
      </c>
      <c r="F1923" s="2">
        <v>625.2</v>
      </c>
    </row>
    <row r="1924" spans="3:6" x14ac:dyDescent="0.25">
      <c r="C1924" s="2" t="s">
        <v>13729</v>
      </c>
      <c r="D1924" s="2" t="s">
        <v>122</v>
      </c>
      <c r="E1924" s="2">
        <v>29</v>
      </c>
      <c r="F1924" s="2">
        <v>581.509</v>
      </c>
    </row>
    <row r="1925" spans="3:6" x14ac:dyDescent="0.25">
      <c r="C1925" s="2" t="s">
        <v>13730</v>
      </c>
      <c r="D1925" s="2" t="s">
        <v>122</v>
      </c>
      <c r="E1925" s="2">
        <v>19</v>
      </c>
      <c r="F1925" s="2">
        <v>378.52</v>
      </c>
    </row>
    <row r="1926" spans="3:6" x14ac:dyDescent="0.25">
      <c r="C1926" s="2" t="s">
        <v>13731</v>
      </c>
      <c r="D1926" s="2" t="s">
        <v>122</v>
      </c>
      <c r="E1926" s="2">
        <v>20</v>
      </c>
      <c r="F1926" s="2">
        <v>413.97</v>
      </c>
    </row>
    <row r="1927" spans="3:6" x14ac:dyDescent="0.25">
      <c r="C1927" s="2" t="s">
        <v>13732</v>
      </c>
      <c r="D1927" s="2" t="s">
        <v>122</v>
      </c>
      <c r="E1927" s="2">
        <v>17</v>
      </c>
      <c r="F1927" s="2">
        <v>350.86</v>
      </c>
    </row>
    <row r="1928" spans="3:6" x14ac:dyDescent="0.25">
      <c r="C1928" s="2" t="s">
        <v>13733</v>
      </c>
      <c r="D1928" s="2" t="s">
        <v>122</v>
      </c>
      <c r="E1928" s="2">
        <v>15</v>
      </c>
      <c r="F1928" s="2">
        <v>316.33</v>
      </c>
    </row>
    <row r="1929" spans="3:6" x14ac:dyDescent="0.25">
      <c r="C1929" s="2" t="s">
        <v>13734</v>
      </c>
      <c r="D1929" s="2" t="s">
        <v>122</v>
      </c>
      <c r="E1929" s="2">
        <v>75</v>
      </c>
      <c r="F1929" s="2">
        <v>1533.51</v>
      </c>
    </row>
    <row r="1930" spans="3:6" x14ac:dyDescent="0.25">
      <c r="C1930" s="2" t="s">
        <v>13735</v>
      </c>
      <c r="D1930" s="2" t="s">
        <v>122</v>
      </c>
      <c r="E1930" s="2">
        <v>27</v>
      </c>
      <c r="F1930" s="2">
        <v>561.68</v>
      </c>
    </row>
    <row r="1931" spans="3:6" x14ac:dyDescent="0.25">
      <c r="C1931" s="2" t="s">
        <v>13736</v>
      </c>
      <c r="D1931" s="2" t="s">
        <v>122</v>
      </c>
      <c r="E1931" s="2">
        <v>141</v>
      </c>
      <c r="F1931" s="2">
        <v>2870.42</v>
      </c>
    </row>
    <row r="1932" spans="3:6" x14ac:dyDescent="0.25">
      <c r="C1932" s="2" t="s">
        <v>13737</v>
      </c>
      <c r="D1932" s="2" t="s">
        <v>122</v>
      </c>
      <c r="E1932" s="2">
        <v>44</v>
      </c>
      <c r="F1932" s="2">
        <v>924.71</v>
      </c>
    </row>
    <row r="1933" spans="3:6" x14ac:dyDescent="0.25">
      <c r="C1933" s="2" t="s">
        <v>13738</v>
      </c>
      <c r="D1933" s="2" t="s">
        <v>122</v>
      </c>
      <c r="E1933" s="2">
        <v>74</v>
      </c>
      <c r="F1933" s="2">
        <v>1528.67</v>
      </c>
    </row>
    <row r="1934" spans="3:6" x14ac:dyDescent="0.25">
      <c r="C1934" s="2" t="s">
        <v>13739</v>
      </c>
      <c r="D1934" s="2" t="s">
        <v>122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10</v>
      </c>
      <c r="C1936" s="2" t="s">
        <v>13740</v>
      </c>
      <c r="D1936" s="2" t="s">
        <v>12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13741</v>
      </c>
      <c r="D1937" s="2" t="s">
        <v>12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12270</v>
      </c>
      <c r="C1939" s="2" t="s">
        <v>13742</v>
      </c>
      <c r="D1939" s="2" t="s">
        <v>12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13743</v>
      </c>
      <c r="D1940" s="2" t="s">
        <v>12</v>
      </c>
      <c r="E1940" s="2">
        <v>156</v>
      </c>
      <c r="F1940" s="2">
        <v>3162.532</v>
      </c>
    </row>
    <row r="1941" spans="3:6" x14ac:dyDescent="0.25">
      <c r="C1941" s="2" t="s">
        <v>13744</v>
      </c>
      <c r="D1941" s="2" t="s">
        <v>12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12462</v>
      </c>
      <c r="C1943" s="2" t="s">
        <v>13745</v>
      </c>
      <c r="D1943" s="2" t="s">
        <v>20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13746</v>
      </c>
      <c r="D1944" s="2" t="s">
        <v>20</v>
      </c>
      <c r="E1944" s="2">
        <v>272</v>
      </c>
      <c r="F1944" s="2">
        <v>5459.52</v>
      </c>
    </row>
    <row r="1945" spans="3:6" x14ac:dyDescent="0.25">
      <c r="C1945" s="2" t="s">
        <v>13747</v>
      </c>
      <c r="D1945" s="2" t="s">
        <v>20</v>
      </c>
      <c r="E1945" s="2">
        <v>191</v>
      </c>
      <c r="F1945" s="2">
        <v>4119.92</v>
      </c>
    </row>
    <row r="1946" spans="3:6" x14ac:dyDescent="0.25">
      <c r="C1946" s="2" t="s">
        <v>13748</v>
      </c>
      <c r="D1946" s="2" t="s">
        <v>20</v>
      </c>
      <c r="E1946" s="2">
        <v>273</v>
      </c>
      <c r="F1946" s="2">
        <v>5012.241</v>
      </c>
    </row>
    <row r="1947" spans="3:6" x14ac:dyDescent="0.25">
      <c r="C1947" s="2" t="s">
        <v>13749</v>
      </c>
      <c r="D1947" s="2" t="s">
        <v>20</v>
      </c>
      <c r="E1947" s="2">
        <v>102</v>
      </c>
      <c r="F1947" s="2">
        <v>2055.21</v>
      </c>
    </row>
    <row r="1948" spans="3:6" x14ac:dyDescent="0.25">
      <c r="C1948" s="2" t="s">
        <v>13750</v>
      </c>
      <c r="D1948" s="2" t="s">
        <v>20</v>
      </c>
      <c r="E1948" s="2">
        <v>149</v>
      </c>
      <c r="F1948" s="2">
        <v>2882.739</v>
      </c>
    </row>
    <row r="1949" spans="3:6" x14ac:dyDescent="0.25">
      <c r="C1949" s="2" t="s">
        <v>13751</v>
      </c>
      <c r="D1949" s="2" t="s">
        <v>20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324</v>
      </c>
      <c r="C1951" s="2" t="s">
        <v>13752</v>
      </c>
      <c r="D1951" s="2" t="s">
        <v>122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13753</v>
      </c>
      <c r="D1952" s="2" t="s">
        <v>122</v>
      </c>
      <c r="E1952" s="2">
        <v>59</v>
      </c>
      <c r="F1952" s="2">
        <v>1166.69</v>
      </c>
    </row>
    <row r="1953" spans="3:6" x14ac:dyDescent="0.25">
      <c r="C1953" s="2" t="s">
        <v>13754</v>
      </c>
      <c r="D1953" s="2" t="s">
        <v>122</v>
      </c>
      <c r="E1953" s="2">
        <v>121</v>
      </c>
      <c r="F1953" s="2">
        <v>2508.8</v>
      </c>
    </row>
    <row r="1954" spans="3:6" x14ac:dyDescent="0.25">
      <c r="C1954" s="2" t="s">
        <v>13755</v>
      </c>
      <c r="D1954" s="2" t="s">
        <v>122</v>
      </c>
      <c r="E1954" s="2">
        <v>92</v>
      </c>
      <c r="F1954" s="2">
        <v>2099.015</v>
      </c>
    </row>
    <row r="1955" spans="3:6" x14ac:dyDescent="0.25">
      <c r="C1955" s="2" t="s">
        <v>13756</v>
      </c>
      <c r="D1955" s="2" t="s">
        <v>122</v>
      </c>
      <c r="E1955" s="2">
        <v>109</v>
      </c>
      <c r="F1955" s="2">
        <v>1150.982</v>
      </c>
    </row>
    <row r="1956" spans="3:6" x14ac:dyDescent="0.25">
      <c r="C1956" s="2" t="s">
        <v>13757</v>
      </c>
      <c r="D1956" s="2" t="s">
        <v>122</v>
      </c>
      <c r="E1956" s="2">
        <v>141</v>
      </c>
      <c r="F1956" s="2">
        <v>2922.89</v>
      </c>
    </row>
    <row r="1957" spans="3:6" x14ac:dyDescent="0.25">
      <c r="C1957" s="2" t="s">
        <v>13758</v>
      </c>
      <c r="D1957" s="2" t="s">
        <v>122</v>
      </c>
      <c r="E1957" s="2">
        <v>141</v>
      </c>
      <c r="F1957" s="2">
        <v>2897.21</v>
      </c>
    </row>
    <row r="1958" spans="3:6" x14ac:dyDescent="0.25">
      <c r="C1958" s="2" t="s">
        <v>13759</v>
      </c>
      <c r="D1958" s="2" t="s">
        <v>122</v>
      </c>
      <c r="E1958" s="2">
        <v>30</v>
      </c>
      <c r="F1958" s="2">
        <v>600.07</v>
      </c>
    </row>
    <row r="1959" spans="3:6" x14ac:dyDescent="0.25">
      <c r="C1959" s="2" t="s">
        <v>13760</v>
      </c>
      <c r="D1959" s="2" t="s">
        <v>122</v>
      </c>
      <c r="E1959" s="2">
        <v>26</v>
      </c>
      <c r="F1959" s="2">
        <v>543.71</v>
      </c>
    </row>
    <row r="1960" spans="3:6" x14ac:dyDescent="0.25">
      <c r="C1960" s="2" t="s">
        <v>13761</v>
      </c>
      <c r="D1960" s="2" t="s">
        <v>122</v>
      </c>
      <c r="E1960" s="2">
        <v>44</v>
      </c>
      <c r="F1960" s="2">
        <v>901.03</v>
      </c>
    </row>
    <row r="1961" spans="3:6" x14ac:dyDescent="0.25">
      <c r="C1961" s="2" t="s">
        <v>13762</v>
      </c>
      <c r="D1961" s="2" t="s">
        <v>122</v>
      </c>
      <c r="E1961" s="2">
        <v>62</v>
      </c>
      <c r="F1961" s="2">
        <v>1221.35</v>
      </c>
    </row>
    <row r="1962" spans="3:6" x14ac:dyDescent="0.25">
      <c r="C1962" s="2" t="s">
        <v>13763</v>
      </c>
      <c r="D1962" s="2" t="s">
        <v>122</v>
      </c>
      <c r="E1962" s="2">
        <v>35</v>
      </c>
      <c r="F1962" s="2">
        <v>729.11</v>
      </c>
    </row>
    <row r="1963" spans="3:6" x14ac:dyDescent="0.25">
      <c r="C1963" s="2" t="s">
        <v>13764</v>
      </c>
      <c r="D1963" s="2" t="s">
        <v>122</v>
      </c>
      <c r="E1963" s="2">
        <v>44</v>
      </c>
      <c r="F1963" s="2">
        <v>898.9</v>
      </c>
    </row>
    <row r="1964" spans="3:6" x14ac:dyDescent="0.25">
      <c r="C1964" s="2" t="s">
        <v>13765</v>
      </c>
      <c r="D1964" s="2" t="s">
        <v>122</v>
      </c>
      <c r="E1964" s="2">
        <v>81</v>
      </c>
      <c r="F1964" s="2">
        <v>1676.01</v>
      </c>
    </row>
    <row r="1965" spans="3:6" x14ac:dyDescent="0.25">
      <c r="C1965" s="2" t="s">
        <v>13766</v>
      </c>
      <c r="D1965" s="2" t="s">
        <v>122</v>
      </c>
      <c r="E1965" s="2">
        <v>60</v>
      </c>
      <c r="F1965" s="2">
        <v>1240.3</v>
      </c>
    </row>
    <row r="1966" spans="3:6" x14ac:dyDescent="0.25">
      <c r="C1966" s="2" t="s">
        <v>13767</v>
      </c>
      <c r="D1966" s="2" t="s">
        <v>122</v>
      </c>
      <c r="E1966" s="2">
        <v>50</v>
      </c>
      <c r="F1966" s="2">
        <v>1022.68</v>
      </c>
    </row>
    <row r="1967" spans="3:6" x14ac:dyDescent="0.25">
      <c r="C1967" s="2" t="s">
        <v>13768</v>
      </c>
      <c r="D1967" s="2" t="s">
        <v>122</v>
      </c>
      <c r="E1967" s="2">
        <v>70</v>
      </c>
      <c r="F1967" s="2">
        <v>1462.33</v>
      </c>
    </row>
    <row r="1968" spans="3:6" x14ac:dyDescent="0.25">
      <c r="C1968" s="2" t="s">
        <v>13769</v>
      </c>
      <c r="D1968" s="2" t="s">
        <v>122</v>
      </c>
      <c r="E1968" s="2">
        <v>15</v>
      </c>
      <c r="F1968" s="2">
        <v>156.734</v>
      </c>
    </row>
    <row r="1969" spans="3:6" x14ac:dyDescent="0.25">
      <c r="C1969" s="2" t="s">
        <v>13770</v>
      </c>
      <c r="D1969" s="2" t="s">
        <v>122</v>
      </c>
      <c r="E1969" s="2">
        <v>100</v>
      </c>
      <c r="F1969" s="2">
        <v>2024.549</v>
      </c>
    </row>
    <row r="1970" spans="3:6" x14ac:dyDescent="0.25">
      <c r="C1970" s="2" t="s">
        <v>13771</v>
      </c>
      <c r="D1970" s="2" t="s">
        <v>122</v>
      </c>
      <c r="E1970" s="2">
        <v>70</v>
      </c>
      <c r="F1970" s="2">
        <v>1422.33</v>
      </c>
    </row>
    <row r="1971" spans="3:6" x14ac:dyDescent="0.25">
      <c r="C1971" s="2" t="s">
        <v>13772</v>
      </c>
      <c r="D1971" s="2" t="s">
        <v>122</v>
      </c>
      <c r="E1971" s="2">
        <v>30</v>
      </c>
      <c r="F1971" s="2">
        <v>610.78</v>
      </c>
    </row>
    <row r="1972" spans="3:6" x14ac:dyDescent="0.25">
      <c r="C1972" s="2" t="s">
        <v>13773</v>
      </c>
      <c r="D1972" s="2" t="s">
        <v>122</v>
      </c>
      <c r="E1972" s="2">
        <v>38</v>
      </c>
      <c r="F1972" s="2">
        <v>805.98</v>
      </c>
    </row>
    <row r="1973" spans="3:6" x14ac:dyDescent="0.25">
      <c r="C1973" s="2" t="s">
        <v>13774</v>
      </c>
      <c r="D1973" s="2" t="s">
        <v>122</v>
      </c>
      <c r="E1973" s="2">
        <v>23</v>
      </c>
      <c r="F1973" s="2">
        <v>482.58</v>
      </c>
    </row>
    <row r="1974" spans="3:6" x14ac:dyDescent="0.25">
      <c r="C1974" s="2" t="s">
        <v>13775</v>
      </c>
      <c r="D1974" s="2" t="s">
        <v>122</v>
      </c>
      <c r="E1974" s="2">
        <v>14</v>
      </c>
      <c r="F1974" s="2">
        <v>273.409</v>
      </c>
    </row>
    <row r="1975" spans="3:6" x14ac:dyDescent="0.25">
      <c r="C1975" s="2" t="s">
        <v>13776</v>
      </c>
      <c r="D1975" s="2" t="s">
        <v>122</v>
      </c>
      <c r="E1975" s="2">
        <v>9</v>
      </c>
      <c r="F1975" s="2">
        <v>131.863</v>
      </c>
    </row>
    <row r="1976" spans="3:6" x14ac:dyDescent="0.25">
      <c r="C1976" s="2" t="s">
        <v>13777</v>
      </c>
      <c r="D1976" s="2" t="s">
        <v>122</v>
      </c>
      <c r="E1976" s="2">
        <v>56</v>
      </c>
      <c r="F1976" s="2">
        <v>1203.27</v>
      </c>
    </row>
    <row r="1977" spans="3:6" x14ac:dyDescent="0.25">
      <c r="C1977" s="2" t="s">
        <v>13778</v>
      </c>
      <c r="D1977" s="2" t="s">
        <v>122</v>
      </c>
      <c r="E1977" s="2">
        <v>29</v>
      </c>
      <c r="F1977" s="2">
        <v>595.79</v>
      </c>
    </row>
    <row r="1978" spans="3:6" x14ac:dyDescent="0.25">
      <c r="C1978" s="2" t="s">
        <v>13779</v>
      </c>
      <c r="D1978" s="2" t="s">
        <v>122</v>
      </c>
      <c r="E1978" s="2">
        <v>25</v>
      </c>
      <c r="F1978" s="2">
        <v>526.78</v>
      </c>
    </row>
    <row r="1979" spans="3:6" x14ac:dyDescent="0.25">
      <c r="C1979" s="2" t="s">
        <v>13780</v>
      </c>
      <c r="D1979" s="2" t="s">
        <v>122</v>
      </c>
      <c r="E1979" s="2">
        <v>18</v>
      </c>
      <c r="F1979" s="2">
        <v>364.42</v>
      </c>
    </row>
    <row r="1980" spans="3:6" x14ac:dyDescent="0.25">
      <c r="C1980" s="2" t="s">
        <v>13781</v>
      </c>
      <c r="D1980" s="2" t="s">
        <v>122</v>
      </c>
      <c r="E1980" s="2">
        <v>37</v>
      </c>
      <c r="F1980" s="2">
        <v>1233.832</v>
      </c>
    </row>
    <row r="1981" spans="3:6" x14ac:dyDescent="0.25">
      <c r="C1981" s="2" t="s">
        <v>13782</v>
      </c>
      <c r="D1981" s="2" t="s">
        <v>122</v>
      </c>
      <c r="E1981" s="2">
        <v>100</v>
      </c>
      <c r="F1981" s="2">
        <v>1901.15</v>
      </c>
    </row>
    <row r="1982" spans="3:6" x14ac:dyDescent="0.25">
      <c r="C1982" s="2" t="s">
        <v>13783</v>
      </c>
      <c r="D1982" s="2" t="s">
        <v>122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2196</v>
      </c>
      <c r="C1984" s="2" t="s">
        <v>13784</v>
      </c>
      <c r="D1984" s="2" t="s">
        <v>9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13785</v>
      </c>
      <c r="D1985" s="2" t="s">
        <v>9</v>
      </c>
      <c r="E1985" s="2">
        <v>121</v>
      </c>
      <c r="F1985" s="2">
        <v>2325.857</v>
      </c>
    </row>
    <row r="1986" spans="3:6" x14ac:dyDescent="0.25">
      <c r="C1986" s="2" t="s">
        <v>13786</v>
      </c>
      <c r="D1986" s="2" t="s">
        <v>9</v>
      </c>
      <c r="E1986" s="2">
        <v>139</v>
      </c>
      <c r="F1986" s="2">
        <v>2582.796</v>
      </c>
    </row>
    <row r="1987" spans="3:6" x14ac:dyDescent="0.25">
      <c r="C1987" s="2" t="s">
        <v>13787</v>
      </c>
      <c r="D1987" s="2" t="s">
        <v>9</v>
      </c>
      <c r="E1987" s="2">
        <v>139</v>
      </c>
      <c r="F1987" s="2">
        <v>2773.16</v>
      </c>
    </row>
    <row r="1988" spans="3:6" x14ac:dyDescent="0.25">
      <c r="C1988" s="2" t="s">
        <v>13788</v>
      </c>
      <c r="D1988" s="2" t="s">
        <v>9</v>
      </c>
      <c r="E1988" s="2">
        <v>121</v>
      </c>
      <c r="F1988" s="2">
        <v>2415.008</v>
      </c>
    </row>
    <row r="1989" spans="3:6" x14ac:dyDescent="0.25">
      <c r="C1989" s="2" t="s">
        <v>13789</v>
      </c>
      <c r="D1989" s="2" t="s">
        <v>9</v>
      </c>
      <c r="E1989" s="2">
        <v>139</v>
      </c>
      <c r="F1989" s="2">
        <v>2867.92</v>
      </c>
    </row>
    <row r="1990" spans="3:6" x14ac:dyDescent="0.25">
      <c r="C1990" s="2" t="s">
        <v>13790</v>
      </c>
      <c r="D1990" s="2" t="s">
        <v>9</v>
      </c>
      <c r="E1990" s="2">
        <v>100</v>
      </c>
      <c r="F1990" s="2">
        <v>2003.07</v>
      </c>
    </row>
    <row r="1991" spans="3:6" x14ac:dyDescent="0.25">
      <c r="C1991" s="2" t="s">
        <v>13791</v>
      </c>
      <c r="D1991" s="2" t="s">
        <v>9</v>
      </c>
      <c r="E1991" s="2">
        <v>242</v>
      </c>
      <c r="F1991" s="2">
        <v>4869.499</v>
      </c>
    </row>
    <row r="1992" spans="3:6" x14ac:dyDescent="0.25">
      <c r="C1992" s="2" t="s">
        <v>13792</v>
      </c>
      <c r="D1992" s="2" t="s">
        <v>9</v>
      </c>
      <c r="E1992" s="2">
        <v>100</v>
      </c>
      <c r="F1992" s="2">
        <v>2016.7</v>
      </c>
    </row>
    <row r="1993" spans="3:6" x14ac:dyDescent="0.25">
      <c r="C1993" s="2" t="s">
        <v>13793</v>
      </c>
      <c r="D1993" s="2" t="s">
        <v>9</v>
      </c>
      <c r="E1993" s="2">
        <v>133</v>
      </c>
      <c r="F1993" s="2">
        <v>2467.31</v>
      </c>
    </row>
    <row r="1994" spans="3:6" x14ac:dyDescent="0.25">
      <c r="C1994" s="2" t="s">
        <v>13794</v>
      </c>
      <c r="D1994" s="2" t="s">
        <v>9</v>
      </c>
      <c r="E1994" s="2">
        <v>139</v>
      </c>
      <c r="F1994" s="2">
        <v>3053.47</v>
      </c>
    </row>
    <row r="1995" spans="3:6" x14ac:dyDescent="0.25">
      <c r="C1995" s="2" t="s">
        <v>13795</v>
      </c>
      <c r="D1995" s="2" t="s">
        <v>9</v>
      </c>
      <c r="E1995" s="2">
        <v>200</v>
      </c>
      <c r="F1995" s="2">
        <v>4083.56</v>
      </c>
    </row>
    <row r="1996" spans="3:6" x14ac:dyDescent="0.25">
      <c r="C1996" s="2" t="s">
        <v>13796</v>
      </c>
      <c r="D1996" s="2" t="s">
        <v>9</v>
      </c>
      <c r="E1996" s="2">
        <v>139</v>
      </c>
      <c r="F1996" s="2">
        <v>2895.42</v>
      </c>
    </row>
    <row r="1997" spans="3:6" x14ac:dyDescent="0.25">
      <c r="C1997" s="2" t="s">
        <v>13797</v>
      </c>
      <c r="D1997" s="2" t="s">
        <v>9</v>
      </c>
      <c r="E1997" s="2">
        <v>50</v>
      </c>
      <c r="F1997" s="2">
        <v>947.37</v>
      </c>
    </row>
    <row r="1998" spans="3:6" x14ac:dyDescent="0.25">
      <c r="C1998" s="2" t="s">
        <v>13798</v>
      </c>
      <c r="D1998" s="2" t="s">
        <v>9</v>
      </c>
      <c r="E1998" s="2">
        <v>50</v>
      </c>
      <c r="F1998" s="2">
        <v>1006.389</v>
      </c>
    </row>
    <row r="1999" spans="3:6" x14ac:dyDescent="0.25">
      <c r="C1999" s="2" t="s">
        <v>13799</v>
      </c>
      <c r="D1999" s="2" t="s">
        <v>9</v>
      </c>
      <c r="E1999" s="2">
        <v>139</v>
      </c>
      <c r="F1999" s="2">
        <v>2883.85</v>
      </c>
    </row>
    <row r="2000" spans="3:6" x14ac:dyDescent="0.25">
      <c r="C2000" s="2" t="s">
        <v>13800</v>
      </c>
      <c r="D2000" s="2" t="s">
        <v>9</v>
      </c>
      <c r="E2000" s="2">
        <v>100</v>
      </c>
      <c r="F2000" s="2">
        <v>1766.77</v>
      </c>
    </row>
    <row r="2001" spans="3:6" x14ac:dyDescent="0.25">
      <c r="C2001" s="2" t="s">
        <v>13801</v>
      </c>
      <c r="D2001" s="2" t="s">
        <v>9</v>
      </c>
      <c r="E2001" s="2">
        <v>100</v>
      </c>
      <c r="F2001" s="2">
        <v>1975.37</v>
      </c>
    </row>
    <row r="2002" spans="3:6" x14ac:dyDescent="0.25">
      <c r="C2002" s="2" t="s">
        <v>13802</v>
      </c>
      <c r="D2002" s="2" t="s">
        <v>9</v>
      </c>
      <c r="E2002" s="2">
        <v>76</v>
      </c>
      <c r="F2002" s="2">
        <v>1397.439</v>
      </c>
    </row>
    <row r="2003" spans="3:6" x14ac:dyDescent="0.25">
      <c r="C2003" s="2" t="s">
        <v>13803</v>
      </c>
      <c r="D2003" s="2" t="s">
        <v>9</v>
      </c>
      <c r="E2003" s="2">
        <v>63</v>
      </c>
      <c r="F2003" s="2">
        <v>1170.61</v>
      </c>
    </row>
    <row r="2004" spans="3:6" x14ac:dyDescent="0.25">
      <c r="C2004" s="2" t="s">
        <v>13804</v>
      </c>
      <c r="D2004" s="2" t="s">
        <v>9</v>
      </c>
      <c r="E2004" s="2">
        <v>100</v>
      </c>
      <c r="F2004" s="2">
        <v>1781.089</v>
      </c>
    </row>
    <row r="2005" spans="3:6" x14ac:dyDescent="0.25">
      <c r="C2005" s="2" t="s">
        <v>13805</v>
      </c>
      <c r="D2005" s="2" t="s">
        <v>9</v>
      </c>
      <c r="E2005" s="2">
        <v>39</v>
      </c>
      <c r="F2005" s="2">
        <v>825.02</v>
      </c>
    </row>
    <row r="2006" spans="3:6" x14ac:dyDescent="0.25">
      <c r="C2006" s="2" t="s">
        <v>13806</v>
      </c>
      <c r="D2006" s="2" t="s">
        <v>9</v>
      </c>
      <c r="E2006" s="2">
        <v>139</v>
      </c>
      <c r="F2006" s="2">
        <v>2758.37</v>
      </c>
    </row>
    <row r="2007" spans="3:6" x14ac:dyDescent="0.25">
      <c r="C2007" s="2" t="s">
        <v>13807</v>
      </c>
      <c r="D2007" s="2" t="s">
        <v>9</v>
      </c>
      <c r="E2007" s="2">
        <v>40</v>
      </c>
      <c r="F2007" s="2">
        <v>769.18</v>
      </c>
    </row>
    <row r="2008" spans="3:6" x14ac:dyDescent="0.25">
      <c r="C2008" s="2" t="s">
        <v>13808</v>
      </c>
      <c r="D2008" s="2" t="s">
        <v>9</v>
      </c>
      <c r="E2008" s="2">
        <v>35</v>
      </c>
      <c r="F2008" s="2">
        <v>685.03</v>
      </c>
    </row>
    <row r="2009" spans="3:6" x14ac:dyDescent="0.25">
      <c r="C2009" s="2" t="s">
        <v>13809</v>
      </c>
      <c r="D2009" s="2" t="s">
        <v>9</v>
      </c>
      <c r="E2009" s="2">
        <v>71</v>
      </c>
      <c r="F2009" s="2">
        <v>1523.21</v>
      </c>
    </row>
    <row r="2010" spans="3:6" x14ac:dyDescent="0.25">
      <c r="C2010" s="2" t="s">
        <v>13810</v>
      </c>
      <c r="D2010" s="2" t="s">
        <v>9</v>
      </c>
      <c r="E2010" s="2">
        <v>68</v>
      </c>
      <c r="F2010" s="2">
        <v>1398.46</v>
      </c>
    </row>
    <row r="2011" spans="3:6" x14ac:dyDescent="0.25">
      <c r="C2011" s="2" t="s">
        <v>13811</v>
      </c>
      <c r="D2011" s="2" t="s">
        <v>9</v>
      </c>
      <c r="E2011" s="2">
        <v>140</v>
      </c>
      <c r="F2011" s="2">
        <v>2767.729</v>
      </c>
    </row>
    <row r="2012" spans="3:6" x14ac:dyDescent="0.25">
      <c r="C2012" s="2" t="s">
        <v>13812</v>
      </c>
      <c r="D2012" s="2" t="s">
        <v>9</v>
      </c>
      <c r="E2012" s="2">
        <v>122</v>
      </c>
      <c r="F2012" s="2">
        <v>2468.35</v>
      </c>
    </row>
    <row r="2013" spans="3:6" x14ac:dyDescent="0.25">
      <c r="C2013" s="2" t="s">
        <v>13813</v>
      </c>
      <c r="D2013" s="2" t="s">
        <v>9</v>
      </c>
      <c r="E2013" s="2">
        <v>18</v>
      </c>
      <c r="F2013" s="2">
        <v>289.1</v>
      </c>
    </row>
    <row r="2014" spans="3:6" x14ac:dyDescent="0.25">
      <c r="C2014" s="2" t="s">
        <v>13814</v>
      </c>
      <c r="D2014" s="2" t="s">
        <v>9</v>
      </c>
      <c r="E2014" s="2">
        <v>109</v>
      </c>
      <c r="F2014" s="2">
        <v>2146.25</v>
      </c>
    </row>
    <row r="2015" spans="3:6" x14ac:dyDescent="0.25">
      <c r="C2015" s="2" t="s">
        <v>13815</v>
      </c>
      <c r="D2015" s="2" t="s">
        <v>9</v>
      </c>
      <c r="E2015" s="2">
        <v>30</v>
      </c>
      <c r="F2015" s="2">
        <v>614.55</v>
      </c>
    </row>
    <row r="2016" spans="3:6" x14ac:dyDescent="0.25">
      <c r="C2016" s="2" t="s">
        <v>13816</v>
      </c>
      <c r="D2016" s="2" t="s">
        <v>9</v>
      </c>
      <c r="E2016" s="2">
        <v>74</v>
      </c>
      <c r="F2016" s="2">
        <v>1451.92</v>
      </c>
    </row>
    <row r="2017" spans="3:6" x14ac:dyDescent="0.25">
      <c r="C2017" s="2" t="s">
        <v>13817</v>
      </c>
      <c r="D2017" s="2" t="s">
        <v>9</v>
      </c>
      <c r="E2017" s="2">
        <v>30</v>
      </c>
      <c r="F2017" s="2">
        <v>594.42</v>
      </c>
    </row>
    <row r="2018" spans="3:6" x14ac:dyDescent="0.25">
      <c r="C2018" s="2" t="s">
        <v>13818</v>
      </c>
      <c r="D2018" s="2" t="s">
        <v>9</v>
      </c>
      <c r="E2018" s="2">
        <v>35</v>
      </c>
      <c r="F2018" s="2">
        <v>717.93</v>
      </c>
    </row>
    <row r="2019" spans="3:6" x14ac:dyDescent="0.25">
      <c r="C2019" s="2" t="s">
        <v>13819</v>
      </c>
      <c r="D2019" s="2" t="s">
        <v>9</v>
      </c>
      <c r="E2019" s="2">
        <v>72</v>
      </c>
      <c r="F2019" s="2">
        <v>1403.059</v>
      </c>
    </row>
    <row r="2020" spans="3:6" x14ac:dyDescent="0.25">
      <c r="C2020" s="2" t="s">
        <v>13820</v>
      </c>
      <c r="D2020" s="2" t="s">
        <v>9</v>
      </c>
      <c r="E2020" s="2">
        <v>32</v>
      </c>
      <c r="F2020" s="2">
        <v>588.98</v>
      </c>
    </row>
    <row r="2021" spans="3:6" x14ac:dyDescent="0.25">
      <c r="C2021" s="2" t="s">
        <v>13821</v>
      </c>
      <c r="D2021" s="2" t="s">
        <v>9</v>
      </c>
      <c r="E2021" s="2">
        <v>13</v>
      </c>
      <c r="F2021" s="2">
        <v>183.06</v>
      </c>
    </row>
    <row r="2022" spans="3:6" x14ac:dyDescent="0.25">
      <c r="C2022" s="2" t="s">
        <v>13822</v>
      </c>
      <c r="D2022" s="2" t="s">
        <v>9</v>
      </c>
      <c r="E2022" s="2">
        <v>11</v>
      </c>
      <c r="F2022" s="2">
        <v>243.93</v>
      </c>
    </row>
    <row r="2023" spans="3:6" x14ac:dyDescent="0.25">
      <c r="C2023" s="2" t="s">
        <v>13823</v>
      </c>
      <c r="D2023" s="2" t="s">
        <v>9</v>
      </c>
      <c r="E2023" s="2">
        <v>11</v>
      </c>
      <c r="F2023" s="2">
        <v>244.65</v>
      </c>
    </row>
    <row r="2024" spans="3:6" x14ac:dyDescent="0.25">
      <c r="C2024" s="2" t="s">
        <v>13824</v>
      </c>
      <c r="D2024" s="2" t="s">
        <v>9</v>
      </c>
      <c r="E2024" s="2">
        <v>83</v>
      </c>
      <c r="F2024" s="2">
        <v>1594.98</v>
      </c>
    </row>
    <row r="2025" spans="3:6" x14ac:dyDescent="0.25">
      <c r="C2025" s="2" t="s">
        <v>13825</v>
      </c>
      <c r="D2025" s="2" t="s">
        <v>9</v>
      </c>
      <c r="E2025" s="2">
        <v>56</v>
      </c>
      <c r="F2025" s="2">
        <v>1197.58</v>
      </c>
    </row>
    <row r="2026" spans="3:6" x14ac:dyDescent="0.25">
      <c r="C2026" s="2" t="s">
        <v>13826</v>
      </c>
      <c r="D2026" s="2" t="s">
        <v>9</v>
      </c>
      <c r="E2026" s="2">
        <v>39</v>
      </c>
      <c r="F2026" s="2">
        <v>711.24</v>
      </c>
    </row>
    <row r="2027" spans="3:6" x14ac:dyDescent="0.25">
      <c r="C2027" s="2" t="s">
        <v>13827</v>
      </c>
      <c r="D2027" s="2" t="s">
        <v>9</v>
      </c>
      <c r="E2027" s="2">
        <v>19</v>
      </c>
      <c r="F2027" s="2">
        <v>366.76</v>
      </c>
    </row>
    <row r="2028" spans="3:6" x14ac:dyDescent="0.25">
      <c r="C2028" s="2" t="s">
        <v>13828</v>
      </c>
      <c r="D2028" s="2" t="s">
        <v>9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120</v>
      </c>
      <c r="C2030" s="2" t="s">
        <v>13829</v>
      </c>
      <c r="D2030" s="2" t="s">
        <v>122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13830</v>
      </c>
      <c r="D2031" s="2" t="s">
        <v>122</v>
      </c>
      <c r="E2031" s="2">
        <v>142</v>
      </c>
      <c r="F2031" s="2">
        <v>2929.44</v>
      </c>
    </row>
    <row r="2032" spans="3:6" x14ac:dyDescent="0.25">
      <c r="C2032" s="2" t="s">
        <v>13831</v>
      </c>
      <c r="D2032" s="2" t="s">
        <v>122</v>
      </c>
      <c r="E2032" s="2">
        <v>141</v>
      </c>
      <c r="F2032" s="2">
        <v>2861.66</v>
      </c>
    </row>
    <row r="2033" spans="3:6" x14ac:dyDescent="0.25">
      <c r="C2033" s="2" t="s">
        <v>13832</v>
      </c>
      <c r="D2033" s="2" t="s">
        <v>122</v>
      </c>
      <c r="E2033" s="2">
        <v>90</v>
      </c>
      <c r="F2033" s="2">
        <v>1871.569</v>
      </c>
    </row>
    <row r="2034" spans="3:6" x14ac:dyDescent="0.25">
      <c r="C2034" s="2" t="s">
        <v>13833</v>
      </c>
      <c r="D2034" s="2" t="s">
        <v>122</v>
      </c>
      <c r="E2034" s="2">
        <v>33</v>
      </c>
      <c r="F2034" s="2">
        <v>696.59</v>
      </c>
    </row>
    <row r="2035" spans="3:6" x14ac:dyDescent="0.25">
      <c r="C2035" s="2" t="s">
        <v>13834</v>
      </c>
      <c r="D2035" s="2" t="s">
        <v>122</v>
      </c>
      <c r="E2035" s="2">
        <v>65</v>
      </c>
      <c r="F2035" s="2">
        <v>1339.16</v>
      </c>
    </row>
    <row r="2036" spans="3:6" x14ac:dyDescent="0.25">
      <c r="C2036" s="2" t="s">
        <v>13835</v>
      </c>
      <c r="D2036" s="2" t="s">
        <v>122</v>
      </c>
      <c r="E2036" s="2">
        <v>56</v>
      </c>
      <c r="F2036" s="2">
        <v>1161.6</v>
      </c>
    </row>
    <row r="2037" spans="3:6" x14ac:dyDescent="0.25">
      <c r="C2037" s="2" t="s">
        <v>13836</v>
      </c>
      <c r="D2037" s="2" t="s">
        <v>122</v>
      </c>
      <c r="E2037" s="2">
        <v>30</v>
      </c>
      <c r="F2037" s="2">
        <v>614.4</v>
      </c>
    </row>
    <row r="2038" spans="3:6" x14ac:dyDescent="0.25">
      <c r="C2038" s="2" t="s">
        <v>13837</v>
      </c>
      <c r="D2038" s="2" t="s">
        <v>122</v>
      </c>
      <c r="E2038" s="2">
        <v>31</v>
      </c>
      <c r="F2038" s="2">
        <v>579.21</v>
      </c>
    </row>
    <row r="2039" spans="3:6" x14ac:dyDescent="0.25">
      <c r="C2039" s="2" t="s">
        <v>13838</v>
      </c>
      <c r="D2039" s="2" t="s">
        <v>122</v>
      </c>
      <c r="E2039" s="2">
        <v>60</v>
      </c>
      <c r="F2039" s="2">
        <v>1247.37</v>
      </c>
    </row>
    <row r="2040" spans="3:6" x14ac:dyDescent="0.25">
      <c r="C2040" s="2" t="s">
        <v>13839</v>
      </c>
      <c r="D2040" s="2" t="s">
        <v>122</v>
      </c>
      <c r="E2040" s="2">
        <v>134</v>
      </c>
      <c r="F2040" s="2">
        <v>2671.93</v>
      </c>
    </row>
    <row r="2041" spans="3:6" x14ac:dyDescent="0.25">
      <c r="C2041" s="2" t="s">
        <v>13840</v>
      </c>
      <c r="D2041" s="2" t="s">
        <v>122</v>
      </c>
      <c r="E2041" s="2">
        <v>69</v>
      </c>
      <c r="F2041" s="2">
        <v>1408.43</v>
      </c>
    </row>
    <row r="2042" spans="3:6" x14ac:dyDescent="0.25">
      <c r="C2042" s="2" t="s">
        <v>13841</v>
      </c>
      <c r="D2042" s="2" t="s">
        <v>122</v>
      </c>
      <c r="E2042" s="2">
        <v>33</v>
      </c>
      <c r="F2042" s="2">
        <v>673.09</v>
      </c>
    </row>
    <row r="2043" spans="3:6" x14ac:dyDescent="0.25">
      <c r="C2043" s="2" t="s">
        <v>13842</v>
      </c>
      <c r="D2043" s="2" t="s">
        <v>122</v>
      </c>
      <c r="E2043" s="2">
        <v>102</v>
      </c>
      <c r="F2043" s="2">
        <v>2065.09</v>
      </c>
    </row>
    <row r="2044" spans="3:6" x14ac:dyDescent="0.25">
      <c r="C2044" s="2" t="s">
        <v>13843</v>
      </c>
      <c r="D2044" s="2" t="s">
        <v>122</v>
      </c>
      <c r="E2044" s="2">
        <v>31</v>
      </c>
      <c r="F2044" s="2">
        <v>473.07</v>
      </c>
    </row>
    <row r="2045" spans="3:6" x14ac:dyDescent="0.25">
      <c r="C2045" s="2" t="s">
        <v>13844</v>
      </c>
      <c r="D2045" s="2" t="s">
        <v>122</v>
      </c>
      <c r="E2045" s="2">
        <v>22</v>
      </c>
      <c r="F2045" s="2">
        <v>433.22</v>
      </c>
    </row>
    <row r="2046" spans="3:6" x14ac:dyDescent="0.25">
      <c r="C2046" s="2" t="s">
        <v>13845</v>
      </c>
      <c r="D2046" s="2" t="s">
        <v>122</v>
      </c>
      <c r="E2046" s="2">
        <v>22</v>
      </c>
      <c r="F2046" s="2">
        <v>474.71</v>
      </c>
    </row>
    <row r="2047" spans="3:6" x14ac:dyDescent="0.25">
      <c r="C2047" s="2" t="s">
        <v>13846</v>
      </c>
      <c r="D2047" s="2" t="s">
        <v>122</v>
      </c>
      <c r="E2047" s="2">
        <v>68</v>
      </c>
      <c r="F2047" s="2">
        <v>298.67</v>
      </c>
    </row>
    <row r="2048" spans="3:6" x14ac:dyDescent="0.25">
      <c r="C2048" s="2" t="s">
        <v>13847</v>
      </c>
      <c r="D2048" s="2" t="s">
        <v>122</v>
      </c>
      <c r="E2048" s="2">
        <v>74</v>
      </c>
      <c r="F2048" s="2">
        <v>1616.33</v>
      </c>
    </row>
    <row r="2049" spans="3:6" x14ac:dyDescent="0.25">
      <c r="C2049" s="2" t="s">
        <v>13848</v>
      </c>
      <c r="D2049" s="2" t="s">
        <v>122</v>
      </c>
      <c r="E2049" s="2">
        <v>67</v>
      </c>
      <c r="F2049" s="2">
        <v>1340.859</v>
      </c>
    </row>
    <row r="2050" spans="3:6" x14ac:dyDescent="0.25">
      <c r="C2050" s="2" t="s">
        <v>13849</v>
      </c>
      <c r="D2050" s="2" t="s">
        <v>122</v>
      </c>
      <c r="E2050" s="2">
        <v>20</v>
      </c>
      <c r="F2050" s="2">
        <v>351.56</v>
      </c>
    </row>
    <row r="2051" spans="3:6" x14ac:dyDescent="0.25">
      <c r="C2051" s="2" t="s">
        <v>13850</v>
      </c>
      <c r="D2051" s="2" t="s">
        <v>122</v>
      </c>
      <c r="E2051" s="2">
        <v>50</v>
      </c>
      <c r="F2051" s="2">
        <v>1019.13</v>
      </c>
    </row>
    <row r="2052" spans="3:6" x14ac:dyDescent="0.25">
      <c r="C2052" s="2" t="s">
        <v>13851</v>
      </c>
      <c r="D2052" s="2" t="s">
        <v>122</v>
      </c>
      <c r="E2052" s="2">
        <v>71</v>
      </c>
      <c r="F2052" s="2">
        <v>1458.69</v>
      </c>
    </row>
    <row r="2053" spans="3:6" x14ac:dyDescent="0.25">
      <c r="C2053" s="2" t="s">
        <v>13852</v>
      </c>
      <c r="D2053" s="2" t="s">
        <v>122</v>
      </c>
      <c r="E2053" s="2">
        <v>75</v>
      </c>
      <c r="F2053" s="2">
        <v>1512.91</v>
      </c>
    </row>
    <row r="2054" spans="3:6" x14ac:dyDescent="0.25">
      <c r="C2054" s="2" t="s">
        <v>13853</v>
      </c>
      <c r="D2054" s="2" t="s">
        <v>122</v>
      </c>
      <c r="E2054" s="2">
        <v>66</v>
      </c>
      <c r="F2054" s="2">
        <v>1306</v>
      </c>
    </row>
    <row r="2055" spans="3:6" x14ac:dyDescent="0.25">
      <c r="C2055" s="2" t="s">
        <v>13854</v>
      </c>
      <c r="D2055" s="2" t="s">
        <v>122</v>
      </c>
      <c r="E2055" s="2">
        <v>120</v>
      </c>
      <c r="F2055" s="2">
        <v>2431.68</v>
      </c>
    </row>
    <row r="2056" spans="3:6" x14ac:dyDescent="0.25">
      <c r="C2056" s="2" t="s">
        <v>13855</v>
      </c>
      <c r="D2056" s="2" t="s">
        <v>122</v>
      </c>
      <c r="E2056" s="2">
        <v>21</v>
      </c>
      <c r="F2056" s="2">
        <v>360.54</v>
      </c>
    </row>
    <row r="2057" spans="3:6" x14ac:dyDescent="0.25">
      <c r="C2057" s="2" t="s">
        <v>13856</v>
      </c>
      <c r="D2057" s="2" t="s">
        <v>122</v>
      </c>
      <c r="E2057" s="2">
        <v>44</v>
      </c>
      <c r="F2057" s="2">
        <v>890.1</v>
      </c>
    </row>
    <row r="2058" spans="3:6" x14ac:dyDescent="0.25">
      <c r="C2058" s="2" t="s">
        <v>13857</v>
      </c>
      <c r="D2058" s="2" t="s">
        <v>122</v>
      </c>
      <c r="E2058" s="2">
        <v>72</v>
      </c>
      <c r="F2058" s="2">
        <v>1461.58</v>
      </c>
    </row>
    <row r="2059" spans="3:6" x14ac:dyDescent="0.25">
      <c r="C2059" s="2" t="s">
        <v>13858</v>
      </c>
      <c r="D2059" s="2" t="s">
        <v>122</v>
      </c>
      <c r="E2059" s="2">
        <v>25</v>
      </c>
      <c r="F2059" s="2">
        <v>521.62</v>
      </c>
    </row>
    <row r="2060" spans="3:6" x14ac:dyDescent="0.25">
      <c r="C2060" s="2" t="s">
        <v>13859</v>
      </c>
      <c r="D2060" s="2" t="s">
        <v>122</v>
      </c>
      <c r="E2060" s="2">
        <v>141</v>
      </c>
      <c r="F2060" s="2">
        <v>2863.7</v>
      </c>
    </row>
    <row r="2061" spans="3:6" x14ac:dyDescent="0.25">
      <c r="C2061" s="2" t="s">
        <v>13860</v>
      </c>
      <c r="D2061" s="2" t="s">
        <v>122</v>
      </c>
      <c r="E2061" s="2">
        <v>141</v>
      </c>
      <c r="F2061" s="2">
        <v>2848.61</v>
      </c>
    </row>
    <row r="2062" spans="3:6" x14ac:dyDescent="0.25">
      <c r="C2062" s="2" t="s">
        <v>13861</v>
      </c>
      <c r="D2062" s="2" t="s">
        <v>122</v>
      </c>
      <c r="E2062" s="2">
        <v>141</v>
      </c>
      <c r="F2062" s="2">
        <v>2829.709</v>
      </c>
    </row>
    <row r="2063" spans="3:6" x14ac:dyDescent="0.25">
      <c r="C2063" s="2" t="s">
        <v>13862</v>
      </c>
      <c r="D2063" s="2" t="s">
        <v>122</v>
      </c>
      <c r="E2063" s="2">
        <v>17</v>
      </c>
      <c r="F2063" s="2">
        <f>191.76+101</f>
        <v>292.76</v>
      </c>
    </row>
    <row r="2064" spans="3:6" x14ac:dyDescent="0.25">
      <c r="C2064" s="2" t="s">
        <v>13863</v>
      </c>
      <c r="D2064" s="2" t="s">
        <v>122</v>
      </c>
      <c r="E2064" s="2">
        <v>9</v>
      </c>
      <c r="F2064" s="2">
        <f>74.33+86.4</f>
        <v>160.73000000000002</v>
      </c>
    </row>
    <row r="2065" spans="3:6" x14ac:dyDescent="0.25">
      <c r="C2065" s="2" t="s">
        <v>13864</v>
      </c>
      <c r="D2065" s="2" t="s">
        <v>122</v>
      </c>
      <c r="E2065" s="2">
        <v>16</v>
      </c>
      <c r="F2065" s="2">
        <f>279.44+41.25</f>
        <v>320.69</v>
      </c>
    </row>
    <row r="2066" spans="3:6" x14ac:dyDescent="0.25">
      <c r="C2066" s="2" t="s">
        <v>13865</v>
      </c>
      <c r="D2066" s="2" t="s">
        <v>122</v>
      </c>
      <c r="E2066" s="2">
        <v>16</v>
      </c>
      <c r="F2066" s="2">
        <f>227.97+26.6</f>
        <v>254.57</v>
      </c>
    </row>
    <row r="2067" spans="3:6" x14ac:dyDescent="0.25">
      <c r="C2067" s="2" t="s">
        <v>13866</v>
      </c>
      <c r="D2067" s="2" t="s">
        <v>122</v>
      </c>
      <c r="E2067" s="2">
        <v>44</v>
      </c>
      <c r="F2067" s="2">
        <f>530.53+105.65</f>
        <v>636.18</v>
      </c>
    </row>
    <row r="2068" spans="3:6" x14ac:dyDescent="0.25">
      <c r="C2068" s="2" t="s">
        <v>13867</v>
      </c>
      <c r="D2068" s="2" t="s">
        <v>122</v>
      </c>
      <c r="E2068" s="2">
        <v>57</v>
      </c>
      <c r="F2068" s="2">
        <f>93.418+71.3</f>
        <v>164.71800000000002</v>
      </c>
    </row>
    <row r="2069" spans="3:6" x14ac:dyDescent="0.25">
      <c r="C2069" s="2" t="s">
        <v>13868</v>
      </c>
      <c r="D2069" s="2" t="s">
        <v>122</v>
      </c>
      <c r="E2069" s="2">
        <v>52</v>
      </c>
      <c r="F2069" s="2">
        <v>1030.05</v>
      </c>
    </row>
    <row r="2070" spans="3:6" x14ac:dyDescent="0.25">
      <c r="C2070" s="2" t="s">
        <v>13869</v>
      </c>
      <c r="D2070" s="2" t="s">
        <v>122</v>
      </c>
      <c r="E2070" s="2">
        <v>29</v>
      </c>
      <c r="F2070" s="2">
        <v>607.03</v>
      </c>
    </row>
    <row r="2071" spans="3:6" x14ac:dyDescent="0.25">
      <c r="C2071" s="2" t="s">
        <v>13870</v>
      </c>
      <c r="D2071" s="2" t="s">
        <v>122</v>
      </c>
      <c r="E2071" s="2">
        <v>21</v>
      </c>
      <c r="F2071" s="2">
        <v>402.06</v>
      </c>
    </row>
    <row r="2072" spans="3:6" x14ac:dyDescent="0.25">
      <c r="C2072" s="2" t="s">
        <v>13871</v>
      </c>
      <c r="D2072" s="2" t="s">
        <v>122</v>
      </c>
      <c r="E2072" s="2">
        <v>55</v>
      </c>
      <c r="F2072" s="2">
        <v>1378.355</v>
      </c>
    </row>
    <row r="2073" spans="3:6" x14ac:dyDescent="0.25">
      <c r="C2073" s="2" t="s">
        <v>13872</v>
      </c>
      <c r="D2073" s="2" t="s">
        <v>122</v>
      </c>
      <c r="E2073" s="2">
        <v>30</v>
      </c>
      <c r="F2073" s="2">
        <v>603.29</v>
      </c>
    </row>
    <row r="2074" spans="3:6" x14ac:dyDescent="0.25">
      <c r="C2074" s="2" t="s">
        <v>13873</v>
      </c>
      <c r="D2074" s="2" t="s">
        <v>122</v>
      </c>
      <c r="E2074" s="2">
        <v>40</v>
      </c>
      <c r="F2074" s="2">
        <v>828.71</v>
      </c>
    </row>
    <row r="2075" spans="3:6" x14ac:dyDescent="0.25">
      <c r="C2075" s="2" t="s">
        <v>13874</v>
      </c>
      <c r="D2075" s="2" t="s">
        <v>122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90</v>
      </c>
      <c r="C2077" s="2" t="s">
        <v>13875</v>
      </c>
      <c r="D2077" s="2" t="s">
        <v>42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13876</v>
      </c>
      <c r="D2078" s="2" t="s">
        <v>42</v>
      </c>
      <c r="E2078" s="2">
        <v>10</v>
      </c>
      <c r="F2078" s="2">
        <v>161.3</v>
      </c>
    </row>
    <row r="2079" spans="3:6" x14ac:dyDescent="0.25">
      <c r="C2079" s="2" t="s">
        <v>13877</v>
      </c>
      <c r="D2079" s="2" t="s">
        <v>42</v>
      </c>
      <c r="E2079" s="2">
        <v>66</v>
      </c>
      <c r="F2079" s="2">
        <v>671.461</v>
      </c>
    </row>
    <row r="2080" spans="3:6" x14ac:dyDescent="0.25">
      <c r="C2080" s="2" t="s">
        <v>13878</v>
      </c>
      <c r="D2080" s="2" t="s">
        <v>42</v>
      </c>
      <c r="E2080" s="2">
        <v>55</v>
      </c>
      <c r="F2080" s="2">
        <v>1192.859</v>
      </c>
    </row>
    <row r="2081" spans="3:6" x14ac:dyDescent="0.25">
      <c r="C2081" s="2" t="s">
        <v>13879</v>
      </c>
      <c r="D2081" s="2" t="s">
        <v>42</v>
      </c>
      <c r="E2081" s="2">
        <v>123</v>
      </c>
      <c r="F2081" s="2">
        <v>2677.89</v>
      </c>
    </row>
    <row r="2082" spans="3:6" x14ac:dyDescent="0.25">
      <c r="C2082" s="2" t="s">
        <v>13880</v>
      </c>
      <c r="D2082" s="2" t="s">
        <v>42</v>
      </c>
      <c r="E2082" s="2">
        <v>123</v>
      </c>
      <c r="F2082" s="2">
        <v>2522.392</v>
      </c>
    </row>
    <row r="2083" spans="3:6" x14ac:dyDescent="0.25">
      <c r="C2083" s="2" t="s">
        <v>13881</v>
      </c>
      <c r="D2083" s="2" t="s">
        <v>42</v>
      </c>
      <c r="E2083" s="2">
        <v>20</v>
      </c>
      <c r="F2083" s="2">
        <v>95.73</v>
      </c>
    </row>
    <row r="2084" spans="3:6" x14ac:dyDescent="0.25">
      <c r="C2084" s="2" t="s">
        <v>13882</v>
      </c>
      <c r="D2084" s="2" t="s">
        <v>42</v>
      </c>
      <c r="E2084" s="2">
        <v>131</v>
      </c>
      <c r="F2084" s="2">
        <v>2688.63</v>
      </c>
    </row>
    <row r="2085" spans="3:6" x14ac:dyDescent="0.25">
      <c r="C2085" s="2" t="s">
        <v>13883</v>
      </c>
      <c r="D2085" s="2" t="s">
        <v>42</v>
      </c>
      <c r="E2085" s="2">
        <v>11</v>
      </c>
      <c r="F2085" s="2">
        <v>167.17</v>
      </c>
    </row>
    <row r="2086" spans="3:6" x14ac:dyDescent="0.25">
      <c r="C2086" s="2" t="s">
        <v>13884</v>
      </c>
      <c r="D2086" s="2" t="s">
        <v>42</v>
      </c>
      <c r="E2086" s="2">
        <v>21</v>
      </c>
      <c r="F2086" s="2">
        <v>368.39</v>
      </c>
    </row>
    <row r="2087" spans="3:6" x14ac:dyDescent="0.25">
      <c r="C2087" s="2" t="s">
        <v>13885</v>
      </c>
      <c r="D2087" s="2" t="s">
        <v>42</v>
      </c>
      <c r="E2087" s="2">
        <v>120</v>
      </c>
      <c r="F2087" s="2">
        <v>2543.62</v>
      </c>
    </row>
    <row r="2088" spans="3:6" x14ac:dyDescent="0.25">
      <c r="C2088" s="2" t="s">
        <v>13886</v>
      </c>
      <c r="D2088" s="2" t="s">
        <v>42</v>
      </c>
      <c r="E2088" s="2">
        <v>46</v>
      </c>
      <c r="F2088" s="2">
        <v>919.94</v>
      </c>
    </row>
    <row r="2089" spans="3:6" x14ac:dyDescent="0.25">
      <c r="C2089" s="2" t="s">
        <v>13887</v>
      </c>
      <c r="D2089" s="2" t="s">
        <v>42</v>
      </c>
      <c r="E2089" s="2">
        <v>57</v>
      </c>
      <c r="F2089" s="2">
        <v>1174.22</v>
      </c>
    </row>
    <row r="2090" spans="3:6" x14ac:dyDescent="0.25">
      <c r="C2090" s="2" t="s">
        <v>13888</v>
      </c>
      <c r="D2090" s="2" t="s">
        <v>42</v>
      </c>
      <c r="E2090" s="2">
        <v>33</v>
      </c>
      <c r="F2090" s="2">
        <v>718.24</v>
      </c>
    </row>
    <row r="2091" spans="3:6" x14ac:dyDescent="0.25">
      <c r="C2091" s="2" t="s">
        <v>13889</v>
      </c>
      <c r="D2091" s="2" t="s">
        <v>42</v>
      </c>
      <c r="E2091" s="2">
        <v>141</v>
      </c>
      <c r="F2091" s="2">
        <v>2861.389</v>
      </c>
    </row>
    <row r="2092" spans="3:6" x14ac:dyDescent="0.25">
      <c r="C2092" s="2" t="s">
        <v>13890</v>
      </c>
      <c r="D2092" s="2" t="s">
        <v>42</v>
      </c>
      <c r="E2092" s="2">
        <v>30</v>
      </c>
      <c r="F2092" s="2">
        <v>158.16</v>
      </c>
    </row>
    <row r="2093" spans="3:6" x14ac:dyDescent="0.25">
      <c r="C2093" s="2" t="s">
        <v>13891</v>
      </c>
      <c r="D2093" s="2" t="s">
        <v>42</v>
      </c>
      <c r="E2093" s="2">
        <v>128</v>
      </c>
      <c r="F2093" s="2">
        <v>2630.957</v>
      </c>
    </row>
    <row r="2094" spans="3:6" x14ac:dyDescent="0.25">
      <c r="C2094" s="2" t="s">
        <v>13892</v>
      </c>
      <c r="D2094" s="2" t="s">
        <v>42</v>
      </c>
      <c r="E2094" s="2">
        <v>13</v>
      </c>
      <c r="F2094" s="2">
        <v>246.55</v>
      </c>
    </row>
    <row r="2095" spans="3:6" x14ac:dyDescent="0.25">
      <c r="C2095" s="2" t="s">
        <v>13893</v>
      </c>
      <c r="D2095" s="2" t="s">
        <v>42</v>
      </c>
      <c r="E2095" s="2">
        <v>110</v>
      </c>
      <c r="F2095" s="2">
        <v>2220.5</v>
      </c>
    </row>
    <row r="2096" spans="3:6" x14ac:dyDescent="0.25">
      <c r="C2096" s="2" t="s">
        <v>13894</v>
      </c>
      <c r="D2096" s="2" t="s">
        <v>42</v>
      </c>
      <c r="E2096" s="2">
        <v>31</v>
      </c>
      <c r="F2096" s="2">
        <v>590.37</v>
      </c>
    </row>
    <row r="2097" spans="3:6" x14ac:dyDescent="0.25">
      <c r="C2097" s="2" t="s">
        <v>13895</v>
      </c>
      <c r="D2097" s="2" t="s">
        <v>42</v>
      </c>
      <c r="E2097" s="2">
        <v>50</v>
      </c>
      <c r="F2097" s="2">
        <v>888.159</v>
      </c>
    </row>
    <row r="2098" spans="3:6" x14ac:dyDescent="0.25">
      <c r="C2098" s="2" t="s">
        <v>13896</v>
      </c>
      <c r="D2098" s="2" t="s">
        <v>42</v>
      </c>
      <c r="E2098" s="2">
        <v>92</v>
      </c>
      <c r="F2098" s="2">
        <v>1909.77</v>
      </c>
    </row>
    <row r="2099" spans="3:6" x14ac:dyDescent="0.25">
      <c r="C2099" s="2" t="s">
        <v>13897</v>
      </c>
      <c r="D2099" s="2" t="s">
        <v>42</v>
      </c>
      <c r="E2099" s="2">
        <v>141</v>
      </c>
      <c r="F2099" s="2">
        <v>2888.94</v>
      </c>
    </row>
    <row r="2100" spans="3:6" x14ac:dyDescent="0.25">
      <c r="C2100" s="2" t="s">
        <v>13898</v>
      </c>
      <c r="D2100" s="2" t="s">
        <v>42</v>
      </c>
      <c r="E2100" s="2">
        <v>141</v>
      </c>
      <c r="F2100" s="2">
        <v>2863.24</v>
      </c>
    </row>
    <row r="2101" spans="3:6" x14ac:dyDescent="0.25">
      <c r="C2101" s="2" t="s">
        <v>13899</v>
      </c>
      <c r="D2101" s="2" t="s">
        <v>42</v>
      </c>
      <c r="E2101" s="2">
        <v>75</v>
      </c>
      <c r="F2101" s="2">
        <v>371.436</v>
      </c>
    </row>
    <row r="2102" spans="3:6" x14ac:dyDescent="0.25">
      <c r="C2102" s="2" t="s">
        <v>13900</v>
      </c>
      <c r="D2102" s="2" t="s">
        <v>42</v>
      </c>
      <c r="E2102" s="2">
        <v>75</v>
      </c>
      <c r="F2102" s="2">
        <v>361.9</v>
      </c>
    </row>
    <row r="2103" spans="3:6" x14ac:dyDescent="0.25">
      <c r="C2103" s="2" t="s">
        <v>13901</v>
      </c>
      <c r="D2103" s="2" t="s">
        <v>42</v>
      </c>
      <c r="E2103" s="2">
        <v>130</v>
      </c>
      <c r="F2103" s="2">
        <v>2105.223</v>
      </c>
    </row>
    <row r="2104" spans="3:6" x14ac:dyDescent="0.25">
      <c r="C2104" s="2" t="s">
        <v>13902</v>
      </c>
      <c r="D2104" s="2" t="s">
        <v>42</v>
      </c>
      <c r="E2104" s="2">
        <v>133</v>
      </c>
      <c r="F2104" s="2">
        <v>1923.919</v>
      </c>
    </row>
    <row r="2105" spans="3:6" x14ac:dyDescent="0.25">
      <c r="C2105" s="2" t="s">
        <v>13903</v>
      </c>
      <c r="D2105" s="2" t="s">
        <v>42</v>
      </c>
      <c r="E2105" s="2">
        <v>141</v>
      </c>
      <c r="F2105" s="2">
        <v>2850.13</v>
      </c>
    </row>
    <row r="2106" spans="3:6" x14ac:dyDescent="0.25">
      <c r="C2106" s="2" t="s">
        <v>13904</v>
      </c>
      <c r="D2106" s="2" t="s">
        <v>42</v>
      </c>
      <c r="E2106" s="2">
        <v>141</v>
      </c>
      <c r="F2106" s="2">
        <v>2857.769</v>
      </c>
    </row>
    <row r="2107" spans="3:6" x14ac:dyDescent="0.25">
      <c r="C2107" s="2" t="s">
        <v>13905</v>
      </c>
      <c r="D2107" s="2" t="s">
        <v>42</v>
      </c>
      <c r="E2107" s="2">
        <v>141</v>
      </c>
      <c r="F2107" s="2">
        <v>2898.407</v>
      </c>
    </row>
    <row r="2108" spans="3:6" x14ac:dyDescent="0.25">
      <c r="C2108" s="2" t="s">
        <v>13906</v>
      </c>
      <c r="D2108" s="2" t="s">
        <v>42</v>
      </c>
      <c r="E2108" s="2">
        <v>119</v>
      </c>
      <c r="F2108" s="2">
        <v>1896.711</v>
      </c>
    </row>
    <row r="2109" spans="3:6" x14ac:dyDescent="0.25">
      <c r="C2109" s="2" t="s">
        <v>13907</v>
      </c>
      <c r="D2109" s="2" t="s">
        <v>42</v>
      </c>
      <c r="E2109" s="2">
        <v>21</v>
      </c>
      <c r="F2109" s="2">
        <v>405.52</v>
      </c>
    </row>
    <row r="2110" spans="3:6" x14ac:dyDescent="0.25">
      <c r="C2110" s="2" t="s">
        <v>13908</v>
      </c>
      <c r="D2110" s="2" t="s">
        <v>42</v>
      </c>
      <c r="E2110" s="2">
        <v>100</v>
      </c>
      <c r="F2110" s="2">
        <v>2124.939</v>
      </c>
    </row>
    <row r="2111" spans="3:6" x14ac:dyDescent="0.25">
      <c r="C2111" s="2" t="s">
        <v>13909</v>
      </c>
      <c r="D2111" s="2" t="s">
        <v>42</v>
      </c>
      <c r="E2111" s="2">
        <v>76</v>
      </c>
      <c r="F2111" s="2">
        <v>1279.435</v>
      </c>
    </row>
    <row r="2112" spans="3:6" x14ac:dyDescent="0.25">
      <c r="C2112" s="2" t="s">
        <v>13910</v>
      </c>
      <c r="D2112" s="2" t="s">
        <v>42</v>
      </c>
      <c r="E2112" s="2">
        <v>65</v>
      </c>
      <c r="F2112" s="2">
        <v>1340.2</v>
      </c>
    </row>
    <row r="2113" spans="3:6" x14ac:dyDescent="0.25">
      <c r="C2113" s="2" t="s">
        <v>13911</v>
      </c>
      <c r="D2113" s="2" t="s">
        <v>42</v>
      </c>
      <c r="E2113" s="2">
        <v>35</v>
      </c>
      <c r="F2113" s="2">
        <v>737.47</v>
      </c>
    </row>
    <row r="2114" spans="3:6" x14ac:dyDescent="0.25">
      <c r="C2114" s="2" t="s">
        <v>13912</v>
      </c>
      <c r="D2114" s="2" t="s">
        <v>42</v>
      </c>
      <c r="E2114" s="2">
        <v>83</v>
      </c>
      <c r="F2114" s="2">
        <v>1650.266</v>
      </c>
    </row>
    <row r="2115" spans="3:6" x14ac:dyDescent="0.25">
      <c r="C2115" s="2" t="s">
        <v>13913</v>
      </c>
      <c r="D2115" s="2" t="s">
        <v>42</v>
      </c>
      <c r="E2115" s="2">
        <v>17</v>
      </c>
      <c r="F2115" s="2">
        <v>359.9</v>
      </c>
    </row>
    <row r="2116" spans="3:6" x14ac:dyDescent="0.25">
      <c r="C2116" s="2" t="s">
        <v>13914</v>
      </c>
      <c r="D2116" s="2" t="s">
        <v>42</v>
      </c>
      <c r="E2116" s="2">
        <v>74</v>
      </c>
      <c r="F2116" s="2">
        <v>1556.51</v>
      </c>
    </row>
    <row r="2117" spans="3:6" x14ac:dyDescent="0.25">
      <c r="C2117" s="2" t="s">
        <v>13915</v>
      </c>
      <c r="D2117" s="2" t="s">
        <v>42</v>
      </c>
      <c r="E2117" s="2">
        <v>26</v>
      </c>
      <c r="F2117" s="2">
        <v>575.36</v>
      </c>
    </row>
    <row r="2118" spans="3:6" x14ac:dyDescent="0.25">
      <c r="C2118" s="2" t="s">
        <v>13916</v>
      </c>
      <c r="D2118" s="2" t="s">
        <v>42</v>
      </c>
      <c r="E2118" s="2">
        <v>75</v>
      </c>
      <c r="F2118" s="2">
        <v>1484.554</v>
      </c>
    </row>
    <row r="2119" spans="3:6" x14ac:dyDescent="0.25">
      <c r="C2119" s="2" t="s">
        <v>13917</v>
      </c>
      <c r="D2119" s="2" t="s">
        <v>42</v>
      </c>
      <c r="E2119" s="2">
        <v>16</v>
      </c>
      <c r="F2119" s="2">
        <v>325.338</v>
      </c>
    </row>
    <row r="2120" spans="3:6" x14ac:dyDescent="0.25">
      <c r="C2120" s="2" t="s">
        <v>13918</v>
      </c>
      <c r="D2120" s="2" t="s">
        <v>42</v>
      </c>
      <c r="E2120" s="2">
        <v>50</v>
      </c>
      <c r="F2120" s="2">
        <v>1014.13</v>
      </c>
    </row>
    <row r="2121" spans="3:6" x14ac:dyDescent="0.25">
      <c r="C2121" s="2" t="s">
        <v>13919</v>
      </c>
      <c r="D2121" s="2" t="s">
        <v>42</v>
      </c>
      <c r="E2121" s="2">
        <v>39</v>
      </c>
      <c r="F2121" s="2">
        <v>815.82</v>
      </c>
    </row>
    <row r="2122" spans="3:6" x14ac:dyDescent="0.25">
      <c r="C2122" s="2" t="s">
        <v>13920</v>
      </c>
      <c r="D2122" s="2" t="s">
        <v>42</v>
      </c>
      <c r="E2122" s="2">
        <v>65</v>
      </c>
      <c r="F2122" s="2">
        <v>1308.367</v>
      </c>
    </row>
    <row r="2123" spans="3:6" x14ac:dyDescent="0.25">
      <c r="C2123" s="2" t="s">
        <v>13921</v>
      </c>
      <c r="D2123" s="2" t="s">
        <v>42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10</v>
      </c>
      <c r="C2125" s="2" t="s">
        <v>13922</v>
      </c>
      <c r="D2125" s="2" t="s">
        <v>12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13923</v>
      </c>
      <c r="D2126" s="2" t="s">
        <v>12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7022</v>
      </c>
      <c r="C2128" s="2" t="s">
        <v>13924</v>
      </c>
      <c r="D2128" s="2" t="s">
        <v>20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13925</v>
      </c>
      <c r="D2129" s="2" t="s">
        <v>20</v>
      </c>
      <c r="E2129" s="2">
        <v>154</v>
      </c>
      <c r="F2129" s="2">
        <v>3143.789</v>
      </c>
    </row>
    <row r="2130" spans="3:6" x14ac:dyDescent="0.25">
      <c r="C2130" s="2" t="s">
        <v>13926</v>
      </c>
      <c r="D2130" s="2" t="s">
        <v>20</v>
      </c>
      <c r="E2130" s="2">
        <v>164</v>
      </c>
      <c r="F2130" s="2">
        <v>3128.759</v>
      </c>
    </row>
    <row r="2131" spans="3:6" x14ac:dyDescent="0.25">
      <c r="C2131" s="2" t="s">
        <v>13562</v>
      </c>
      <c r="D2131" s="2" t="s">
        <v>20</v>
      </c>
      <c r="E2131" s="2">
        <v>105</v>
      </c>
      <c r="F2131" s="2">
        <v>1969.816</v>
      </c>
    </row>
    <row r="2132" spans="3:6" x14ac:dyDescent="0.25">
      <c r="C2132" s="2" t="s">
        <v>13560</v>
      </c>
      <c r="D2132" s="2" t="s">
        <v>20</v>
      </c>
      <c r="E2132" s="2">
        <v>163</v>
      </c>
      <c r="F2132" s="2">
        <v>3028.92</v>
      </c>
    </row>
    <row r="2133" spans="3:6" x14ac:dyDescent="0.25">
      <c r="C2133" s="2" t="s">
        <v>13563</v>
      </c>
      <c r="D2133" s="2" t="s">
        <v>20</v>
      </c>
      <c r="E2133" s="2">
        <v>138</v>
      </c>
      <c r="F2133" s="2">
        <v>2855.22</v>
      </c>
    </row>
    <row r="2134" spans="3:6" x14ac:dyDescent="0.25">
      <c r="C2134" s="2" t="s">
        <v>13564</v>
      </c>
      <c r="D2134" s="2" t="s">
        <v>20</v>
      </c>
      <c r="E2134" s="2">
        <v>289</v>
      </c>
      <c r="F2134" s="2">
        <v>4719.991</v>
      </c>
    </row>
    <row r="2135" spans="3:6" x14ac:dyDescent="0.25">
      <c r="C2135" s="2" t="s">
        <v>13561</v>
      </c>
      <c r="D2135" s="2" t="s">
        <v>20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18</v>
      </c>
      <c r="C2137" s="2" t="s">
        <v>13927</v>
      </c>
      <c r="D2137" s="2" t="s">
        <v>20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13928</v>
      </c>
      <c r="D2138" s="2" t="s">
        <v>20</v>
      </c>
      <c r="E2138" s="2">
        <v>242</v>
      </c>
      <c r="F2138" s="2">
        <v>5246.966</v>
      </c>
    </row>
    <row r="2139" spans="3:6" x14ac:dyDescent="0.25">
      <c r="C2139" s="2" t="s">
        <v>13929</v>
      </c>
      <c r="D2139" s="2" t="s">
        <v>20</v>
      </c>
      <c r="E2139" s="2">
        <v>102</v>
      </c>
      <c r="F2139" s="2">
        <v>2033.5</v>
      </c>
    </row>
    <row r="2140" spans="3:6" x14ac:dyDescent="0.25">
      <c r="C2140" s="2" t="s">
        <v>13930</v>
      </c>
      <c r="D2140" s="2" t="s">
        <v>20</v>
      </c>
      <c r="E2140" s="2">
        <v>290</v>
      </c>
      <c r="F2140" s="2">
        <v>3817.032</v>
      </c>
    </row>
    <row r="2141" spans="3:6" x14ac:dyDescent="0.25">
      <c r="C2141" s="2" t="s">
        <v>13931</v>
      </c>
      <c r="D2141" s="2" t="s">
        <v>20</v>
      </c>
      <c r="E2141" s="2">
        <v>102</v>
      </c>
      <c r="F2141" s="2">
        <v>2063.88</v>
      </c>
    </row>
    <row r="2142" spans="3:6" x14ac:dyDescent="0.25">
      <c r="C2142" s="2" t="s">
        <v>13932</v>
      </c>
      <c r="D2142" s="2" t="s">
        <v>20</v>
      </c>
      <c r="E2142" s="2">
        <v>102</v>
      </c>
      <c r="F2142" s="2">
        <v>2007.419</v>
      </c>
    </row>
    <row r="2143" spans="3:6" x14ac:dyDescent="0.25">
      <c r="C2143" s="2" t="s">
        <v>13933</v>
      </c>
      <c r="D2143" s="2" t="s">
        <v>20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1434</v>
      </c>
      <c r="C2145" s="2" t="s">
        <v>13934</v>
      </c>
      <c r="D2145" s="2" t="s">
        <v>122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13935</v>
      </c>
      <c r="D2146" s="2" t="s">
        <v>122</v>
      </c>
      <c r="E2146" s="2">
        <v>121</v>
      </c>
      <c r="F2146" s="2">
        <v>2512.79</v>
      </c>
    </row>
    <row r="2147" spans="3:6" x14ac:dyDescent="0.25">
      <c r="C2147" s="2" t="s">
        <v>13936</v>
      </c>
      <c r="D2147" s="2" t="s">
        <v>122</v>
      </c>
      <c r="E2147" s="2">
        <v>141</v>
      </c>
      <c r="F2147" s="2">
        <v>2782.33</v>
      </c>
    </row>
    <row r="2148" spans="3:6" x14ac:dyDescent="0.25">
      <c r="C2148" s="2" t="s">
        <v>13937</v>
      </c>
      <c r="D2148" s="2" t="s">
        <v>122</v>
      </c>
      <c r="E2148" s="2">
        <v>141</v>
      </c>
      <c r="F2148" s="2">
        <v>2881.509</v>
      </c>
    </row>
    <row r="2149" spans="3:6" x14ac:dyDescent="0.25">
      <c r="C2149" s="2" t="s">
        <v>13938</v>
      </c>
      <c r="D2149" s="2" t="s">
        <v>122</v>
      </c>
      <c r="E2149" s="2">
        <v>141</v>
      </c>
      <c r="F2149" s="2">
        <v>2939.72</v>
      </c>
    </row>
    <row r="2150" spans="3:6" x14ac:dyDescent="0.25">
      <c r="C2150" s="2" t="s">
        <v>13939</v>
      </c>
      <c r="D2150" s="2" t="s">
        <v>122</v>
      </c>
      <c r="E2150" s="2">
        <v>115</v>
      </c>
      <c r="F2150" s="2">
        <v>2403.24</v>
      </c>
    </row>
    <row r="2151" spans="3:6" x14ac:dyDescent="0.25">
      <c r="C2151" s="2" t="s">
        <v>13940</v>
      </c>
      <c r="D2151" s="2" t="s">
        <v>122</v>
      </c>
      <c r="E2151" s="2">
        <v>26</v>
      </c>
      <c r="F2151" s="2">
        <v>486.16</v>
      </c>
    </row>
    <row r="2152" spans="3:6" x14ac:dyDescent="0.25">
      <c r="C2152" s="2" t="s">
        <v>13941</v>
      </c>
      <c r="D2152" s="2" t="s">
        <v>122</v>
      </c>
      <c r="E2152" s="2">
        <v>72</v>
      </c>
      <c r="F2152" s="2">
        <v>1419.47</v>
      </c>
    </row>
    <row r="2153" spans="3:6" x14ac:dyDescent="0.25">
      <c r="C2153" s="2" t="s">
        <v>13942</v>
      </c>
      <c r="D2153" s="2" t="s">
        <v>122</v>
      </c>
      <c r="E2153" s="2">
        <v>69</v>
      </c>
      <c r="F2153" s="2">
        <v>1359.18</v>
      </c>
    </row>
    <row r="2154" spans="3:6" x14ac:dyDescent="0.25">
      <c r="C2154" s="2" t="s">
        <v>13943</v>
      </c>
      <c r="D2154" s="2" t="s">
        <v>122</v>
      </c>
      <c r="E2154" s="2">
        <v>141</v>
      </c>
      <c r="F2154" s="2">
        <v>2855.07</v>
      </c>
    </row>
    <row r="2155" spans="3:6" x14ac:dyDescent="0.25">
      <c r="C2155" s="2" t="s">
        <v>13944</v>
      </c>
      <c r="D2155" s="2" t="s">
        <v>122</v>
      </c>
      <c r="E2155" s="2">
        <v>101</v>
      </c>
      <c r="F2155" s="2">
        <v>2069.39</v>
      </c>
    </row>
    <row r="2156" spans="3:6" x14ac:dyDescent="0.25">
      <c r="C2156" s="2" t="s">
        <v>13945</v>
      </c>
      <c r="D2156" s="2" t="s">
        <v>122</v>
      </c>
      <c r="E2156" s="2">
        <v>49</v>
      </c>
      <c r="F2156" s="2">
        <v>1039.97</v>
      </c>
    </row>
    <row r="2157" spans="3:6" x14ac:dyDescent="0.25">
      <c r="C2157" s="2" t="s">
        <v>13946</v>
      </c>
      <c r="D2157" s="2" t="s">
        <v>122</v>
      </c>
      <c r="E2157" s="2">
        <v>52</v>
      </c>
      <c r="F2157" s="2">
        <v>1051.78</v>
      </c>
    </row>
    <row r="2158" spans="3:6" x14ac:dyDescent="0.25">
      <c r="C2158" s="2" t="s">
        <v>13947</v>
      </c>
      <c r="D2158" s="2" t="s">
        <v>122</v>
      </c>
      <c r="E2158" s="2">
        <v>101</v>
      </c>
      <c r="F2158" s="2">
        <v>1969.17</v>
      </c>
    </row>
    <row r="2159" spans="3:6" x14ac:dyDescent="0.25">
      <c r="C2159" s="2" t="s">
        <v>13948</v>
      </c>
      <c r="D2159" s="2" t="s">
        <v>122</v>
      </c>
      <c r="E2159" s="2">
        <v>101</v>
      </c>
      <c r="F2159" s="2">
        <v>2054.38</v>
      </c>
    </row>
    <row r="2160" spans="3:6" x14ac:dyDescent="0.25">
      <c r="C2160" s="2" t="s">
        <v>13949</v>
      </c>
      <c r="D2160" s="2" t="s">
        <v>122</v>
      </c>
      <c r="E2160" s="2">
        <v>101</v>
      </c>
      <c r="F2160" s="2">
        <v>2041.29</v>
      </c>
    </row>
    <row r="2161" spans="3:6" x14ac:dyDescent="0.25">
      <c r="C2161" s="2" t="s">
        <v>13950</v>
      </c>
      <c r="D2161" s="2" t="s">
        <v>122</v>
      </c>
      <c r="E2161" s="2">
        <v>141</v>
      </c>
      <c r="F2161" s="2">
        <v>2786.52</v>
      </c>
    </row>
    <row r="2162" spans="3:6" x14ac:dyDescent="0.25">
      <c r="C2162" s="2" t="s">
        <v>13951</v>
      </c>
      <c r="D2162" s="2" t="s">
        <v>122</v>
      </c>
      <c r="E2162" s="2">
        <v>141</v>
      </c>
      <c r="F2162" s="2">
        <v>2942.689</v>
      </c>
    </row>
    <row r="2163" spans="3:6" x14ac:dyDescent="0.25">
      <c r="C2163" s="2" t="s">
        <v>13952</v>
      </c>
      <c r="D2163" s="2" t="s">
        <v>122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324</v>
      </c>
      <c r="C2165" s="2" t="s">
        <v>13953</v>
      </c>
      <c r="D2165" s="2" t="s">
        <v>27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13954</v>
      </c>
      <c r="D2166" s="2" t="s">
        <v>27</v>
      </c>
      <c r="E2166" s="2">
        <v>21</v>
      </c>
      <c r="F2166" s="2">
        <v>368.05</v>
      </c>
    </row>
    <row r="2167" spans="3:6" x14ac:dyDescent="0.25">
      <c r="C2167" s="2" t="s">
        <v>13955</v>
      </c>
      <c r="D2167" s="2" t="s">
        <v>27</v>
      </c>
      <c r="E2167" s="2">
        <v>7</v>
      </c>
      <c r="F2167" s="2">
        <v>133.2</v>
      </c>
    </row>
    <row r="2168" spans="3:6" x14ac:dyDescent="0.25">
      <c r="C2168" s="2" t="s">
        <v>13956</v>
      </c>
      <c r="D2168" s="2" t="s">
        <v>27</v>
      </c>
      <c r="E2168" s="2">
        <v>32</v>
      </c>
      <c r="F2168" s="2">
        <v>528.32</v>
      </c>
    </row>
    <row r="2169" spans="3:6" x14ac:dyDescent="0.25">
      <c r="C2169" s="2" t="s">
        <v>13957</v>
      </c>
      <c r="D2169" s="2" t="s">
        <v>27</v>
      </c>
      <c r="E2169" s="2">
        <v>54</v>
      </c>
      <c r="F2169" s="2">
        <v>1047.68</v>
      </c>
    </row>
    <row r="2170" spans="3:6" x14ac:dyDescent="0.25">
      <c r="C2170" s="2" t="s">
        <v>13958</v>
      </c>
      <c r="D2170" s="2" t="s">
        <v>27</v>
      </c>
      <c r="E2170" s="2">
        <v>99</v>
      </c>
      <c r="F2170" s="2">
        <v>1935.32</v>
      </c>
    </row>
    <row r="2171" spans="3:6" x14ac:dyDescent="0.25">
      <c r="C2171" s="2" t="s">
        <v>13959</v>
      </c>
      <c r="D2171" s="2" t="s">
        <v>27</v>
      </c>
      <c r="E2171" s="2">
        <v>29</v>
      </c>
      <c r="F2171" s="2">
        <v>511.36</v>
      </c>
    </row>
    <row r="2172" spans="3:6" x14ac:dyDescent="0.25">
      <c r="C2172" s="2" t="s">
        <v>13960</v>
      </c>
      <c r="D2172" s="2" t="s">
        <v>27</v>
      </c>
      <c r="E2172" s="2">
        <v>47</v>
      </c>
      <c r="F2172" s="2">
        <v>828.628</v>
      </c>
    </row>
    <row r="2173" spans="3:6" x14ac:dyDescent="0.25">
      <c r="C2173" s="2" t="s">
        <v>13961</v>
      </c>
      <c r="D2173" s="2" t="s">
        <v>27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10</v>
      </c>
      <c r="C2175" s="2" t="s">
        <v>13962</v>
      </c>
      <c r="D2175" s="2" t="s">
        <v>12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13963</v>
      </c>
      <c r="D2176" s="2" t="s">
        <v>12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2825</v>
      </c>
      <c r="C2178" s="2" t="s">
        <v>13964</v>
      </c>
      <c r="D2178" s="2" t="s">
        <v>216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2378</v>
      </c>
      <c r="C2180" s="2" t="s">
        <v>13965</v>
      </c>
      <c r="D2180" s="2" t="s">
        <v>2096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1434</v>
      </c>
      <c r="C2182" s="2" t="s">
        <v>13966</v>
      </c>
      <c r="D2182" s="2" t="s">
        <v>122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13967</v>
      </c>
      <c r="D2183" s="2" t="s">
        <v>122</v>
      </c>
      <c r="E2183" s="2">
        <v>65</v>
      </c>
      <c r="F2183" s="2">
        <v>1305.36</v>
      </c>
    </row>
    <row r="2184" spans="3:6" x14ac:dyDescent="0.25">
      <c r="C2184" s="2" t="s">
        <v>13968</v>
      </c>
      <c r="D2184" s="2" t="s">
        <v>122</v>
      </c>
      <c r="E2184" s="2">
        <v>56</v>
      </c>
      <c r="F2184" s="2">
        <v>1174.47</v>
      </c>
    </row>
    <row r="2185" spans="3:6" x14ac:dyDescent="0.25">
      <c r="C2185" s="2" t="s">
        <v>13969</v>
      </c>
      <c r="D2185" s="2" t="s">
        <v>122</v>
      </c>
      <c r="E2185" s="2">
        <v>143</v>
      </c>
      <c r="F2185" s="2">
        <v>2772.559</v>
      </c>
    </row>
    <row r="2186" spans="3:6" x14ac:dyDescent="0.25">
      <c r="C2186" s="2" t="s">
        <v>13970</v>
      </c>
      <c r="D2186" s="2" t="s">
        <v>122</v>
      </c>
      <c r="E2186" s="2">
        <v>141</v>
      </c>
      <c r="F2186" s="2">
        <v>3003.8</v>
      </c>
    </row>
    <row r="2187" spans="3:6" x14ac:dyDescent="0.25">
      <c r="C2187" s="2" t="s">
        <v>13971</v>
      </c>
      <c r="D2187" s="2" t="s">
        <v>122</v>
      </c>
      <c r="E2187" s="2">
        <v>142</v>
      </c>
      <c r="F2187" s="2">
        <v>2888.389</v>
      </c>
    </row>
    <row r="2188" spans="3:6" x14ac:dyDescent="0.25">
      <c r="C2188" s="2" t="s">
        <v>13972</v>
      </c>
      <c r="D2188" s="2" t="s">
        <v>122</v>
      </c>
      <c r="E2188" s="2">
        <v>141</v>
      </c>
      <c r="F2188" s="2">
        <v>2879.579</v>
      </c>
    </row>
    <row r="2189" spans="3:6" x14ac:dyDescent="0.25">
      <c r="C2189" s="2" t="s">
        <v>13973</v>
      </c>
      <c r="D2189" s="2" t="s">
        <v>122</v>
      </c>
      <c r="E2189" s="2">
        <v>102</v>
      </c>
      <c r="F2189" s="2">
        <v>2072.95</v>
      </c>
    </row>
    <row r="2190" spans="3:6" x14ac:dyDescent="0.25">
      <c r="C2190" s="2" t="s">
        <v>13974</v>
      </c>
      <c r="D2190" s="2" t="s">
        <v>122</v>
      </c>
      <c r="E2190" s="2">
        <v>17</v>
      </c>
      <c r="F2190" s="2">
        <v>314.02</v>
      </c>
    </row>
    <row r="2191" spans="3:6" x14ac:dyDescent="0.25">
      <c r="C2191" s="2" t="s">
        <v>13975</v>
      </c>
      <c r="D2191" s="2" t="s">
        <v>122</v>
      </c>
      <c r="E2191" s="2">
        <v>85</v>
      </c>
      <c r="F2191" s="2">
        <v>1634.269</v>
      </c>
    </row>
    <row r="2192" spans="3:6" x14ac:dyDescent="0.25">
      <c r="C2192" s="2" t="s">
        <v>13976</v>
      </c>
      <c r="D2192" s="2" t="s">
        <v>122</v>
      </c>
      <c r="E2192" s="2">
        <v>47</v>
      </c>
      <c r="F2192" s="2">
        <v>916.77</v>
      </c>
    </row>
    <row r="2193" spans="3:6" x14ac:dyDescent="0.25">
      <c r="C2193" s="2" t="s">
        <v>13977</v>
      </c>
      <c r="D2193" s="2" t="s">
        <v>122</v>
      </c>
      <c r="E2193" s="2">
        <v>54</v>
      </c>
      <c r="F2193" s="2">
        <v>1067.03</v>
      </c>
    </row>
    <row r="2194" spans="3:6" x14ac:dyDescent="0.25">
      <c r="C2194" s="2" t="s">
        <v>13978</v>
      </c>
      <c r="D2194" s="2" t="s">
        <v>122</v>
      </c>
      <c r="E2194" s="2">
        <v>101</v>
      </c>
      <c r="F2194" s="2">
        <v>2078.57</v>
      </c>
    </row>
    <row r="2195" spans="3:6" x14ac:dyDescent="0.25">
      <c r="C2195" s="2" t="s">
        <v>13979</v>
      </c>
      <c r="D2195" s="2" t="s">
        <v>122</v>
      </c>
      <c r="E2195" s="2">
        <v>18</v>
      </c>
      <c r="F2195" s="2">
        <v>350.05</v>
      </c>
    </row>
    <row r="2196" spans="3:6" x14ac:dyDescent="0.25">
      <c r="C2196" s="2" t="s">
        <v>13980</v>
      </c>
      <c r="D2196" s="2" t="s">
        <v>122</v>
      </c>
      <c r="E2196" s="2">
        <v>83</v>
      </c>
      <c r="F2196" s="2">
        <v>1636.16</v>
      </c>
    </row>
    <row r="2197" spans="3:6" x14ac:dyDescent="0.25">
      <c r="C2197" s="2" t="s">
        <v>13981</v>
      </c>
      <c r="D2197" s="2" t="s">
        <v>122</v>
      </c>
      <c r="E2197" s="2">
        <v>82</v>
      </c>
      <c r="F2197" s="2">
        <v>1652.889</v>
      </c>
    </row>
    <row r="2198" spans="3:6" x14ac:dyDescent="0.25">
      <c r="C2198" s="2" t="s">
        <v>13982</v>
      </c>
      <c r="D2198" s="2" t="s">
        <v>122</v>
      </c>
      <c r="E2198" s="2">
        <v>59</v>
      </c>
      <c r="F2198" s="2">
        <v>1153.53</v>
      </c>
    </row>
    <row r="2199" spans="3:6" x14ac:dyDescent="0.25">
      <c r="C2199" s="2" t="s">
        <v>13983</v>
      </c>
      <c r="D2199" s="2" t="s">
        <v>122</v>
      </c>
      <c r="E2199" s="2">
        <v>24</v>
      </c>
      <c r="F2199" s="2">
        <v>435.68</v>
      </c>
    </row>
    <row r="2200" spans="3:6" x14ac:dyDescent="0.25">
      <c r="C2200" s="2" t="s">
        <v>13984</v>
      </c>
      <c r="D2200" s="2" t="s">
        <v>122</v>
      </c>
      <c r="E2200" s="2">
        <v>42</v>
      </c>
      <c r="F2200" s="2">
        <v>811.73</v>
      </c>
    </row>
    <row r="2201" spans="3:6" x14ac:dyDescent="0.25">
      <c r="C2201" s="2" t="s">
        <v>13985</v>
      </c>
      <c r="D2201" s="2" t="s">
        <v>122</v>
      </c>
      <c r="E2201" s="2">
        <v>19</v>
      </c>
      <c r="F2201" s="2">
        <v>381.33</v>
      </c>
    </row>
    <row r="2202" spans="3:6" x14ac:dyDescent="0.25">
      <c r="C2202" s="2" t="s">
        <v>13986</v>
      </c>
      <c r="D2202" s="2" t="s">
        <v>122</v>
      </c>
      <c r="E2202" s="2">
        <v>56</v>
      </c>
      <c r="F2202" s="2">
        <v>1063.54</v>
      </c>
    </row>
    <row r="2203" spans="3:6" x14ac:dyDescent="0.25">
      <c r="C2203" s="2" t="s">
        <v>13987</v>
      </c>
      <c r="D2203" s="2" t="s">
        <v>122</v>
      </c>
      <c r="E2203" s="2">
        <v>71</v>
      </c>
      <c r="F2203" s="2">
        <v>1441.14</v>
      </c>
    </row>
    <row r="2204" spans="3:6" x14ac:dyDescent="0.25">
      <c r="C2204" s="2" t="s">
        <v>13988</v>
      </c>
      <c r="D2204" s="2" t="s">
        <v>122</v>
      </c>
      <c r="E2204" s="2">
        <v>70</v>
      </c>
      <c r="F2204" s="2">
        <v>1341.07</v>
      </c>
    </row>
    <row r="2205" spans="3:6" x14ac:dyDescent="0.25">
      <c r="C2205" s="2" t="s">
        <v>13989</v>
      </c>
      <c r="D2205" s="2" t="s">
        <v>122</v>
      </c>
      <c r="E2205" s="2">
        <v>35</v>
      </c>
      <c r="F2205" s="2">
        <v>719.49</v>
      </c>
    </row>
    <row r="2206" spans="3:6" x14ac:dyDescent="0.25">
      <c r="C2206" s="2" t="s">
        <v>13990</v>
      </c>
      <c r="D2206" s="2" t="s">
        <v>122</v>
      </c>
      <c r="E2206" s="2">
        <v>50</v>
      </c>
      <c r="F2206" s="2">
        <v>984.89</v>
      </c>
    </row>
    <row r="2207" spans="3:6" x14ac:dyDescent="0.25">
      <c r="C2207" s="2" t="s">
        <v>13991</v>
      </c>
      <c r="D2207" s="2" t="s">
        <v>122</v>
      </c>
      <c r="E2207" s="2">
        <v>16</v>
      </c>
      <c r="F2207" s="2">
        <v>309.49</v>
      </c>
    </row>
    <row r="2208" spans="3:6" x14ac:dyDescent="0.25">
      <c r="C2208" s="2" t="s">
        <v>13992</v>
      </c>
      <c r="D2208" s="2" t="s">
        <v>122</v>
      </c>
      <c r="E2208" s="2">
        <v>40</v>
      </c>
      <c r="F2208" s="2">
        <v>839.849</v>
      </c>
    </row>
    <row r="2209" spans="3:6" x14ac:dyDescent="0.25">
      <c r="C2209" s="2" t="s">
        <v>13993</v>
      </c>
      <c r="D2209" s="2" t="s">
        <v>122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1289</v>
      </c>
      <c r="C2211" s="2" t="s">
        <v>13994</v>
      </c>
      <c r="D2211" s="2" t="s">
        <v>9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13995</v>
      </c>
      <c r="D2212" s="2" t="s">
        <v>9</v>
      </c>
      <c r="E2212" s="2">
        <v>134</v>
      </c>
      <c r="F2212" s="2">
        <v>2760.289</v>
      </c>
    </row>
    <row r="2213" spans="3:6" x14ac:dyDescent="0.25">
      <c r="C2213" s="2" t="s">
        <v>13996</v>
      </c>
      <c r="D2213" s="2" t="s">
        <v>9</v>
      </c>
      <c r="E2213" s="2">
        <v>102</v>
      </c>
      <c r="F2213" s="2">
        <v>2131.17</v>
      </c>
    </row>
    <row r="2214" spans="3:6" x14ac:dyDescent="0.25">
      <c r="C2214" s="2" t="s">
        <v>13997</v>
      </c>
      <c r="D2214" s="2" t="s">
        <v>9</v>
      </c>
      <c r="E2214" s="2">
        <v>30</v>
      </c>
      <c r="F2214" s="2">
        <v>127.039</v>
      </c>
    </row>
    <row r="2215" spans="3:6" x14ac:dyDescent="0.25">
      <c r="C2215" s="2" t="s">
        <v>13998</v>
      </c>
      <c r="D2215" s="2" t="s">
        <v>9</v>
      </c>
      <c r="E2215" s="2">
        <v>282</v>
      </c>
      <c r="F2215" s="2">
        <v>5930.01</v>
      </c>
    </row>
    <row r="2216" spans="3:6" x14ac:dyDescent="0.25">
      <c r="C2216" s="2" t="s">
        <v>13999</v>
      </c>
      <c r="D2216" s="2" t="s">
        <v>9</v>
      </c>
      <c r="E2216" s="2">
        <v>39</v>
      </c>
      <c r="F2216" s="2">
        <v>166.809</v>
      </c>
    </row>
    <row r="2217" spans="3:6" x14ac:dyDescent="0.25">
      <c r="C2217" s="2" t="s">
        <v>14000</v>
      </c>
      <c r="D2217" s="2" t="s">
        <v>9</v>
      </c>
      <c r="E2217" s="2">
        <v>282</v>
      </c>
      <c r="F2217" s="2">
        <v>5728.62</v>
      </c>
    </row>
    <row r="2218" spans="3:6" x14ac:dyDescent="0.25">
      <c r="C2218" s="2" t="s">
        <v>14001</v>
      </c>
      <c r="D2218" s="2" t="s">
        <v>9</v>
      </c>
      <c r="E2218" s="2">
        <v>102</v>
      </c>
      <c r="F2218" s="2">
        <v>2002.628</v>
      </c>
    </row>
    <row r="2219" spans="3:6" x14ac:dyDescent="0.25">
      <c r="C2219" s="2" t="s">
        <v>14002</v>
      </c>
      <c r="D2219" s="2" t="s">
        <v>9</v>
      </c>
      <c r="E2219" s="2">
        <v>102</v>
      </c>
      <c r="F2219" s="2">
        <v>1908.319</v>
      </c>
    </row>
    <row r="2220" spans="3:6" x14ac:dyDescent="0.25">
      <c r="C2220" s="2" t="s">
        <v>14003</v>
      </c>
      <c r="D2220" s="2" t="s">
        <v>9</v>
      </c>
      <c r="E2220" s="2">
        <v>46</v>
      </c>
      <c r="F2220" s="2">
        <v>936.14</v>
      </c>
    </row>
    <row r="2221" spans="3:6" x14ac:dyDescent="0.25">
      <c r="C2221" s="2" t="s">
        <v>14004</v>
      </c>
      <c r="D2221" s="2" t="s">
        <v>9</v>
      </c>
      <c r="E2221" s="2">
        <v>95</v>
      </c>
      <c r="F2221" s="2">
        <v>1837.19</v>
      </c>
    </row>
    <row r="2222" spans="3:6" x14ac:dyDescent="0.25">
      <c r="C2222" s="2" t="s">
        <v>14005</v>
      </c>
      <c r="D2222" s="2" t="s">
        <v>9</v>
      </c>
      <c r="E2222" s="2">
        <v>284</v>
      </c>
      <c r="F2222" s="2">
        <v>5585.45</v>
      </c>
    </row>
    <row r="2223" spans="3:6" x14ac:dyDescent="0.25">
      <c r="C2223" s="2" t="s">
        <v>14006</v>
      </c>
      <c r="D2223" s="2" t="s">
        <v>9</v>
      </c>
      <c r="E2223" s="2">
        <v>102</v>
      </c>
      <c r="F2223" s="2">
        <v>2062.018</v>
      </c>
    </row>
    <row r="2224" spans="3:6" x14ac:dyDescent="0.25">
      <c r="C2224" s="2" t="s">
        <v>14007</v>
      </c>
      <c r="D2224" s="2" t="s">
        <v>9</v>
      </c>
      <c r="E2224" s="2">
        <v>123</v>
      </c>
      <c r="F2224" s="2">
        <v>2640.99</v>
      </c>
    </row>
    <row r="2225" spans="3:6" x14ac:dyDescent="0.25">
      <c r="C2225" s="2" t="s">
        <v>14008</v>
      </c>
      <c r="D2225" s="2" t="s">
        <v>9</v>
      </c>
      <c r="E2225" s="2">
        <v>282</v>
      </c>
      <c r="F2225" s="2">
        <v>5927.64</v>
      </c>
    </row>
    <row r="2226" spans="3:6" x14ac:dyDescent="0.25">
      <c r="C2226" s="2" t="s">
        <v>14009</v>
      </c>
      <c r="D2226" s="2" t="s">
        <v>9</v>
      </c>
      <c r="E2226" s="2">
        <v>200</v>
      </c>
      <c r="F2226" s="2">
        <v>4141.898</v>
      </c>
    </row>
    <row r="2227" spans="3:6" x14ac:dyDescent="0.25">
      <c r="C2227" s="2" t="s">
        <v>14010</v>
      </c>
      <c r="D2227" s="2" t="s">
        <v>9</v>
      </c>
      <c r="E2227" s="2">
        <v>120</v>
      </c>
      <c r="F2227" s="2">
        <v>2507.32</v>
      </c>
    </row>
    <row r="2228" spans="3:6" x14ac:dyDescent="0.25">
      <c r="C2228" s="2" t="s">
        <v>14011</v>
      </c>
      <c r="D2228" s="2" t="s">
        <v>9</v>
      </c>
      <c r="E2228" s="2">
        <v>136</v>
      </c>
      <c r="F2228" s="2">
        <v>2772.788</v>
      </c>
    </row>
    <row r="2229" spans="3:6" x14ac:dyDescent="0.25">
      <c r="C2229" s="2" t="s">
        <v>14012</v>
      </c>
      <c r="D2229" s="2" t="s">
        <v>9</v>
      </c>
      <c r="E2229" s="2">
        <v>93</v>
      </c>
      <c r="F2229" s="2">
        <v>1806.159</v>
      </c>
    </row>
    <row r="2230" spans="3:6" x14ac:dyDescent="0.25">
      <c r="C2230" s="2" t="s">
        <v>14013</v>
      </c>
      <c r="D2230" s="2" t="s">
        <v>9</v>
      </c>
      <c r="E2230" s="2">
        <v>43</v>
      </c>
      <c r="F2230" s="2">
        <v>824.01</v>
      </c>
    </row>
    <row r="2231" spans="3:6" x14ac:dyDescent="0.25">
      <c r="C2231" s="2" t="s">
        <v>14014</v>
      </c>
      <c r="D2231" s="2" t="s">
        <v>9</v>
      </c>
      <c r="E2231" s="2">
        <v>136</v>
      </c>
      <c r="F2231" s="2">
        <v>2613.019</v>
      </c>
    </row>
    <row r="2232" spans="3:6" x14ac:dyDescent="0.25">
      <c r="C2232" s="2" t="s">
        <v>14015</v>
      </c>
      <c r="D2232" s="2" t="s">
        <v>9</v>
      </c>
      <c r="E2232" s="2">
        <v>45</v>
      </c>
      <c r="F2232" s="2">
        <v>883.119</v>
      </c>
    </row>
    <row r="2233" spans="3:6" x14ac:dyDescent="0.25">
      <c r="C2233" s="2" t="s">
        <v>14016</v>
      </c>
      <c r="D2233" s="2" t="s">
        <v>9</v>
      </c>
      <c r="E2233" s="2">
        <v>23</v>
      </c>
      <c r="F2233" s="2">
        <v>448.14</v>
      </c>
    </row>
    <row r="2234" spans="3:6" x14ac:dyDescent="0.25">
      <c r="C2234" s="2" t="s">
        <v>14017</v>
      </c>
      <c r="D2234" s="2" t="s">
        <v>9</v>
      </c>
      <c r="E2234" s="2">
        <v>83</v>
      </c>
      <c r="F2234" s="2">
        <v>1636.688</v>
      </c>
    </row>
    <row r="2235" spans="3:6" x14ac:dyDescent="0.25">
      <c r="C2235" s="2" t="s">
        <v>14018</v>
      </c>
      <c r="D2235" s="2" t="s">
        <v>9</v>
      </c>
      <c r="E2235" s="2">
        <v>53</v>
      </c>
      <c r="F2235" s="2">
        <v>1078.6</v>
      </c>
    </row>
    <row r="2236" spans="3:6" x14ac:dyDescent="0.25">
      <c r="C2236" s="2" t="s">
        <v>14019</v>
      </c>
      <c r="D2236" s="2" t="s">
        <v>9</v>
      </c>
      <c r="E2236" s="2">
        <v>136</v>
      </c>
      <c r="F2236" s="2">
        <v>2744.049</v>
      </c>
    </row>
    <row r="2237" spans="3:6" x14ac:dyDescent="0.25">
      <c r="C2237" s="2" t="s">
        <v>14020</v>
      </c>
      <c r="D2237" s="2" t="s">
        <v>9</v>
      </c>
      <c r="E2237" s="2">
        <v>136</v>
      </c>
      <c r="F2237" s="2">
        <v>2702.3</v>
      </c>
    </row>
    <row r="2238" spans="3:6" x14ac:dyDescent="0.25">
      <c r="C2238" s="2" t="s">
        <v>14021</v>
      </c>
      <c r="D2238" s="2" t="s">
        <v>9</v>
      </c>
      <c r="E2238" s="2">
        <v>33</v>
      </c>
      <c r="F2238" s="2">
        <v>694.33</v>
      </c>
    </row>
    <row r="2239" spans="3:6" x14ac:dyDescent="0.25">
      <c r="C2239" s="2" t="s">
        <v>14022</v>
      </c>
      <c r="D2239" s="2" t="s">
        <v>9</v>
      </c>
      <c r="E2239" s="2">
        <v>30</v>
      </c>
      <c r="F2239" s="2">
        <v>575</v>
      </c>
    </row>
    <row r="2240" spans="3:6" x14ac:dyDescent="0.25">
      <c r="C2240" s="2" t="s">
        <v>14023</v>
      </c>
      <c r="D2240" s="2" t="s">
        <v>9</v>
      </c>
      <c r="E2240" s="2">
        <v>73</v>
      </c>
      <c r="F2240" s="2">
        <v>1496.25</v>
      </c>
    </row>
    <row r="2241" spans="3:6" x14ac:dyDescent="0.25">
      <c r="C2241" s="2" t="s">
        <v>14024</v>
      </c>
      <c r="D2241" s="2" t="s">
        <v>9</v>
      </c>
      <c r="E2241" s="2">
        <v>81</v>
      </c>
      <c r="F2241" s="2">
        <v>1601.42</v>
      </c>
    </row>
    <row r="2242" spans="3:6" x14ac:dyDescent="0.25">
      <c r="C2242" s="2" t="s">
        <v>14025</v>
      </c>
      <c r="D2242" s="2" t="s">
        <v>9</v>
      </c>
      <c r="E2242" s="2">
        <v>20</v>
      </c>
      <c r="F2242" s="2">
        <v>368.877</v>
      </c>
    </row>
    <row r="2243" spans="3:6" x14ac:dyDescent="0.25">
      <c r="C2243" s="2" t="s">
        <v>14026</v>
      </c>
      <c r="D2243" s="2" t="s">
        <v>9</v>
      </c>
      <c r="E2243" s="2">
        <v>13</v>
      </c>
      <c r="F2243" s="2">
        <v>208.06</v>
      </c>
    </row>
    <row r="2244" spans="3:6" x14ac:dyDescent="0.25">
      <c r="C2244" s="2" t="s">
        <v>14027</v>
      </c>
      <c r="D2244" s="2" t="s">
        <v>9</v>
      </c>
      <c r="E2244" s="2">
        <v>25</v>
      </c>
      <c r="F2244" s="2">
        <v>486.5</v>
      </c>
    </row>
    <row r="2245" spans="3:6" x14ac:dyDescent="0.25">
      <c r="C2245" s="2" t="s">
        <v>14028</v>
      </c>
      <c r="D2245" s="2" t="s">
        <v>9</v>
      </c>
      <c r="E2245" s="2">
        <v>17</v>
      </c>
      <c r="F2245" s="2">
        <v>339.79</v>
      </c>
    </row>
    <row r="2246" spans="3:6" x14ac:dyDescent="0.25">
      <c r="C2246" s="2" t="s">
        <v>14029</v>
      </c>
      <c r="D2246" s="2" t="s">
        <v>9</v>
      </c>
      <c r="E2246" s="2">
        <v>34</v>
      </c>
      <c r="F2246" s="2">
        <v>706.33</v>
      </c>
    </row>
    <row r="2247" spans="3:6" x14ac:dyDescent="0.25">
      <c r="C2247" s="2" t="s">
        <v>14030</v>
      </c>
      <c r="D2247" s="2" t="s">
        <v>9</v>
      </c>
      <c r="E2247" s="2">
        <v>22</v>
      </c>
      <c r="F2247" s="2">
        <v>424.43</v>
      </c>
    </row>
    <row r="2248" spans="3:6" x14ac:dyDescent="0.25">
      <c r="C2248" s="2" t="s">
        <v>14031</v>
      </c>
      <c r="D2248" s="2" t="s">
        <v>9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120</v>
      </c>
      <c r="C2250" s="2" t="s">
        <v>14032</v>
      </c>
      <c r="D2250" s="2" t="s">
        <v>42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14033</v>
      </c>
      <c r="D2251" s="2" t="s">
        <v>42</v>
      </c>
      <c r="E2251" s="2">
        <v>102</v>
      </c>
      <c r="F2251" s="2">
        <v>1998.269</v>
      </c>
    </row>
    <row r="2252" spans="3:6" x14ac:dyDescent="0.25">
      <c r="C2252" s="2" t="s">
        <v>14034</v>
      </c>
      <c r="D2252" s="2" t="s">
        <v>42</v>
      </c>
      <c r="E2252" s="2">
        <v>141</v>
      </c>
      <c r="F2252" s="2">
        <v>2815.19</v>
      </c>
    </row>
    <row r="2253" spans="3:6" x14ac:dyDescent="0.25">
      <c r="C2253" s="2" t="s">
        <v>14035</v>
      </c>
      <c r="D2253" s="2" t="s">
        <v>42</v>
      </c>
      <c r="E2253" s="2">
        <v>141</v>
      </c>
      <c r="F2253" s="2">
        <v>2945.03</v>
      </c>
    </row>
    <row r="2254" spans="3:6" x14ac:dyDescent="0.25">
      <c r="C2254" s="2" t="s">
        <v>14036</v>
      </c>
      <c r="D2254" s="2" t="s">
        <v>42</v>
      </c>
      <c r="E2254" s="2">
        <v>123</v>
      </c>
      <c r="F2254" s="2">
        <v>2521.27</v>
      </c>
    </row>
    <row r="2255" spans="3:6" x14ac:dyDescent="0.25">
      <c r="C2255" s="2" t="s">
        <v>14037</v>
      </c>
      <c r="D2255" s="2" t="s">
        <v>42</v>
      </c>
      <c r="E2255" s="2">
        <v>83</v>
      </c>
      <c r="F2255" s="2">
        <v>1713.33</v>
      </c>
    </row>
    <row r="2256" spans="3:6" x14ac:dyDescent="0.25">
      <c r="C2256" s="2" t="s">
        <v>14038</v>
      </c>
      <c r="D2256" s="2" t="s">
        <v>42</v>
      </c>
      <c r="E2256" s="2">
        <v>32</v>
      </c>
      <c r="F2256" s="2">
        <v>690.55</v>
      </c>
    </row>
    <row r="2257" spans="3:6" x14ac:dyDescent="0.25">
      <c r="C2257" s="2" t="s">
        <v>14039</v>
      </c>
      <c r="D2257" s="2" t="s">
        <v>42</v>
      </c>
      <c r="E2257" s="2">
        <v>9</v>
      </c>
      <c r="F2257" s="2">
        <v>139.98</v>
      </c>
    </row>
    <row r="2258" spans="3:6" x14ac:dyDescent="0.25">
      <c r="C2258" s="2" t="s">
        <v>14040</v>
      </c>
      <c r="D2258" s="2" t="s">
        <v>42</v>
      </c>
      <c r="E2258" s="2">
        <v>77</v>
      </c>
      <c r="F2258" s="2">
        <v>1550.51</v>
      </c>
    </row>
    <row r="2259" spans="3:6" x14ac:dyDescent="0.25">
      <c r="C2259" s="2" t="s">
        <v>14041</v>
      </c>
      <c r="D2259" s="2" t="s">
        <v>42</v>
      </c>
      <c r="E2259" s="2">
        <v>46</v>
      </c>
      <c r="F2259" s="2">
        <v>1062.37</v>
      </c>
    </row>
    <row r="2260" spans="3:6" x14ac:dyDescent="0.25">
      <c r="C2260" s="2" t="s">
        <v>14042</v>
      </c>
      <c r="D2260" s="2" t="s">
        <v>42</v>
      </c>
      <c r="E2260" s="2">
        <v>123</v>
      </c>
      <c r="F2260" s="2">
        <v>2513.13</v>
      </c>
    </row>
    <row r="2261" spans="3:6" x14ac:dyDescent="0.25">
      <c r="C2261" s="2" t="s">
        <v>14043</v>
      </c>
      <c r="D2261" s="2" t="s">
        <v>42</v>
      </c>
      <c r="E2261" s="2">
        <v>20</v>
      </c>
      <c r="F2261" s="2">
        <v>102.06</v>
      </c>
    </row>
    <row r="2262" spans="3:6" x14ac:dyDescent="0.25">
      <c r="C2262" s="2" t="s">
        <v>14044</v>
      </c>
      <c r="D2262" s="2" t="s">
        <v>42</v>
      </c>
      <c r="E2262" s="2">
        <v>109</v>
      </c>
      <c r="F2262" s="2">
        <v>2106.078</v>
      </c>
    </row>
    <row r="2263" spans="3:6" x14ac:dyDescent="0.25">
      <c r="C2263" s="2" t="s">
        <v>14045</v>
      </c>
      <c r="D2263" s="2" t="s">
        <v>42</v>
      </c>
      <c r="E2263" s="2">
        <v>20</v>
      </c>
      <c r="F2263" s="2">
        <v>407.11</v>
      </c>
    </row>
    <row r="2264" spans="3:6" x14ac:dyDescent="0.25">
      <c r="C2264" s="2" t="s">
        <v>14046</v>
      </c>
      <c r="D2264" s="2" t="s">
        <v>42</v>
      </c>
      <c r="E2264" s="2">
        <v>30</v>
      </c>
      <c r="F2264" s="2">
        <v>157.25</v>
      </c>
    </row>
    <row r="2265" spans="3:6" x14ac:dyDescent="0.25">
      <c r="C2265" s="2" t="s">
        <v>14047</v>
      </c>
      <c r="D2265" s="2" t="s">
        <v>42</v>
      </c>
      <c r="E2265" s="2">
        <v>57</v>
      </c>
      <c r="F2265" s="2">
        <v>1151.13</v>
      </c>
    </row>
    <row r="2266" spans="3:6" x14ac:dyDescent="0.25">
      <c r="C2266" s="2" t="s">
        <v>14048</v>
      </c>
      <c r="D2266" s="2" t="s">
        <v>42</v>
      </c>
      <c r="E2266" s="2">
        <v>84</v>
      </c>
      <c r="F2266" s="2">
        <v>1650.83</v>
      </c>
    </row>
    <row r="2267" spans="3:6" x14ac:dyDescent="0.25">
      <c r="C2267" s="2" t="s">
        <v>14049</v>
      </c>
      <c r="D2267" s="2" t="s">
        <v>42</v>
      </c>
      <c r="E2267" s="2">
        <v>86</v>
      </c>
      <c r="F2267" s="2">
        <v>1717.43</v>
      </c>
    </row>
    <row r="2268" spans="3:6" x14ac:dyDescent="0.25">
      <c r="C2268" s="2" t="s">
        <v>14050</v>
      </c>
      <c r="D2268" s="2" t="s">
        <v>42</v>
      </c>
      <c r="E2268" s="2">
        <v>7</v>
      </c>
      <c r="F2268" s="2">
        <v>154.36</v>
      </c>
    </row>
    <row r="2269" spans="3:6" x14ac:dyDescent="0.25">
      <c r="C2269" s="2" t="s">
        <v>14051</v>
      </c>
      <c r="D2269" s="2" t="s">
        <v>42</v>
      </c>
      <c r="E2269" s="2">
        <v>48</v>
      </c>
      <c r="F2269" s="2">
        <v>965.873</v>
      </c>
    </row>
    <row r="2270" spans="3:6" x14ac:dyDescent="0.25">
      <c r="C2270" s="2" t="s">
        <v>14052</v>
      </c>
      <c r="D2270" s="2" t="s">
        <v>42</v>
      </c>
      <c r="E2270" s="2">
        <v>113</v>
      </c>
      <c r="F2270" s="2">
        <v>1854.958</v>
      </c>
    </row>
    <row r="2271" spans="3:6" x14ac:dyDescent="0.25">
      <c r="C2271" s="2" t="s">
        <v>14053</v>
      </c>
      <c r="D2271" s="2" t="s">
        <v>42</v>
      </c>
      <c r="E2271" s="2">
        <v>14</v>
      </c>
      <c r="F2271" s="2">
        <v>281.22</v>
      </c>
    </row>
    <row r="2272" spans="3:6" x14ac:dyDescent="0.25">
      <c r="C2272" s="2" t="s">
        <v>14054</v>
      </c>
      <c r="D2272" s="2" t="s">
        <v>42</v>
      </c>
      <c r="E2272" s="2">
        <v>90</v>
      </c>
      <c r="F2272" s="2">
        <v>1856.24</v>
      </c>
    </row>
    <row r="2273" spans="3:6" x14ac:dyDescent="0.25">
      <c r="C2273" s="2" t="s">
        <v>14055</v>
      </c>
      <c r="D2273" s="2" t="s">
        <v>42</v>
      </c>
      <c r="E2273" s="2">
        <v>11</v>
      </c>
      <c r="F2273" s="2">
        <v>214.859</v>
      </c>
    </row>
    <row r="2274" spans="3:6" x14ac:dyDescent="0.25">
      <c r="C2274" s="2" t="s">
        <v>14056</v>
      </c>
      <c r="D2274" s="2" t="s">
        <v>42</v>
      </c>
      <c r="E2274" s="2">
        <v>40</v>
      </c>
      <c r="F2274" s="2">
        <v>734.83</v>
      </c>
    </row>
    <row r="2275" spans="3:6" x14ac:dyDescent="0.25">
      <c r="C2275" s="2" t="s">
        <v>14057</v>
      </c>
      <c r="D2275" s="2" t="s">
        <v>42</v>
      </c>
      <c r="E2275" s="2">
        <v>82</v>
      </c>
      <c r="F2275" s="2">
        <v>1691.43</v>
      </c>
    </row>
    <row r="2276" spans="3:6" x14ac:dyDescent="0.25">
      <c r="C2276" s="2" t="s">
        <v>14058</v>
      </c>
      <c r="D2276" s="2" t="s">
        <v>42</v>
      </c>
      <c r="E2276" s="2">
        <v>59</v>
      </c>
      <c r="F2276" s="2">
        <v>1142.5</v>
      </c>
    </row>
    <row r="2277" spans="3:6" x14ac:dyDescent="0.25">
      <c r="C2277" s="2" t="s">
        <v>14059</v>
      </c>
      <c r="D2277" s="2" t="s">
        <v>42</v>
      </c>
      <c r="E2277" s="2">
        <v>74</v>
      </c>
      <c r="F2277" s="2">
        <v>1474.37</v>
      </c>
    </row>
    <row r="2278" spans="3:6" x14ac:dyDescent="0.25">
      <c r="C2278" s="2" t="s">
        <v>14060</v>
      </c>
      <c r="D2278" s="2" t="s">
        <v>42</v>
      </c>
      <c r="E2278" s="2">
        <v>67</v>
      </c>
      <c r="F2278" s="2">
        <v>1329.86</v>
      </c>
    </row>
    <row r="2279" spans="3:6" x14ac:dyDescent="0.25">
      <c r="C2279" s="2" t="s">
        <v>14061</v>
      </c>
      <c r="D2279" s="2" t="s">
        <v>42</v>
      </c>
      <c r="E2279" s="2">
        <v>75</v>
      </c>
      <c r="F2279" s="2">
        <v>380.22</v>
      </c>
    </row>
    <row r="2280" spans="3:6" x14ac:dyDescent="0.25">
      <c r="C2280" s="2" t="s">
        <v>14062</v>
      </c>
      <c r="D2280" s="2" t="s">
        <v>42</v>
      </c>
      <c r="E2280" s="2">
        <v>75</v>
      </c>
      <c r="F2280" s="2">
        <v>384.69</v>
      </c>
    </row>
    <row r="2281" spans="3:6" x14ac:dyDescent="0.25">
      <c r="C2281" s="2" t="s">
        <v>14063</v>
      </c>
      <c r="D2281" s="2" t="s">
        <v>42</v>
      </c>
      <c r="E2281" s="2">
        <v>142</v>
      </c>
      <c r="F2281" s="2">
        <v>2889.24</v>
      </c>
    </row>
    <row r="2282" spans="3:6" x14ac:dyDescent="0.25">
      <c r="C2282" s="2" t="s">
        <v>14064</v>
      </c>
      <c r="D2282" s="2" t="s">
        <v>42</v>
      </c>
      <c r="E2282" s="2">
        <v>141</v>
      </c>
      <c r="F2282" s="2">
        <v>2816.829</v>
      </c>
    </row>
    <row r="2283" spans="3:6" x14ac:dyDescent="0.25">
      <c r="C2283" s="2" t="s">
        <v>14065</v>
      </c>
      <c r="D2283" s="2" t="s">
        <v>42</v>
      </c>
      <c r="E2283" s="2">
        <v>141</v>
      </c>
      <c r="F2283" s="2">
        <v>2926.201</v>
      </c>
    </row>
    <row r="2284" spans="3:6" x14ac:dyDescent="0.25">
      <c r="C2284" s="2" t="s">
        <v>14066</v>
      </c>
      <c r="D2284" s="2" t="s">
        <v>42</v>
      </c>
      <c r="E2284" s="2">
        <v>141</v>
      </c>
      <c r="F2284" s="2">
        <v>2881.099</v>
      </c>
    </row>
    <row r="2285" spans="3:6" x14ac:dyDescent="0.25">
      <c r="C2285" s="2" t="s">
        <v>14067</v>
      </c>
      <c r="D2285" s="2" t="s">
        <v>42</v>
      </c>
      <c r="E2285" s="2">
        <v>131</v>
      </c>
      <c r="F2285" s="2">
        <v>1788.361</v>
      </c>
    </row>
    <row r="2286" spans="3:6" x14ac:dyDescent="0.25">
      <c r="C2286" s="2" t="s">
        <v>14068</v>
      </c>
      <c r="D2286" s="2" t="s">
        <v>42</v>
      </c>
      <c r="E2286" s="2">
        <v>135</v>
      </c>
      <c r="F2286" s="2">
        <v>2843.65</v>
      </c>
    </row>
    <row r="2287" spans="3:6" x14ac:dyDescent="0.25">
      <c r="C2287" s="2" t="s">
        <v>14069</v>
      </c>
      <c r="D2287" s="2" t="s">
        <v>42</v>
      </c>
      <c r="E2287" s="2">
        <v>100</v>
      </c>
      <c r="F2287" s="2">
        <v>2107.17</v>
      </c>
    </row>
    <row r="2288" spans="3:6" x14ac:dyDescent="0.25">
      <c r="C2288" s="2" t="s">
        <v>14070</v>
      </c>
      <c r="D2288" s="2" t="s">
        <v>42</v>
      </c>
      <c r="E2288" s="2">
        <v>95</v>
      </c>
      <c r="F2288" s="2">
        <v>1159.222</v>
      </c>
    </row>
    <row r="2289" spans="3:6" x14ac:dyDescent="0.25">
      <c r="C2289" s="2" t="s">
        <v>14071</v>
      </c>
      <c r="D2289" s="2" t="s">
        <v>42</v>
      </c>
      <c r="E2289" s="2">
        <v>9</v>
      </c>
      <c r="F2289" s="2">
        <v>175.48</v>
      </c>
    </row>
    <row r="2290" spans="3:6" x14ac:dyDescent="0.25">
      <c r="C2290" s="2" t="s">
        <v>14072</v>
      </c>
      <c r="D2290" s="2" t="s">
        <v>42</v>
      </c>
      <c r="E2290" s="2">
        <v>91</v>
      </c>
      <c r="F2290" s="2">
        <v>1851.64</v>
      </c>
    </row>
    <row r="2291" spans="3:6" x14ac:dyDescent="0.25">
      <c r="C2291" s="2" t="s">
        <v>14073</v>
      </c>
      <c r="D2291" s="2" t="s">
        <v>42</v>
      </c>
      <c r="E2291" s="2">
        <v>71</v>
      </c>
      <c r="F2291" s="2">
        <v>1439.554</v>
      </c>
    </row>
    <row r="2292" spans="3:6" x14ac:dyDescent="0.25">
      <c r="C2292" s="2" t="s">
        <v>14074</v>
      </c>
      <c r="D2292" s="2" t="s">
        <v>42</v>
      </c>
      <c r="E2292" s="2">
        <v>23</v>
      </c>
      <c r="F2292" s="2">
        <v>281.19</v>
      </c>
    </row>
    <row r="2293" spans="3:6" x14ac:dyDescent="0.25">
      <c r="C2293" s="2" t="s">
        <v>14075</v>
      </c>
      <c r="D2293" s="2" t="s">
        <v>42</v>
      </c>
      <c r="E2293" s="2">
        <v>4</v>
      </c>
      <c r="F2293" s="2">
        <v>65.04</v>
      </c>
    </row>
    <row r="2294" spans="3:6" x14ac:dyDescent="0.25">
      <c r="C2294" s="2" t="s">
        <v>14076</v>
      </c>
      <c r="D2294" s="2" t="s">
        <v>42</v>
      </c>
      <c r="E2294" s="2">
        <v>11</v>
      </c>
      <c r="F2294" s="2">
        <v>213.5</v>
      </c>
    </row>
    <row r="2295" spans="3:6" x14ac:dyDescent="0.25">
      <c r="C2295" s="2" t="s">
        <v>14077</v>
      </c>
      <c r="D2295" s="2" t="s">
        <v>42</v>
      </c>
      <c r="E2295" s="2">
        <v>89</v>
      </c>
      <c r="F2295" s="2">
        <v>1879.46</v>
      </c>
    </row>
    <row r="2296" spans="3:6" x14ac:dyDescent="0.25">
      <c r="C2296" s="2" t="s">
        <v>14078</v>
      </c>
      <c r="D2296" s="2" t="s">
        <v>42</v>
      </c>
      <c r="E2296" s="2">
        <v>6</v>
      </c>
      <c r="F2296" s="2">
        <v>131.56</v>
      </c>
    </row>
    <row r="2297" spans="3:6" x14ac:dyDescent="0.25">
      <c r="C2297" s="2" t="s">
        <v>14079</v>
      </c>
      <c r="D2297" s="2" t="s">
        <v>42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13210</v>
      </c>
      <c r="C2299" s="2" t="s">
        <v>14080</v>
      </c>
      <c r="D2299" s="2" t="s">
        <v>12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14081</v>
      </c>
      <c r="D2300" s="2" t="s">
        <v>12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212</v>
      </c>
      <c r="C2302" s="2" t="s">
        <v>14082</v>
      </c>
      <c r="D2302" s="2" t="s">
        <v>216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14083</v>
      </c>
      <c r="D2303" s="2" t="s">
        <v>216</v>
      </c>
      <c r="E2303" s="2">
        <v>86</v>
      </c>
      <c r="F2303" s="2">
        <v>1597.31</v>
      </c>
    </row>
    <row r="2304" spans="3:6" x14ac:dyDescent="0.25">
      <c r="C2304" s="2" t="s">
        <v>14084</v>
      </c>
      <c r="D2304" s="2" t="s">
        <v>204</v>
      </c>
      <c r="E2304" s="2">
        <v>105</v>
      </c>
      <c r="F2304" s="2">
        <v>2118.26</v>
      </c>
    </row>
    <row r="2305" spans="3:6" x14ac:dyDescent="0.25">
      <c r="C2305" s="2" t="s">
        <v>14085</v>
      </c>
      <c r="D2305" s="2" t="s">
        <v>204</v>
      </c>
      <c r="E2305" s="2">
        <v>42</v>
      </c>
      <c r="F2305" s="2">
        <v>831.42</v>
      </c>
    </row>
    <row r="2306" spans="3:6" x14ac:dyDescent="0.25">
      <c r="C2306" s="2" t="s">
        <v>14086</v>
      </c>
      <c r="D2306" s="2" t="s">
        <v>204</v>
      </c>
      <c r="E2306" s="2">
        <v>24</v>
      </c>
      <c r="F2306" s="2">
        <v>466.8</v>
      </c>
    </row>
    <row r="2307" spans="3:6" x14ac:dyDescent="0.25">
      <c r="C2307" s="2" t="s">
        <v>14087</v>
      </c>
      <c r="D2307" s="2" t="s">
        <v>204</v>
      </c>
      <c r="E2307" s="2">
        <v>156</v>
      </c>
      <c r="F2307" s="2">
        <v>3181.739</v>
      </c>
    </row>
    <row r="2308" spans="3:6" x14ac:dyDescent="0.25">
      <c r="C2308" s="2" t="s">
        <v>14088</v>
      </c>
      <c r="D2308" s="2" t="s">
        <v>204</v>
      </c>
      <c r="E2308" s="2">
        <v>105</v>
      </c>
      <c r="F2308" s="2">
        <v>2029.29</v>
      </c>
    </row>
    <row r="2309" spans="3:6" x14ac:dyDescent="0.25">
      <c r="C2309" s="2" t="s">
        <v>14089</v>
      </c>
      <c r="D2309" s="2" t="s">
        <v>204</v>
      </c>
      <c r="E2309" s="2">
        <v>105</v>
      </c>
      <c r="F2309" s="2">
        <v>712.086</v>
      </c>
    </row>
    <row r="2310" spans="3:6" x14ac:dyDescent="0.25">
      <c r="C2310" s="2" t="s">
        <v>14090</v>
      </c>
      <c r="D2310" s="2" t="s">
        <v>204</v>
      </c>
      <c r="E2310" s="2">
        <v>156</v>
      </c>
      <c r="F2310" s="2">
        <v>3042.389</v>
      </c>
    </row>
    <row r="2311" spans="3:6" x14ac:dyDescent="0.25">
      <c r="C2311" s="2" t="s">
        <v>14091</v>
      </c>
      <c r="D2311" s="2" t="s">
        <v>204</v>
      </c>
      <c r="E2311" s="2">
        <v>156</v>
      </c>
      <c r="F2311" s="2">
        <v>3131.02</v>
      </c>
    </row>
    <row r="2312" spans="3:6" x14ac:dyDescent="0.25">
      <c r="C2312" s="2" t="s">
        <v>14092</v>
      </c>
      <c r="D2312" s="2" t="s">
        <v>204</v>
      </c>
      <c r="E2312" s="2">
        <v>105</v>
      </c>
      <c r="F2312" s="2">
        <v>609.371</v>
      </c>
    </row>
    <row r="2313" spans="3:6" x14ac:dyDescent="0.25">
      <c r="C2313" s="2" t="s">
        <v>14093</v>
      </c>
      <c r="D2313" s="2" t="s">
        <v>204</v>
      </c>
      <c r="E2313" s="2">
        <v>105</v>
      </c>
      <c r="F2313" s="2">
        <v>2097.94</v>
      </c>
    </row>
    <row r="2314" spans="3:6" x14ac:dyDescent="0.25">
      <c r="C2314" s="2" t="s">
        <v>14094</v>
      </c>
      <c r="D2314" s="2" t="s">
        <v>204</v>
      </c>
      <c r="E2314" s="2">
        <v>105</v>
      </c>
      <c r="F2314" s="2">
        <v>2098.399</v>
      </c>
    </row>
    <row r="2315" spans="3:6" x14ac:dyDescent="0.25">
      <c r="C2315" s="2" t="s">
        <v>14095</v>
      </c>
      <c r="D2315" s="2" t="s">
        <v>204</v>
      </c>
      <c r="E2315" s="2">
        <v>156</v>
      </c>
      <c r="F2315" s="2">
        <v>3146.77</v>
      </c>
    </row>
    <row r="2316" spans="3:6" x14ac:dyDescent="0.25">
      <c r="C2316" s="2" t="s">
        <v>14096</v>
      </c>
      <c r="D2316" s="2" t="s">
        <v>204</v>
      </c>
      <c r="E2316" s="2">
        <v>156</v>
      </c>
      <c r="F2316" s="2">
        <v>3028.069</v>
      </c>
    </row>
    <row r="2317" spans="3:6" x14ac:dyDescent="0.25">
      <c r="C2317" s="2" t="s">
        <v>14097</v>
      </c>
      <c r="D2317" s="2" t="s">
        <v>204</v>
      </c>
      <c r="E2317" s="2">
        <v>156</v>
      </c>
      <c r="F2317" s="2">
        <v>3110.549</v>
      </c>
    </row>
    <row r="2318" spans="3:6" x14ac:dyDescent="0.25">
      <c r="C2318" s="2" t="s">
        <v>14098</v>
      </c>
      <c r="D2318" s="2" t="s">
        <v>204</v>
      </c>
      <c r="E2318" s="2">
        <v>156</v>
      </c>
      <c r="F2318" s="2">
        <v>3082.6</v>
      </c>
    </row>
    <row r="2319" spans="3:6" x14ac:dyDescent="0.25">
      <c r="C2319" s="2" t="s">
        <v>14099</v>
      </c>
      <c r="D2319" s="2" t="s">
        <v>204</v>
      </c>
      <c r="E2319" s="2">
        <v>156</v>
      </c>
      <c r="F2319" s="2">
        <v>3201.579</v>
      </c>
    </row>
    <row r="2320" spans="3:6" x14ac:dyDescent="0.25">
      <c r="C2320" s="2" t="s">
        <v>14100</v>
      </c>
      <c r="D2320" s="2" t="s">
        <v>204</v>
      </c>
      <c r="E2320" s="2">
        <v>156</v>
      </c>
      <c r="F2320" s="2">
        <v>3122.03</v>
      </c>
    </row>
    <row r="2321" spans="3:6" x14ac:dyDescent="0.25">
      <c r="C2321" s="2" t="s">
        <v>14101</v>
      </c>
      <c r="D2321" s="2" t="s">
        <v>204</v>
      </c>
      <c r="E2321" s="2">
        <v>156</v>
      </c>
      <c r="F2321" s="2">
        <v>3057.59</v>
      </c>
    </row>
    <row r="2322" spans="3:6" x14ac:dyDescent="0.25">
      <c r="C2322" s="2" t="s">
        <v>14102</v>
      </c>
      <c r="D2322" s="2" t="s">
        <v>204</v>
      </c>
      <c r="E2322" s="2">
        <v>156</v>
      </c>
      <c r="F2322" s="2">
        <v>2940.29</v>
      </c>
    </row>
    <row r="2323" spans="3:6" x14ac:dyDescent="0.25">
      <c r="C2323" s="2" t="s">
        <v>14103</v>
      </c>
      <c r="D2323" s="2" t="s">
        <v>204</v>
      </c>
      <c r="E2323" s="2">
        <v>156</v>
      </c>
      <c r="F2323" s="2">
        <v>2907.43</v>
      </c>
    </row>
    <row r="2324" spans="3:6" x14ac:dyDescent="0.25">
      <c r="C2324" s="2" t="s">
        <v>14104</v>
      </c>
      <c r="D2324" s="2" t="s">
        <v>216</v>
      </c>
      <c r="E2324" s="2">
        <v>163</v>
      </c>
      <c r="F2324" s="2">
        <v>3114.039</v>
      </c>
    </row>
    <row r="2325" spans="3:6" x14ac:dyDescent="0.25">
      <c r="C2325" s="2" t="s">
        <v>14105</v>
      </c>
      <c r="D2325" s="2" t="s">
        <v>216</v>
      </c>
      <c r="E2325" s="2">
        <v>163</v>
      </c>
      <c r="F2325" s="2">
        <v>3116.058</v>
      </c>
    </row>
    <row r="2326" spans="3:6" x14ac:dyDescent="0.25">
      <c r="C2326" s="2" t="s">
        <v>14106</v>
      </c>
      <c r="D2326" s="2" t="s">
        <v>216</v>
      </c>
      <c r="E2326" s="2">
        <v>163</v>
      </c>
      <c r="F2326" s="2">
        <v>3018.889</v>
      </c>
    </row>
    <row r="2327" spans="3:6" x14ac:dyDescent="0.25">
      <c r="C2327" s="2" t="s">
        <v>14107</v>
      </c>
      <c r="D2327" s="2" t="s">
        <v>216</v>
      </c>
      <c r="E2327" s="2">
        <v>134</v>
      </c>
      <c r="F2327" s="2">
        <v>2605.7</v>
      </c>
    </row>
    <row r="2328" spans="3:6" x14ac:dyDescent="0.25">
      <c r="C2328" s="2" t="s">
        <v>14108</v>
      </c>
      <c r="D2328" s="2" t="s">
        <v>216</v>
      </c>
      <c r="E2328" s="2">
        <v>134</v>
      </c>
      <c r="F2328" s="2">
        <v>2697.79</v>
      </c>
    </row>
    <row r="2329" spans="3:6" x14ac:dyDescent="0.25">
      <c r="C2329" s="2" t="s">
        <v>14109</v>
      </c>
      <c r="D2329" s="2" t="s">
        <v>216</v>
      </c>
      <c r="E2329" s="2">
        <v>134</v>
      </c>
      <c r="F2329" s="2">
        <v>2728.45</v>
      </c>
    </row>
    <row r="2330" spans="3:6" x14ac:dyDescent="0.25">
      <c r="C2330" s="2" t="s">
        <v>14110</v>
      </c>
      <c r="D2330" s="2" t="s">
        <v>216</v>
      </c>
      <c r="E2330" s="2">
        <v>134</v>
      </c>
      <c r="F2330" s="2">
        <v>2654.48</v>
      </c>
    </row>
    <row r="2331" spans="3:6" x14ac:dyDescent="0.25">
      <c r="C2331" s="2" t="s">
        <v>14111</v>
      </c>
      <c r="D2331" s="2" t="s">
        <v>216</v>
      </c>
      <c r="E2331" s="2">
        <v>134</v>
      </c>
      <c r="F2331" s="2">
        <v>2678.85</v>
      </c>
    </row>
    <row r="2332" spans="3:6" x14ac:dyDescent="0.25">
      <c r="C2332" s="2" t="s">
        <v>14112</v>
      </c>
      <c r="D2332" s="2" t="s">
        <v>216</v>
      </c>
      <c r="E2332" s="2">
        <v>134</v>
      </c>
      <c r="F2332" s="2">
        <v>2633.929</v>
      </c>
    </row>
    <row r="2334" spans="2:7" x14ac:dyDescent="0.25">
      <c r="B2334" s="2" t="s">
        <v>2077</v>
      </c>
      <c r="C2334" s="2" t="s">
        <v>14113</v>
      </c>
      <c r="D2334" s="2" t="s">
        <v>214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14114</v>
      </c>
      <c r="D2335" s="2" t="s">
        <v>216</v>
      </c>
      <c r="E2335" s="2">
        <v>156</v>
      </c>
      <c r="F2335" s="2">
        <v>2691.817</v>
      </c>
    </row>
    <row r="2336" spans="3:6" x14ac:dyDescent="0.25">
      <c r="C2336" s="2" t="s">
        <v>14115</v>
      </c>
      <c r="D2336" s="2" t="s">
        <v>216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14116</v>
      </c>
      <c r="C2338" s="2" t="s">
        <v>14117</v>
      </c>
      <c r="D2338" s="2" t="s">
        <v>216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14118</v>
      </c>
      <c r="D2339" s="2" t="s">
        <v>216</v>
      </c>
      <c r="E2339" s="2">
        <v>163</v>
      </c>
      <c r="F2339" s="2">
        <v>3014.21</v>
      </c>
    </row>
    <row r="2340" spans="3:6" x14ac:dyDescent="0.25">
      <c r="C2340" s="2" t="s">
        <v>14119</v>
      </c>
      <c r="D2340" s="2" t="s">
        <v>216</v>
      </c>
      <c r="E2340" s="2">
        <v>163</v>
      </c>
      <c r="F2340" s="2">
        <v>3190.71</v>
      </c>
    </row>
    <row r="2341" spans="3:6" x14ac:dyDescent="0.25">
      <c r="C2341" s="2" t="s">
        <v>14120</v>
      </c>
      <c r="D2341" s="2" t="s">
        <v>216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335</v>
      </c>
      <c r="C2343" s="2" t="s">
        <v>14121</v>
      </c>
      <c r="D2343" s="2" t="s">
        <v>20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14122</v>
      </c>
      <c r="D2344" s="2" t="s">
        <v>20</v>
      </c>
      <c r="E2344" s="2">
        <v>149</v>
      </c>
      <c r="F2344" s="2">
        <v>2958.089</v>
      </c>
    </row>
    <row r="2345" spans="3:6" x14ac:dyDescent="0.25">
      <c r="C2345" s="2" t="s">
        <v>14123</v>
      </c>
      <c r="D2345" s="2" t="s">
        <v>20</v>
      </c>
      <c r="E2345" s="2">
        <v>149</v>
      </c>
      <c r="F2345" s="2">
        <v>2892.07</v>
      </c>
    </row>
    <row r="2346" spans="3:6" x14ac:dyDescent="0.25">
      <c r="C2346" s="2" t="s">
        <v>14124</v>
      </c>
      <c r="D2346" s="2" t="s">
        <v>20</v>
      </c>
      <c r="E2346" s="2">
        <v>149</v>
      </c>
      <c r="F2346" s="2">
        <v>2828.75</v>
      </c>
    </row>
    <row r="2347" spans="3:6" x14ac:dyDescent="0.25">
      <c r="C2347" s="2" t="s">
        <v>14125</v>
      </c>
      <c r="D2347" s="2" t="s">
        <v>20</v>
      </c>
      <c r="E2347" s="2">
        <v>149</v>
      </c>
      <c r="F2347" s="2">
        <v>2734.88</v>
      </c>
    </row>
    <row r="2348" spans="3:6" x14ac:dyDescent="0.25">
      <c r="C2348" s="2" t="s">
        <v>14126</v>
      </c>
      <c r="D2348" s="2" t="s">
        <v>20</v>
      </c>
      <c r="E2348" s="2">
        <v>142</v>
      </c>
      <c r="F2348" s="2">
        <v>3038.47</v>
      </c>
    </row>
    <row r="2349" spans="3:6" x14ac:dyDescent="0.25">
      <c r="C2349" s="2" t="s">
        <v>14127</v>
      </c>
      <c r="D2349" s="2" t="s">
        <v>20</v>
      </c>
      <c r="E2349" s="2">
        <v>142</v>
      </c>
      <c r="F2349" s="2">
        <v>2963.32</v>
      </c>
    </row>
    <row r="2350" spans="3:6" x14ac:dyDescent="0.25">
      <c r="C2350" s="2" t="s">
        <v>14128</v>
      </c>
      <c r="D2350" s="2" t="s">
        <v>20</v>
      </c>
      <c r="E2350" s="2">
        <v>142</v>
      </c>
      <c r="F2350" s="2">
        <v>3023.149</v>
      </c>
    </row>
    <row r="2351" spans="3:6" x14ac:dyDescent="0.25">
      <c r="C2351" s="2" t="s">
        <v>14129</v>
      </c>
      <c r="D2351" s="2" t="s">
        <v>20</v>
      </c>
      <c r="E2351" s="2">
        <v>142</v>
      </c>
      <c r="F2351" s="2">
        <v>3089.12</v>
      </c>
    </row>
    <row r="2352" spans="3:6" x14ac:dyDescent="0.25">
      <c r="C2352" s="2" t="s">
        <v>14130</v>
      </c>
      <c r="D2352" s="2" t="s">
        <v>20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206</v>
      </c>
      <c r="C2354" s="2" t="s">
        <v>14131</v>
      </c>
      <c r="D2354" s="2" t="s">
        <v>27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14132</v>
      </c>
      <c r="D2355" s="2" t="s">
        <v>27</v>
      </c>
      <c r="E2355" s="2">
        <v>22</v>
      </c>
      <c r="F2355" s="2">
        <v>456.8</v>
      </c>
    </row>
    <row r="2356" spans="3:6" x14ac:dyDescent="0.25">
      <c r="C2356" s="2" t="s">
        <v>14133</v>
      </c>
      <c r="D2356" s="2" t="s">
        <v>27</v>
      </c>
      <c r="E2356" s="2">
        <v>26</v>
      </c>
      <c r="F2356" s="2">
        <v>464.8</v>
      </c>
    </row>
    <row r="2357" spans="3:6" x14ac:dyDescent="0.25">
      <c r="C2357" s="2" t="s">
        <v>14134</v>
      </c>
      <c r="D2357" s="2" t="s">
        <v>27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10</v>
      </c>
      <c r="C2359" s="2" t="s">
        <v>14135</v>
      </c>
      <c r="D2359" s="2" t="s">
        <v>12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14136</v>
      </c>
      <c r="D2360" s="2" t="s">
        <v>12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7022</v>
      </c>
      <c r="C2362" s="2" t="s">
        <v>14137</v>
      </c>
      <c r="D2362" s="2" t="s">
        <v>20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14138</v>
      </c>
      <c r="D2363" s="2" t="s">
        <v>20</v>
      </c>
      <c r="E2363" s="2">
        <v>332</v>
      </c>
      <c r="F2363" s="2">
        <v>5154.173</v>
      </c>
    </row>
    <row r="2364" spans="3:6" x14ac:dyDescent="0.25">
      <c r="C2364" s="2" t="s">
        <v>14139</v>
      </c>
      <c r="D2364" s="2" t="s">
        <v>20</v>
      </c>
      <c r="E2364" s="2">
        <v>277</v>
      </c>
      <c r="F2364" s="2">
        <v>5979.498</v>
      </c>
    </row>
    <row r="2365" spans="3:6" x14ac:dyDescent="0.25">
      <c r="C2365" s="2" t="s">
        <v>14140</v>
      </c>
      <c r="D2365" s="2" t="s">
        <v>20</v>
      </c>
      <c r="E2365" s="2">
        <v>163</v>
      </c>
      <c r="F2365" s="2">
        <v>3012.479</v>
      </c>
    </row>
    <row r="2366" spans="3:6" x14ac:dyDescent="0.25">
      <c r="C2366" s="2" t="s">
        <v>14141</v>
      </c>
      <c r="D2366" s="2" t="s">
        <v>20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2097</v>
      </c>
      <c r="C2368" s="2" t="s">
        <v>14142</v>
      </c>
      <c r="D2368" s="2" t="s">
        <v>27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14143</v>
      </c>
      <c r="D2369" s="2" t="s">
        <v>27</v>
      </c>
      <c r="E2369" s="2">
        <v>47</v>
      </c>
      <c r="F2369" s="2">
        <v>933.28</v>
      </c>
    </row>
    <row r="2370" spans="3:6" x14ac:dyDescent="0.25">
      <c r="C2370" s="2" t="s">
        <v>14144</v>
      </c>
      <c r="D2370" s="2" t="s">
        <v>27</v>
      </c>
      <c r="E2370" s="2">
        <v>16</v>
      </c>
      <c r="F2370" s="2">
        <v>305.39</v>
      </c>
    </row>
    <row r="2371" spans="3:6" x14ac:dyDescent="0.25">
      <c r="C2371" s="2" t="s">
        <v>14145</v>
      </c>
      <c r="D2371" s="2" t="s">
        <v>27</v>
      </c>
      <c r="E2371" s="2">
        <v>7</v>
      </c>
      <c r="F2371" s="2" t="s">
        <v>8758</v>
      </c>
    </row>
    <row r="2373" spans="1:7" x14ac:dyDescent="0.25">
      <c r="A2373" s="1">
        <v>46164</v>
      </c>
      <c r="B2373" s="2" t="s">
        <v>10399</v>
      </c>
      <c r="C2373" s="2" t="s">
        <v>14146</v>
      </c>
      <c r="D2373" s="2" t="s">
        <v>204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120</v>
      </c>
      <c r="C2375" s="2" t="s">
        <v>14147</v>
      </c>
      <c r="D2375" s="2" t="s">
        <v>122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14148</v>
      </c>
      <c r="D2376" s="2" t="s">
        <v>122</v>
      </c>
      <c r="E2376" s="2">
        <v>108</v>
      </c>
      <c r="F2376" s="2">
        <v>2119.78</v>
      </c>
    </row>
    <row r="2377" spans="3:6" x14ac:dyDescent="0.25">
      <c r="C2377" s="2" t="s">
        <v>14149</v>
      </c>
      <c r="D2377" s="2" t="s">
        <v>122</v>
      </c>
      <c r="E2377" s="2">
        <v>134</v>
      </c>
      <c r="F2377" s="2">
        <v>2800.77</v>
      </c>
    </row>
    <row r="2378" spans="3:6" x14ac:dyDescent="0.25">
      <c r="C2378" s="2" t="s">
        <v>14150</v>
      </c>
      <c r="D2378" s="2" t="s">
        <v>122</v>
      </c>
      <c r="E2378" s="2">
        <v>48</v>
      </c>
      <c r="F2378" s="2">
        <v>992.97</v>
      </c>
    </row>
    <row r="2379" spans="3:6" x14ac:dyDescent="0.25">
      <c r="C2379" s="2" t="s">
        <v>14151</v>
      </c>
      <c r="D2379" s="2" t="s">
        <v>122</v>
      </c>
      <c r="E2379" s="2">
        <v>47</v>
      </c>
      <c r="F2379" s="2">
        <v>979.92</v>
      </c>
    </row>
    <row r="2380" spans="3:6" x14ac:dyDescent="0.25">
      <c r="C2380" s="2" t="s">
        <v>14152</v>
      </c>
      <c r="D2380" s="2" t="s">
        <v>122</v>
      </c>
      <c r="E2380" s="2">
        <v>47</v>
      </c>
      <c r="F2380" s="2">
        <v>953.01</v>
      </c>
    </row>
    <row r="2381" spans="3:6" x14ac:dyDescent="0.25">
      <c r="C2381" s="2" t="s">
        <v>14153</v>
      </c>
      <c r="D2381" s="2" t="s">
        <v>122</v>
      </c>
      <c r="E2381" s="2">
        <v>71</v>
      </c>
      <c r="F2381" s="2">
        <v>2169.144</v>
      </c>
    </row>
    <row r="2382" spans="3:6" x14ac:dyDescent="0.25">
      <c r="C2382" s="2" t="s">
        <v>14154</v>
      </c>
      <c r="D2382" s="2" t="s">
        <v>122</v>
      </c>
      <c r="E2382" s="2">
        <v>72</v>
      </c>
      <c r="F2382" s="2">
        <v>2566.943</v>
      </c>
    </row>
    <row r="2383" spans="3:6" x14ac:dyDescent="0.25">
      <c r="C2383" s="2" t="s">
        <v>14155</v>
      </c>
      <c r="D2383" s="2" t="s">
        <v>122</v>
      </c>
      <c r="E2383" s="2">
        <v>102</v>
      </c>
      <c r="F2383" s="2">
        <v>2103.43</v>
      </c>
    </row>
    <row r="2384" spans="3:6" x14ac:dyDescent="0.25">
      <c r="C2384" s="2" t="s">
        <v>14156</v>
      </c>
      <c r="D2384" s="2" t="s">
        <v>122</v>
      </c>
      <c r="E2384" s="2">
        <v>50</v>
      </c>
      <c r="F2384" s="2">
        <v>973.04</v>
      </c>
    </row>
    <row r="2385" spans="3:6" x14ac:dyDescent="0.25">
      <c r="C2385" s="2" t="s">
        <v>14157</v>
      </c>
      <c r="D2385" s="2" t="s">
        <v>122</v>
      </c>
      <c r="E2385" s="2">
        <v>52</v>
      </c>
      <c r="F2385" s="2">
        <v>1044.13</v>
      </c>
    </row>
    <row r="2386" spans="3:6" x14ac:dyDescent="0.25">
      <c r="C2386" s="2" t="s">
        <v>14158</v>
      </c>
      <c r="D2386" s="2" t="s">
        <v>122</v>
      </c>
      <c r="E2386" s="2">
        <v>34</v>
      </c>
      <c r="F2386" s="2">
        <v>673.87</v>
      </c>
    </row>
    <row r="2387" spans="3:6" x14ac:dyDescent="0.25">
      <c r="C2387" s="2" t="s">
        <v>14159</v>
      </c>
      <c r="D2387" s="2" t="s">
        <v>122</v>
      </c>
      <c r="E2387" s="2">
        <v>8</v>
      </c>
      <c r="F2387" s="2">
        <v>152.04</v>
      </c>
    </row>
    <row r="2388" spans="3:6" x14ac:dyDescent="0.25">
      <c r="C2388" s="2" t="s">
        <v>14160</v>
      </c>
      <c r="D2388" s="2" t="s">
        <v>122</v>
      </c>
      <c r="E2388" s="2">
        <v>39</v>
      </c>
      <c r="F2388" s="2">
        <v>288.303</v>
      </c>
    </row>
    <row r="2389" spans="3:6" x14ac:dyDescent="0.25">
      <c r="C2389" s="2" t="s">
        <v>14161</v>
      </c>
      <c r="D2389" s="2" t="s">
        <v>122</v>
      </c>
      <c r="E2389" s="2">
        <v>12</v>
      </c>
      <c r="F2389" s="2">
        <v>189.622</v>
      </c>
    </row>
    <row r="2390" spans="3:6" x14ac:dyDescent="0.25">
      <c r="C2390" s="2" t="s">
        <v>14162</v>
      </c>
      <c r="D2390" s="2" t="s">
        <v>122</v>
      </c>
      <c r="E2390" s="2">
        <v>102</v>
      </c>
      <c r="F2390" s="2">
        <v>2112.769</v>
      </c>
    </row>
    <row r="2391" spans="3:6" x14ac:dyDescent="0.25">
      <c r="C2391" s="2" t="s">
        <v>14163</v>
      </c>
      <c r="D2391" s="2" t="s">
        <v>122</v>
      </c>
      <c r="E2391" s="2">
        <v>60</v>
      </c>
      <c r="F2391" s="2">
        <v>262.64</v>
      </c>
    </row>
    <row r="2392" spans="3:6" x14ac:dyDescent="0.25">
      <c r="C2392" s="2" t="s">
        <v>14164</v>
      </c>
      <c r="D2392" s="2" t="s">
        <v>122</v>
      </c>
      <c r="E2392" s="2">
        <v>60</v>
      </c>
      <c r="F2392" s="2">
        <v>257.848</v>
      </c>
    </row>
    <row r="2393" spans="3:6" x14ac:dyDescent="0.25">
      <c r="C2393" s="2" t="s">
        <v>14165</v>
      </c>
      <c r="D2393" s="2" t="s">
        <v>122</v>
      </c>
      <c r="E2393" s="2">
        <v>75</v>
      </c>
      <c r="F2393" s="2">
        <v>317.758</v>
      </c>
    </row>
    <row r="2394" spans="3:6" x14ac:dyDescent="0.25">
      <c r="C2394" s="2" t="s">
        <v>14166</v>
      </c>
      <c r="D2394" s="2" t="s">
        <v>122</v>
      </c>
      <c r="E2394" s="2">
        <v>75</v>
      </c>
      <c r="F2394" s="2">
        <v>1467.15</v>
      </c>
    </row>
    <row r="2395" spans="3:6" x14ac:dyDescent="0.25">
      <c r="C2395" s="2" t="s">
        <v>14167</v>
      </c>
      <c r="D2395" s="2" t="s">
        <v>122</v>
      </c>
      <c r="E2395" s="2">
        <v>112</v>
      </c>
      <c r="F2395" s="2">
        <v>1720.02</v>
      </c>
    </row>
    <row r="2396" spans="3:6" x14ac:dyDescent="0.25">
      <c r="C2396" s="2" t="s">
        <v>14168</v>
      </c>
      <c r="D2396" s="2" t="s">
        <v>122</v>
      </c>
      <c r="E2396" s="2">
        <v>125</v>
      </c>
      <c r="F2396" s="2">
        <v>1912.327</v>
      </c>
    </row>
    <row r="2397" spans="3:6" x14ac:dyDescent="0.25">
      <c r="C2397" s="2" t="s">
        <v>14169</v>
      </c>
      <c r="D2397" s="2" t="s">
        <v>122</v>
      </c>
      <c r="E2397" s="2">
        <v>100</v>
      </c>
      <c r="F2397" s="2">
        <v>2081.24</v>
      </c>
    </row>
    <row r="2398" spans="3:6" x14ac:dyDescent="0.25">
      <c r="C2398" s="2" t="s">
        <v>14170</v>
      </c>
      <c r="D2398" s="2" t="s">
        <v>122</v>
      </c>
      <c r="E2398" s="2">
        <v>21</v>
      </c>
      <c r="F2398" s="2">
        <v>402.94</v>
      </c>
    </row>
    <row r="2399" spans="3:6" x14ac:dyDescent="0.25">
      <c r="C2399" s="2" t="s">
        <v>14171</v>
      </c>
      <c r="D2399" s="2" t="s">
        <v>122</v>
      </c>
      <c r="E2399" s="2">
        <v>121</v>
      </c>
      <c r="F2399" s="2">
        <v>2437.95</v>
      </c>
    </row>
    <row r="2400" spans="3:6" x14ac:dyDescent="0.25">
      <c r="C2400" s="2" t="s">
        <v>14172</v>
      </c>
      <c r="D2400" s="2" t="s">
        <v>122</v>
      </c>
      <c r="E2400" s="2">
        <v>25</v>
      </c>
      <c r="F2400" s="2">
        <v>104.11</v>
      </c>
    </row>
    <row r="2401" spans="3:6" x14ac:dyDescent="0.25">
      <c r="C2401" s="2" t="s">
        <v>14173</v>
      </c>
      <c r="D2401" s="2" t="s">
        <v>122</v>
      </c>
      <c r="E2401" s="2">
        <v>36</v>
      </c>
      <c r="F2401" s="2">
        <v>692.37</v>
      </c>
    </row>
    <row r="2402" spans="3:6" x14ac:dyDescent="0.25">
      <c r="C2402" s="2" t="s">
        <v>14174</v>
      </c>
      <c r="D2402" s="2" t="s">
        <v>122</v>
      </c>
      <c r="E2402" s="2">
        <v>50</v>
      </c>
      <c r="F2402" s="2">
        <v>1015.3</v>
      </c>
    </row>
    <row r="2403" spans="3:6" x14ac:dyDescent="0.25">
      <c r="C2403" s="2" t="s">
        <v>14175</v>
      </c>
      <c r="D2403" s="2" t="s">
        <v>122</v>
      </c>
      <c r="E2403" s="2">
        <v>35</v>
      </c>
      <c r="F2403" s="2">
        <v>661.109</v>
      </c>
    </row>
    <row r="2404" spans="3:6" x14ac:dyDescent="0.25">
      <c r="C2404" s="2" t="s">
        <v>14176</v>
      </c>
      <c r="D2404" s="2" t="s">
        <v>122</v>
      </c>
      <c r="E2404" s="2">
        <v>141</v>
      </c>
      <c r="F2404" s="2">
        <v>2747.548</v>
      </c>
    </row>
    <row r="2405" spans="3:6" x14ac:dyDescent="0.25">
      <c r="C2405" s="2" t="s">
        <v>14177</v>
      </c>
      <c r="D2405" s="2" t="s">
        <v>122</v>
      </c>
      <c r="E2405" s="2">
        <v>141</v>
      </c>
      <c r="F2405" s="2">
        <v>2918.52</v>
      </c>
    </row>
    <row r="2406" spans="3:6" x14ac:dyDescent="0.25">
      <c r="C2406" s="2" t="s">
        <v>14178</v>
      </c>
      <c r="D2406" s="2" t="s">
        <v>122</v>
      </c>
      <c r="E2406" s="2">
        <v>141</v>
      </c>
      <c r="F2406" s="2">
        <v>2925.089</v>
      </c>
    </row>
    <row r="2407" spans="3:6" x14ac:dyDescent="0.25">
      <c r="C2407" s="2" t="s">
        <v>14179</v>
      </c>
      <c r="D2407" s="2" t="s">
        <v>122</v>
      </c>
      <c r="E2407" s="2">
        <v>13</v>
      </c>
      <c r="F2407" s="2">
        <v>253.61</v>
      </c>
    </row>
    <row r="2408" spans="3:6" x14ac:dyDescent="0.25">
      <c r="C2408" s="2" t="s">
        <v>14180</v>
      </c>
      <c r="D2408" s="2" t="s">
        <v>122</v>
      </c>
      <c r="E2408" s="2">
        <v>25</v>
      </c>
      <c r="F2408" s="2">
        <v>497.07</v>
      </c>
    </row>
    <row r="2409" spans="3:6" x14ac:dyDescent="0.25">
      <c r="C2409" s="2" t="s">
        <v>14181</v>
      </c>
      <c r="D2409" s="2" t="s">
        <v>122</v>
      </c>
      <c r="E2409" s="2">
        <v>46</v>
      </c>
      <c r="F2409" s="2">
        <v>992.58</v>
      </c>
    </row>
    <row r="2410" spans="3:6" x14ac:dyDescent="0.25">
      <c r="C2410" s="2" t="s">
        <v>14182</v>
      </c>
      <c r="D2410" s="2" t="s">
        <v>122</v>
      </c>
      <c r="E2410" s="2">
        <v>57</v>
      </c>
      <c r="F2410" s="2">
        <v>1207.54</v>
      </c>
    </row>
    <row r="2411" spans="3:6" x14ac:dyDescent="0.25">
      <c r="C2411" s="2" t="s">
        <v>14183</v>
      </c>
      <c r="D2411" s="2" t="s">
        <v>122</v>
      </c>
      <c r="E2411" s="2">
        <v>141</v>
      </c>
      <c r="F2411" s="2">
        <v>2876.8</v>
      </c>
    </row>
    <row r="2412" spans="3:6" x14ac:dyDescent="0.25">
      <c r="C2412" s="2" t="s">
        <v>14184</v>
      </c>
      <c r="D2412" s="2" t="s">
        <v>122</v>
      </c>
      <c r="E2412" s="2">
        <v>19</v>
      </c>
      <c r="F2412" s="2">
        <v>375.74</v>
      </c>
    </row>
    <row r="2413" spans="3:6" x14ac:dyDescent="0.25">
      <c r="C2413" s="2" t="s">
        <v>14185</v>
      </c>
      <c r="D2413" s="2" t="s">
        <v>122</v>
      </c>
      <c r="E2413" s="2">
        <v>10</v>
      </c>
      <c r="F2413" s="2">
        <v>206.72</v>
      </c>
    </row>
    <row r="2414" spans="3:6" x14ac:dyDescent="0.25">
      <c r="C2414" s="2" t="s">
        <v>14186</v>
      </c>
      <c r="D2414" s="2" t="s">
        <v>122</v>
      </c>
      <c r="E2414" s="2">
        <v>28</v>
      </c>
      <c r="F2414" s="2">
        <v>518.369</v>
      </c>
    </row>
    <row r="2415" spans="3:6" x14ac:dyDescent="0.25">
      <c r="C2415" s="2" t="s">
        <v>14187</v>
      </c>
      <c r="D2415" s="2" t="s">
        <v>122</v>
      </c>
      <c r="E2415" s="2">
        <v>18</v>
      </c>
      <c r="F2415" s="2">
        <v>349.26</v>
      </c>
    </row>
    <row r="2416" spans="3:6" x14ac:dyDescent="0.25">
      <c r="C2416" s="2" t="s">
        <v>14188</v>
      </c>
      <c r="D2416" s="2" t="s">
        <v>122</v>
      </c>
      <c r="E2416" s="2">
        <v>60</v>
      </c>
      <c r="F2416" s="2">
        <v>1198.57</v>
      </c>
    </row>
    <row r="2417" spans="3:6" x14ac:dyDescent="0.25">
      <c r="C2417" s="2" t="s">
        <v>14189</v>
      </c>
      <c r="D2417" s="2" t="s">
        <v>122</v>
      </c>
      <c r="E2417" s="2">
        <v>41</v>
      </c>
      <c r="F2417" s="2">
        <v>772.31</v>
      </c>
    </row>
    <row r="2418" spans="3:6" x14ac:dyDescent="0.25">
      <c r="C2418" s="2" t="s">
        <v>14190</v>
      </c>
      <c r="D2418" s="2" t="s">
        <v>122</v>
      </c>
      <c r="E2418" s="2">
        <v>60</v>
      </c>
      <c r="F2418" s="2">
        <v>1222.25</v>
      </c>
    </row>
    <row r="2419" spans="3:6" x14ac:dyDescent="0.25">
      <c r="C2419" s="2" t="s">
        <v>14191</v>
      </c>
      <c r="D2419" s="2" t="s">
        <v>122</v>
      </c>
      <c r="E2419" s="2">
        <v>40</v>
      </c>
      <c r="F2419" s="2">
        <v>799.27</v>
      </c>
    </row>
    <row r="2420" spans="3:6" x14ac:dyDescent="0.25">
      <c r="C2420" s="2" t="s">
        <v>14192</v>
      </c>
      <c r="D2420" s="2" t="s">
        <v>122</v>
      </c>
      <c r="E2420" s="2">
        <v>60</v>
      </c>
      <c r="F2420" s="2">
        <v>1197.77</v>
      </c>
    </row>
    <row r="2421" spans="3:6" x14ac:dyDescent="0.25">
      <c r="C2421" s="2" t="s">
        <v>14193</v>
      </c>
      <c r="D2421" s="2" t="s">
        <v>122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40</v>
      </c>
      <c r="C2423" s="2" t="s">
        <v>14194</v>
      </c>
      <c r="D2423" s="2" t="s">
        <v>42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14195</v>
      </c>
      <c r="D2424" s="2" t="s">
        <v>42</v>
      </c>
      <c r="E2424" s="2">
        <v>141</v>
      </c>
      <c r="F2424" s="2">
        <v>2807.768</v>
      </c>
    </row>
    <row r="2425" spans="3:6" x14ac:dyDescent="0.25">
      <c r="C2425" s="2" t="s">
        <v>14196</v>
      </c>
      <c r="D2425" s="2" t="s">
        <v>42</v>
      </c>
      <c r="E2425" s="2">
        <v>102</v>
      </c>
      <c r="F2425" s="2">
        <v>2141.668</v>
      </c>
    </row>
    <row r="2426" spans="3:6" x14ac:dyDescent="0.25">
      <c r="C2426" s="2" t="s">
        <v>14197</v>
      </c>
      <c r="D2426" s="2" t="s">
        <v>42</v>
      </c>
      <c r="E2426" s="2">
        <v>102</v>
      </c>
      <c r="F2426" s="2">
        <v>2013.63</v>
      </c>
    </row>
    <row r="2427" spans="3:6" x14ac:dyDescent="0.25">
      <c r="C2427" s="2" t="s">
        <v>14198</v>
      </c>
      <c r="D2427" s="2" t="s">
        <v>42</v>
      </c>
      <c r="E2427" s="2">
        <v>102</v>
      </c>
      <c r="F2427" s="2">
        <v>2095.889</v>
      </c>
    </row>
    <row r="2428" spans="3:6" x14ac:dyDescent="0.25">
      <c r="C2428" s="2" t="s">
        <v>14199</v>
      </c>
      <c r="D2428" s="2" t="s">
        <v>42</v>
      </c>
      <c r="E2428" s="2">
        <v>102</v>
      </c>
      <c r="F2428" s="2">
        <v>2072.489</v>
      </c>
    </row>
    <row r="2429" spans="3:6" x14ac:dyDescent="0.25">
      <c r="C2429" s="2" t="s">
        <v>14200</v>
      </c>
      <c r="D2429" s="2" t="s">
        <v>42</v>
      </c>
      <c r="E2429" s="2">
        <v>102</v>
      </c>
      <c r="F2429" s="2">
        <v>2172.16</v>
      </c>
    </row>
    <row r="2430" spans="3:6" x14ac:dyDescent="0.25">
      <c r="C2430" s="2" t="s">
        <v>14201</v>
      </c>
      <c r="D2430" s="2" t="s">
        <v>42</v>
      </c>
      <c r="E2430" s="2">
        <v>67</v>
      </c>
      <c r="F2430" s="2">
        <v>957.583</v>
      </c>
    </row>
    <row r="2431" spans="3:6" x14ac:dyDescent="0.25">
      <c r="C2431" s="2" t="s">
        <v>14202</v>
      </c>
      <c r="D2431" s="2" t="s">
        <v>42</v>
      </c>
      <c r="E2431" s="2">
        <v>141</v>
      </c>
      <c r="F2431" s="2">
        <v>1879.557</v>
      </c>
    </row>
    <row r="2432" spans="3:6" x14ac:dyDescent="0.25">
      <c r="C2432" s="2" t="s">
        <v>14203</v>
      </c>
      <c r="D2432" s="2" t="s">
        <v>42</v>
      </c>
      <c r="E2432" s="2">
        <v>123</v>
      </c>
      <c r="F2432" s="2">
        <v>2552.94</v>
      </c>
    </row>
    <row r="2433" spans="3:6" x14ac:dyDescent="0.25">
      <c r="C2433" s="2" t="s">
        <v>14204</v>
      </c>
      <c r="D2433" s="2" t="s">
        <v>42</v>
      </c>
      <c r="E2433" s="2">
        <v>123</v>
      </c>
      <c r="F2433" s="2">
        <v>2693.36</v>
      </c>
    </row>
    <row r="2434" spans="3:6" x14ac:dyDescent="0.25">
      <c r="C2434" s="2" t="s">
        <v>14205</v>
      </c>
      <c r="D2434" s="2" t="s">
        <v>42</v>
      </c>
      <c r="E2434" s="2">
        <v>141</v>
      </c>
      <c r="F2434" s="2">
        <v>2875.28</v>
      </c>
    </row>
    <row r="2435" spans="3:6" x14ac:dyDescent="0.25">
      <c r="C2435" s="2" t="s">
        <v>14206</v>
      </c>
      <c r="D2435" s="2" t="s">
        <v>42</v>
      </c>
      <c r="E2435" s="2">
        <v>141</v>
      </c>
      <c r="F2435" s="2">
        <v>2918.731</v>
      </c>
    </row>
    <row r="2436" spans="3:6" x14ac:dyDescent="0.25">
      <c r="C2436" s="2" t="s">
        <v>14207</v>
      </c>
      <c r="D2436" s="2" t="s">
        <v>42</v>
      </c>
      <c r="E2436" s="2">
        <v>141</v>
      </c>
      <c r="F2436" s="2">
        <v>2871.95</v>
      </c>
    </row>
    <row r="2437" spans="3:6" x14ac:dyDescent="0.25">
      <c r="C2437" s="2" t="s">
        <v>14208</v>
      </c>
      <c r="D2437" s="2" t="s">
        <v>42</v>
      </c>
      <c r="E2437" s="2">
        <v>133</v>
      </c>
      <c r="F2437" s="2">
        <v>2759.386</v>
      </c>
    </row>
    <row r="2438" spans="3:6" x14ac:dyDescent="0.25">
      <c r="C2438" s="2" t="s">
        <v>14209</v>
      </c>
      <c r="D2438" s="2" t="s">
        <v>42</v>
      </c>
      <c r="E2438" s="2">
        <v>32</v>
      </c>
      <c r="F2438" s="2">
        <v>585.02</v>
      </c>
    </row>
    <row r="2439" spans="3:6" x14ac:dyDescent="0.25">
      <c r="C2439" s="2" t="s">
        <v>14210</v>
      </c>
      <c r="D2439" s="2" t="s">
        <v>42</v>
      </c>
      <c r="E2439" s="2">
        <v>53</v>
      </c>
      <c r="F2439" s="2">
        <v>1058.911</v>
      </c>
    </row>
    <row r="2440" spans="3:6" x14ac:dyDescent="0.25">
      <c r="C2440" s="2" t="s">
        <v>14211</v>
      </c>
      <c r="D2440" s="2" t="s">
        <v>42</v>
      </c>
      <c r="E2440" s="2">
        <v>81</v>
      </c>
      <c r="F2440" s="2">
        <v>1579.528</v>
      </c>
    </row>
    <row r="2441" spans="3:6" x14ac:dyDescent="0.25">
      <c r="C2441" s="2" t="s">
        <v>14212</v>
      </c>
      <c r="D2441" s="2" t="s">
        <v>42</v>
      </c>
      <c r="E2441" s="2">
        <v>141</v>
      </c>
      <c r="F2441" s="2">
        <v>2907.43</v>
      </c>
    </row>
    <row r="2442" spans="3:6" x14ac:dyDescent="0.25">
      <c r="C2442" s="2" t="s">
        <v>14213</v>
      </c>
      <c r="D2442" s="2" t="s">
        <v>42</v>
      </c>
      <c r="E2442" s="2">
        <v>141</v>
      </c>
      <c r="F2442" s="2">
        <v>2816.68</v>
      </c>
    </row>
    <row r="2443" spans="3:6" x14ac:dyDescent="0.25">
      <c r="C2443" s="2" t="s">
        <v>14214</v>
      </c>
      <c r="D2443" s="2" t="s">
        <v>42</v>
      </c>
      <c r="E2443" s="2">
        <v>129</v>
      </c>
      <c r="F2443" s="2">
        <v>1886.36</v>
      </c>
    </row>
    <row r="2444" spans="3:6" x14ac:dyDescent="0.25">
      <c r="C2444" s="2" t="s">
        <v>14215</v>
      </c>
      <c r="D2444" s="2" t="s">
        <v>42</v>
      </c>
      <c r="E2444" s="2">
        <v>141</v>
      </c>
      <c r="F2444" s="2">
        <v>2877.409</v>
      </c>
    </row>
    <row r="2445" spans="3:6" x14ac:dyDescent="0.25">
      <c r="C2445" s="2" t="s">
        <v>14216</v>
      </c>
      <c r="D2445" s="2" t="s">
        <v>42</v>
      </c>
      <c r="E2445" s="2">
        <v>141</v>
      </c>
      <c r="F2445" s="2">
        <v>2865.919</v>
      </c>
    </row>
    <row r="2446" spans="3:6" x14ac:dyDescent="0.25">
      <c r="C2446" s="2" t="s">
        <v>14217</v>
      </c>
      <c r="D2446" s="2" t="s">
        <v>42</v>
      </c>
      <c r="E2446" s="2">
        <v>87</v>
      </c>
      <c r="F2446" s="2">
        <v>1850.499</v>
      </c>
    </row>
    <row r="2447" spans="3:6" x14ac:dyDescent="0.25">
      <c r="C2447" s="2" t="s">
        <v>14218</v>
      </c>
      <c r="D2447" s="2" t="s">
        <v>42</v>
      </c>
      <c r="E2447" s="2">
        <v>100</v>
      </c>
      <c r="F2447" s="2">
        <v>2040.079</v>
      </c>
    </row>
    <row r="2448" spans="3:6" x14ac:dyDescent="0.25">
      <c r="C2448" s="2" t="s">
        <v>14219</v>
      </c>
      <c r="D2448" s="2" t="s">
        <v>42</v>
      </c>
      <c r="E2448" s="2">
        <v>73</v>
      </c>
      <c r="F2448" s="2">
        <v>1454.18</v>
      </c>
    </row>
    <row r="2449" spans="3:6" x14ac:dyDescent="0.25">
      <c r="C2449" s="2" t="s">
        <v>14220</v>
      </c>
      <c r="D2449" s="2" t="s">
        <v>42</v>
      </c>
      <c r="E2449" s="2">
        <v>65</v>
      </c>
      <c r="F2449" s="2">
        <v>1353.31</v>
      </c>
    </row>
    <row r="2450" spans="3:6" x14ac:dyDescent="0.25">
      <c r="C2450" s="2" t="s">
        <v>14221</v>
      </c>
      <c r="D2450" s="2" t="s">
        <v>42</v>
      </c>
      <c r="E2450" s="2">
        <v>10</v>
      </c>
      <c r="F2450" s="2">
        <v>202.48</v>
      </c>
    </row>
    <row r="2451" spans="3:6" x14ac:dyDescent="0.25">
      <c r="C2451" s="2" t="s">
        <v>14222</v>
      </c>
      <c r="D2451" s="2" t="s">
        <v>42</v>
      </c>
      <c r="E2451" s="2">
        <v>75</v>
      </c>
      <c r="F2451" s="2">
        <v>385.48</v>
      </c>
    </row>
    <row r="2452" spans="3:6" x14ac:dyDescent="0.25">
      <c r="C2452" s="2" t="s">
        <v>14223</v>
      </c>
      <c r="D2452" s="2" t="s">
        <v>42</v>
      </c>
      <c r="E2452" s="2">
        <v>75</v>
      </c>
      <c r="F2452" s="2">
        <v>386.51</v>
      </c>
    </row>
    <row r="2453" spans="3:6" x14ac:dyDescent="0.25">
      <c r="C2453" s="2" t="s">
        <v>14224</v>
      </c>
      <c r="D2453" s="2" t="s">
        <v>42</v>
      </c>
      <c r="E2453" s="2">
        <v>50</v>
      </c>
      <c r="F2453" s="2">
        <v>262.02</v>
      </c>
    </row>
    <row r="2454" spans="3:6" x14ac:dyDescent="0.25">
      <c r="C2454" s="2" t="s">
        <v>14225</v>
      </c>
      <c r="D2454" s="2" t="s">
        <v>42</v>
      </c>
      <c r="E2454" s="2">
        <v>40</v>
      </c>
      <c r="F2454" s="2">
        <v>593.838</v>
      </c>
    </row>
    <row r="2455" spans="3:6" x14ac:dyDescent="0.25">
      <c r="C2455" s="2" t="s">
        <v>14226</v>
      </c>
      <c r="D2455" s="2" t="s">
        <v>42</v>
      </c>
      <c r="E2455" s="2">
        <v>54</v>
      </c>
      <c r="F2455" s="2">
        <v>631.184</v>
      </c>
    </row>
    <row r="2456" spans="3:6" x14ac:dyDescent="0.25">
      <c r="C2456" s="2" t="s">
        <v>14227</v>
      </c>
      <c r="D2456" s="2" t="s">
        <v>42</v>
      </c>
      <c r="E2456" s="2">
        <v>49</v>
      </c>
      <c r="F2456" s="2">
        <v>990.229</v>
      </c>
    </row>
    <row r="2457" spans="3:6" x14ac:dyDescent="0.25">
      <c r="C2457" s="2" t="s">
        <v>14228</v>
      </c>
      <c r="D2457" s="2" t="s">
        <v>42</v>
      </c>
      <c r="E2457" s="2">
        <v>39</v>
      </c>
      <c r="F2457" s="2">
        <v>820.23</v>
      </c>
    </row>
    <row r="2458" spans="3:6" x14ac:dyDescent="0.25">
      <c r="C2458" s="2" t="s">
        <v>14229</v>
      </c>
      <c r="D2458" s="2" t="s">
        <v>42</v>
      </c>
      <c r="E2458" s="2">
        <v>40</v>
      </c>
      <c r="F2458" s="2">
        <v>828.49</v>
      </c>
    </row>
    <row r="2459" spans="3:6" x14ac:dyDescent="0.25">
      <c r="C2459" s="2" t="s">
        <v>14230</v>
      </c>
      <c r="D2459" s="2" t="s">
        <v>42</v>
      </c>
      <c r="E2459" s="2">
        <v>69</v>
      </c>
      <c r="F2459" s="2">
        <v>1433.64</v>
      </c>
    </row>
    <row r="2460" spans="3:6" x14ac:dyDescent="0.25">
      <c r="C2460" s="2" t="s">
        <v>14231</v>
      </c>
      <c r="D2460" s="2" t="s">
        <v>42</v>
      </c>
      <c r="E2460" s="2">
        <v>28</v>
      </c>
      <c r="F2460" s="2">
        <v>465.629</v>
      </c>
    </row>
    <row r="2461" spans="3:6" x14ac:dyDescent="0.25">
      <c r="C2461" s="2" t="s">
        <v>14232</v>
      </c>
      <c r="D2461" s="2" t="s">
        <v>42</v>
      </c>
      <c r="E2461" s="2">
        <v>8</v>
      </c>
      <c r="F2461" s="2">
        <v>173.68</v>
      </c>
    </row>
    <row r="2462" spans="3:6" x14ac:dyDescent="0.25">
      <c r="C2462" s="2" t="s">
        <v>14233</v>
      </c>
      <c r="D2462" s="2" t="s">
        <v>42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90</v>
      </c>
      <c r="C2464" s="2" t="s">
        <v>14234</v>
      </c>
      <c r="D2464" s="2" t="s">
        <v>9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14235</v>
      </c>
      <c r="D2465" s="2" t="s">
        <v>9</v>
      </c>
      <c r="E2465" s="2">
        <v>52</v>
      </c>
      <c r="F2465" s="2">
        <v>988.07</v>
      </c>
    </row>
    <row r="2466" spans="3:6" x14ac:dyDescent="0.25">
      <c r="C2466" s="2" t="s">
        <v>14236</v>
      </c>
      <c r="D2466" s="2" t="s">
        <v>9</v>
      </c>
      <c r="E2466" s="2">
        <v>246</v>
      </c>
      <c r="F2466" s="2">
        <v>5073.128</v>
      </c>
    </row>
    <row r="2467" spans="3:6" x14ac:dyDescent="0.25">
      <c r="C2467" s="2" t="s">
        <v>14237</v>
      </c>
      <c r="D2467" s="2" t="s">
        <v>9</v>
      </c>
      <c r="E2467" s="2">
        <v>141</v>
      </c>
      <c r="F2467" s="2">
        <v>2789.81</v>
      </c>
    </row>
    <row r="2468" spans="3:6" x14ac:dyDescent="0.25">
      <c r="C2468" s="2" t="s">
        <v>14238</v>
      </c>
      <c r="D2468" s="2" t="s">
        <v>9</v>
      </c>
      <c r="E2468" s="2">
        <v>123</v>
      </c>
      <c r="F2468" s="2">
        <v>2387.48</v>
      </c>
    </row>
    <row r="2469" spans="3:6" x14ac:dyDescent="0.25">
      <c r="C2469" s="2" t="s">
        <v>14239</v>
      </c>
      <c r="D2469" s="2" t="s">
        <v>9</v>
      </c>
      <c r="E2469" s="2">
        <v>204</v>
      </c>
      <c r="F2469" s="2">
        <v>4179.708</v>
      </c>
    </row>
    <row r="2470" spans="3:6" x14ac:dyDescent="0.25">
      <c r="C2470" s="2" t="s">
        <v>14240</v>
      </c>
      <c r="D2470" s="2" t="s">
        <v>9</v>
      </c>
      <c r="E2470" s="2">
        <v>204</v>
      </c>
      <c r="F2470" s="2">
        <v>4145.05</v>
      </c>
    </row>
    <row r="2471" spans="3:6" x14ac:dyDescent="0.25">
      <c r="C2471" s="2" t="s">
        <v>14241</v>
      </c>
      <c r="D2471" s="2" t="s">
        <v>9</v>
      </c>
      <c r="E2471" s="2">
        <v>282</v>
      </c>
      <c r="F2471" s="2">
        <v>6017.19</v>
      </c>
    </row>
    <row r="2472" spans="3:6" x14ac:dyDescent="0.25">
      <c r="C2472" s="2" t="s">
        <v>14242</v>
      </c>
      <c r="D2472" s="2" t="s">
        <v>9</v>
      </c>
      <c r="E2472" s="2">
        <v>141</v>
      </c>
      <c r="F2472" s="2">
        <v>3016.02</v>
      </c>
    </row>
    <row r="2473" spans="3:6" x14ac:dyDescent="0.25">
      <c r="C2473" s="2" t="s">
        <v>14243</v>
      </c>
      <c r="D2473" s="2" t="s">
        <v>9</v>
      </c>
      <c r="E2473" s="2">
        <v>102</v>
      </c>
      <c r="F2473" s="2">
        <v>2063.57</v>
      </c>
    </row>
    <row r="2474" spans="3:6" x14ac:dyDescent="0.25">
      <c r="C2474" s="2" t="s">
        <v>14244</v>
      </c>
      <c r="D2474" s="2" t="s">
        <v>9</v>
      </c>
      <c r="E2474" s="2">
        <v>75</v>
      </c>
      <c r="F2474" s="2">
        <v>313.818</v>
      </c>
    </row>
    <row r="2475" spans="3:6" x14ac:dyDescent="0.25">
      <c r="C2475" s="2" t="s">
        <v>14245</v>
      </c>
      <c r="D2475" s="2" t="s">
        <v>9</v>
      </c>
      <c r="E2475" s="2">
        <v>237</v>
      </c>
      <c r="F2475" s="2">
        <v>4579.006</v>
      </c>
    </row>
    <row r="2476" spans="3:6" x14ac:dyDescent="0.25">
      <c r="C2476" s="2" t="s">
        <v>14246</v>
      </c>
      <c r="D2476" s="2" t="s">
        <v>9</v>
      </c>
      <c r="E2476" s="2">
        <v>282</v>
      </c>
      <c r="F2476" s="2">
        <v>5777.18</v>
      </c>
    </row>
    <row r="2477" spans="3:6" x14ac:dyDescent="0.25">
      <c r="C2477" s="2" t="s">
        <v>14247</v>
      </c>
      <c r="D2477" s="2" t="s">
        <v>9</v>
      </c>
      <c r="E2477" s="2">
        <v>141</v>
      </c>
      <c r="F2477" s="2">
        <v>2997.5</v>
      </c>
    </row>
    <row r="2478" spans="3:6" x14ac:dyDescent="0.25">
      <c r="C2478" s="2" t="s">
        <v>14248</v>
      </c>
      <c r="D2478" s="2" t="s">
        <v>9</v>
      </c>
      <c r="E2478" s="2">
        <v>141</v>
      </c>
      <c r="F2478" s="2">
        <v>2859.6</v>
      </c>
    </row>
    <row r="2479" spans="3:6" x14ac:dyDescent="0.25">
      <c r="C2479" s="2" t="s">
        <v>14249</v>
      </c>
      <c r="D2479" s="2" t="s">
        <v>9</v>
      </c>
      <c r="E2479" s="2">
        <v>141</v>
      </c>
      <c r="F2479" s="2">
        <v>2867.34</v>
      </c>
    </row>
    <row r="2480" spans="3:6" x14ac:dyDescent="0.25">
      <c r="C2480" s="2" t="s">
        <v>14250</v>
      </c>
      <c r="D2480" s="2" t="s">
        <v>9</v>
      </c>
      <c r="E2480" s="2">
        <v>141</v>
      </c>
      <c r="F2480" s="2">
        <v>2911.36</v>
      </c>
    </row>
    <row r="2481" spans="3:6" x14ac:dyDescent="0.25">
      <c r="C2481" s="2" t="s">
        <v>14251</v>
      </c>
      <c r="D2481" s="2" t="s">
        <v>9</v>
      </c>
      <c r="E2481" s="2">
        <v>141</v>
      </c>
      <c r="F2481" s="2">
        <v>2847.999</v>
      </c>
    </row>
    <row r="2482" spans="3:6" x14ac:dyDescent="0.25">
      <c r="C2482" s="2" t="s">
        <v>14252</v>
      </c>
      <c r="D2482" s="2" t="s">
        <v>9</v>
      </c>
      <c r="E2482" s="2">
        <v>141</v>
      </c>
      <c r="F2482" s="2">
        <v>3023.259</v>
      </c>
    </row>
    <row r="2483" spans="3:6" x14ac:dyDescent="0.25">
      <c r="C2483" s="2" t="s">
        <v>14253</v>
      </c>
      <c r="D2483" s="2" t="s">
        <v>9</v>
      </c>
      <c r="E2483" s="2">
        <v>102</v>
      </c>
      <c r="F2483" s="2">
        <v>2061.48</v>
      </c>
    </row>
    <row r="2484" spans="3:6" x14ac:dyDescent="0.25">
      <c r="C2484" s="2" t="s">
        <v>14254</v>
      </c>
      <c r="D2484" s="2" t="s">
        <v>9</v>
      </c>
      <c r="E2484" s="2">
        <v>63</v>
      </c>
      <c r="F2484" s="2">
        <v>1208.7</v>
      </c>
    </row>
    <row r="2485" spans="3:6" x14ac:dyDescent="0.25">
      <c r="C2485" s="2" t="s">
        <v>14255</v>
      </c>
      <c r="D2485" s="2" t="s">
        <v>9</v>
      </c>
      <c r="E2485" s="2">
        <v>78</v>
      </c>
      <c r="F2485" s="2">
        <v>1512.89</v>
      </c>
    </row>
    <row r="2486" spans="3:6" x14ac:dyDescent="0.25">
      <c r="C2486" s="2" t="s">
        <v>14256</v>
      </c>
      <c r="D2486" s="2" t="s">
        <v>9</v>
      </c>
      <c r="E2486" s="2">
        <v>35</v>
      </c>
      <c r="F2486" s="2">
        <v>612.24</v>
      </c>
    </row>
    <row r="2487" spans="3:6" x14ac:dyDescent="0.25">
      <c r="C2487" s="2" t="s">
        <v>14257</v>
      </c>
      <c r="D2487" s="2" t="s">
        <v>9</v>
      </c>
      <c r="E2487" s="2">
        <v>18</v>
      </c>
      <c r="F2487" s="2">
        <v>309.66</v>
      </c>
    </row>
    <row r="2488" spans="3:6" x14ac:dyDescent="0.25">
      <c r="C2488" s="2" t="s">
        <v>14258</v>
      </c>
      <c r="D2488" s="2" t="s">
        <v>9</v>
      </c>
      <c r="E2488" s="2">
        <v>2</v>
      </c>
      <c r="F2488" s="2">
        <v>20.97</v>
      </c>
    </row>
    <row r="2489" spans="3:6" x14ac:dyDescent="0.25">
      <c r="C2489" s="2" t="s">
        <v>14259</v>
      </c>
      <c r="D2489" s="2" t="s">
        <v>9</v>
      </c>
      <c r="E2489" s="2">
        <v>2</v>
      </c>
      <c r="F2489" s="2">
        <v>23.64</v>
      </c>
    </row>
    <row r="2490" spans="3:6" x14ac:dyDescent="0.25">
      <c r="C2490" s="2" t="s">
        <v>14260</v>
      </c>
      <c r="D2490" s="2" t="s">
        <v>9</v>
      </c>
      <c r="E2490" s="2">
        <v>20</v>
      </c>
      <c r="F2490" s="2">
        <v>193.8</v>
      </c>
    </row>
    <row r="2491" spans="3:6" x14ac:dyDescent="0.25">
      <c r="C2491" s="2" t="s">
        <v>14261</v>
      </c>
      <c r="D2491" s="2" t="s">
        <v>9</v>
      </c>
      <c r="E2491" s="2">
        <v>142</v>
      </c>
      <c r="F2491" s="2">
        <v>2877.15</v>
      </c>
    </row>
    <row r="2492" spans="3:6" x14ac:dyDescent="0.25">
      <c r="C2492" s="2" t="s">
        <v>14262</v>
      </c>
      <c r="D2492" s="2" t="s">
        <v>9</v>
      </c>
      <c r="E2492" s="2">
        <v>143</v>
      </c>
      <c r="F2492" s="2">
        <v>2651.85</v>
      </c>
    </row>
    <row r="2493" spans="3:6" x14ac:dyDescent="0.25">
      <c r="C2493" s="2" t="s">
        <v>14263</v>
      </c>
      <c r="D2493" s="2" t="s">
        <v>9</v>
      </c>
      <c r="E2493" s="2">
        <v>42</v>
      </c>
      <c r="F2493" s="2">
        <v>845.4</v>
      </c>
    </row>
    <row r="2494" spans="3:6" x14ac:dyDescent="0.25">
      <c r="C2494" s="2" t="s">
        <v>14264</v>
      </c>
      <c r="D2494" s="2" t="s">
        <v>9</v>
      </c>
      <c r="E2494" s="2">
        <v>100</v>
      </c>
      <c r="F2494" s="2">
        <v>2059.2</v>
      </c>
    </row>
    <row r="2495" spans="3:6" x14ac:dyDescent="0.25">
      <c r="C2495" s="2" t="s">
        <v>14265</v>
      </c>
      <c r="D2495" s="2" t="s">
        <v>9</v>
      </c>
      <c r="E2495" s="2">
        <v>111</v>
      </c>
      <c r="F2495" s="2">
        <v>2191.9</v>
      </c>
    </row>
    <row r="2496" spans="3:6" x14ac:dyDescent="0.25">
      <c r="C2496" s="2" t="s">
        <v>14266</v>
      </c>
      <c r="D2496" s="2" t="s">
        <v>9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14</v>
      </c>
      <c r="C2498" s="2" t="s">
        <v>14267</v>
      </c>
      <c r="D2498" s="2" t="s">
        <v>12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14268</v>
      </c>
      <c r="D2499" s="2" t="s">
        <v>12</v>
      </c>
      <c r="E2499" s="2">
        <v>145</v>
      </c>
      <c r="F2499" s="2">
        <v>2959.56</v>
      </c>
    </row>
    <row r="2500" spans="3:6" x14ac:dyDescent="0.25">
      <c r="C2500" s="2" t="s">
        <v>14269</v>
      </c>
      <c r="D2500" s="2" t="s">
        <v>12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10</v>
      </c>
      <c r="C2503" s="2" t="s">
        <v>14270</v>
      </c>
      <c r="D2503" s="2" t="s">
        <v>12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14271</v>
      </c>
      <c r="D2504" s="2" t="s">
        <v>12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380</v>
      </c>
      <c r="C2506" s="2" t="s">
        <v>14272</v>
      </c>
      <c r="D2506" s="2" t="s">
        <v>20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14273</v>
      </c>
      <c r="D2507" s="2" t="s">
        <v>20</v>
      </c>
      <c r="E2507" s="2">
        <v>242</v>
      </c>
      <c r="F2507" s="2">
        <v>5186.5</v>
      </c>
    </row>
    <row r="2508" spans="3:6" x14ac:dyDescent="0.25">
      <c r="C2508" s="2" t="s">
        <v>14274</v>
      </c>
      <c r="D2508" s="2" t="s">
        <v>20</v>
      </c>
      <c r="E2508" s="2">
        <v>130</v>
      </c>
      <c r="F2508" s="2">
        <v>2726.319</v>
      </c>
    </row>
    <row r="2509" spans="3:6" x14ac:dyDescent="0.25">
      <c r="C2509" s="2" t="s">
        <v>14275</v>
      </c>
      <c r="D2509" s="2" t="s">
        <v>20</v>
      </c>
      <c r="E2509" s="2">
        <v>248</v>
      </c>
      <c r="F2509" s="2">
        <v>4788.71</v>
      </c>
    </row>
    <row r="2510" spans="3:6" x14ac:dyDescent="0.25">
      <c r="C2510" s="2" t="s">
        <v>14276</v>
      </c>
      <c r="D2510" s="2" t="s">
        <v>20</v>
      </c>
      <c r="E2510" s="2">
        <v>149</v>
      </c>
      <c r="F2510" s="2">
        <v>2904.85</v>
      </c>
    </row>
    <row r="2511" spans="3:6" x14ac:dyDescent="0.25">
      <c r="C2511" s="2" t="s">
        <v>14277</v>
      </c>
      <c r="D2511" s="2" t="s">
        <v>20</v>
      </c>
      <c r="E2511" s="2">
        <v>149</v>
      </c>
      <c r="F2511" s="2">
        <v>2774.33</v>
      </c>
    </row>
    <row r="2512" spans="3:6" x14ac:dyDescent="0.25">
      <c r="C2512" s="2" t="s">
        <v>14278</v>
      </c>
      <c r="D2512" s="2" t="s">
        <v>20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2738</v>
      </c>
      <c r="C2514" s="2" t="s">
        <v>14279</v>
      </c>
      <c r="D2514" s="2" t="s">
        <v>20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14280</v>
      </c>
      <c r="D2515" s="2" t="s">
        <v>20</v>
      </c>
      <c r="E2515" s="2">
        <v>149</v>
      </c>
      <c r="F2515" s="2">
        <v>2915.15</v>
      </c>
    </row>
    <row r="2516" spans="3:6" x14ac:dyDescent="0.25">
      <c r="C2516" s="2" t="s">
        <v>14281</v>
      </c>
      <c r="D2516" s="2" t="s">
        <v>20</v>
      </c>
      <c r="E2516" s="2">
        <v>143</v>
      </c>
      <c r="F2516" s="2">
        <v>3673.86</v>
      </c>
    </row>
    <row r="2517" spans="3:6" x14ac:dyDescent="0.25">
      <c r="C2517" s="2" t="s">
        <v>14282</v>
      </c>
      <c r="D2517" s="2" t="s">
        <v>20</v>
      </c>
      <c r="E2517" s="2">
        <v>142</v>
      </c>
      <c r="F2517" s="2">
        <v>2972.73</v>
      </c>
    </row>
    <row r="2518" spans="3:6" x14ac:dyDescent="0.25">
      <c r="C2518" s="2" t="s">
        <v>14283</v>
      </c>
      <c r="D2518" s="2" t="s">
        <v>20</v>
      </c>
      <c r="E2518" s="2">
        <v>142</v>
      </c>
      <c r="F2518" s="2">
        <v>2965.419</v>
      </c>
    </row>
    <row r="2519" spans="3:6" x14ac:dyDescent="0.25">
      <c r="C2519" s="2" t="s">
        <v>14284</v>
      </c>
      <c r="D2519" s="2" t="s">
        <v>20</v>
      </c>
      <c r="E2519" s="2">
        <v>142</v>
      </c>
      <c r="F2519" s="2">
        <v>2988.18</v>
      </c>
    </row>
    <row r="2520" spans="3:6" x14ac:dyDescent="0.25">
      <c r="C2520" s="2" t="s">
        <v>14285</v>
      </c>
      <c r="D2520" s="2" t="s">
        <v>20</v>
      </c>
      <c r="E2520" s="2">
        <v>149</v>
      </c>
      <c r="F2520" s="2">
        <v>2846.88</v>
      </c>
    </row>
    <row r="2521" spans="3:6" x14ac:dyDescent="0.25">
      <c r="C2521" s="2" t="s">
        <v>14286</v>
      </c>
      <c r="D2521" s="2" t="s">
        <v>20</v>
      </c>
      <c r="E2521" s="2">
        <v>149</v>
      </c>
      <c r="F2521" s="2">
        <v>2725.989</v>
      </c>
    </row>
    <row r="2522" spans="3:6" x14ac:dyDescent="0.25">
      <c r="C2522" s="2" t="s">
        <v>14287</v>
      </c>
      <c r="D2522" s="2" t="s">
        <v>20</v>
      </c>
      <c r="E2522" s="2">
        <v>149</v>
      </c>
      <c r="F2522" s="2">
        <v>2840.579</v>
      </c>
    </row>
    <row r="2523" spans="3:6" x14ac:dyDescent="0.25">
      <c r="C2523" s="2" t="s">
        <v>14288</v>
      </c>
      <c r="D2523" s="2" t="s">
        <v>20</v>
      </c>
      <c r="E2523" s="2">
        <v>149</v>
      </c>
      <c r="F2523" s="2">
        <v>2942.2</v>
      </c>
    </row>
    <row r="2524" spans="3:6" x14ac:dyDescent="0.25">
      <c r="C2524" s="2" t="s">
        <v>14289</v>
      </c>
      <c r="D2524" s="2" t="s">
        <v>20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4182</v>
      </c>
      <c r="C2526" s="2" t="s">
        <v>14290</v>
      </c>
      <c r="D2526" s="2" t="s">
        <v>122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14291</v>
      </c>
      <c r="D2527" s="2" t="s">
        <v>122</v>
      </c>
      <c r="E2527" s="2">
        <v>81</v>
      </c>
      <c r="F2527" s="2">
        <v>1632.03</v>
      </c>
    </row>
    <row r="2528" spans="3:6" x14ac:dyDescent="0.25">
      <c r="C2528" s="2" t="s">
        <v>14292</v>
      </c>
      <c r="D2528" s="2" t="s">
        <v>122</v>
      </c>
      <c r="E2528" s="2">
        <v>40</v>
      </c>
      <c r="F2528" s="2">
        <v>835.03</v>
      </c>
    </row>
    <row r="2529" spans="3:6" x14ac:dyDescent="0.25">
      <c r="C2529" s="2" t="s">
        <v>14293</v>
      </c>
      <c r="D2529" s="2" t="s">
        <v>122</v>
      </c>
      <c r="E2529" s="2">
        <v>141</v>
      </c>
      <c r="F2529" s="2">
        <v>2678.97</v>
      </c>
    </row>
    <row r="2530" spans="3:6" x14ac:dyDescent="0.25">
      <c r="C2530" s="2" t="s">
        <v>14294</v>
      </c>
      <c r="D2530" s="2" t="s">
        <v>122</v>
      </c>
      <c r="E2530" s="2">
        <v>141</v>
      </c>
      <c r="F2530" s="2">
        <v>2774.63</v>
      </c>
    </row>
    <row r="2531" spans="3:6" x14ac:dyDescent="0.25">
      <c r="C2531" s="2" t="s">
        <v>14295</v>
      </c>
      <c r="D2531" s="2" t="s">
        <v>122</v>
      </c>
      <c r="E2531" s="2">
        <v>141</v>
      </c>
      <c r="F2531" s="2">
        <v>2771.6</v>
      </c>
    </row>
    <row r="2532" spans="3:6" x14ac:dyDescent="0.25">
      <c r="C2532" s="2" t="s">
        <v>14296</v>
      </c>
      <c r="D2532" s="2" t="s">
        <v>122</v>
      </c>
      <c r="E2532" s="2">
        <v>95</v>
      </c>
      <c r="F2532" s="2">
        <v>2089.759</v>
      </c>
    </row>
    <row r="2533" spans="3:6" x14ac:dyDescent="0.25">
      <c r="C2533" s="2" t="s">
        <v>14297</v>
      </c>
      <c r="D2533" s="2" t="s">
        <v>122</v>
      </c>
      <c r="E2533" s="2">
        <v>90</v>
      </c>
      <c r="F2533" s="2">
        <v>2480.517</v>
      </c>
    </row>
    <row r="2534" spans="3:6" x14ac:dyDescent="0.25">
      <c r="C2534" s="2" t="s">
        <v>14298</v>
      </c>
      <c r="D2534" s="2" t="s">
        <v>122</v>
      </c>
      <c r="E2534" s="2">
        <v>141</v>
      </c>
      <c r="F2534" s="2">
        <v>2836.38</v>
      </c>
    </row>
    <row r="2535" spans="3:6" x14ac:dyDescent="0.25">
      <c r="C2535" s="2" t="s">
        <v>14299</v>
      </c>
      <c r="D2535" s="2" t="s">
        <v>122</v>
      </c>
      <c r="E2535" s="2">
        <v>101</v>
      </c>
      <c r="F2535" s="2">
        <v>2067.33</v>
      </c>
    </row>
    <row r="2536" spans="3:6" x14ac:dyDescent="0.25">
      <c r="C2536" s="2" t="s">
        <v>14300</v>
      </c>
      <c r="D2536" s="2" t="s">
        <v>122</v>
      </c>
      <c r="E2536" s="2">
        <v>40</v>
      </c>
      <c r="F2536" s="2">
        <v>821.96</v>
      </c>
    </row>
    <row r="2537" spans="3:6" x14ac:dyDescent="0.25">
      <c r="C2537" s="2" t="s">
        <v>14301</v>
      </c>
      <c r="D2537" s="2" t="s">
        <v>122</v>
      </c>
      <c r="E2537" s="2">
        <v>90</v>
      </c>
      <c r="F2537" s="2">
        <v>1860.97</v>
      </c>
    </row>
    <row r="2538" spans="3:6" x14ac:dyDescent="0.25">
      <c r="C2538" s="2" t="s">
        <v>14302</v>
      </c>
      <c r="D2538" s="2" t="s">
        <v>122</v>
      </c>
      <c r="E2538" s="2">
        <v>34</v>
      </c>
      <c r="F2538" s="2">
        <v>690.12</v>
      </c>
    </row>
    <row r="2539" spans="3:6" x14ac:dyDescent="0.25">
      <c r="C2539" s="2" t="s">
        <v>14303</v>
      </c>
      <c r="D2539" s="2" t="s">
        <v>122</v>
      </c>
      <c r="E2539" s="2">
        <v>17</v>
      </c>
      <c r="F2539" s="2">
        <v>349.3</v>
      </c>
    </row>
    <row r="2540" spans="3:6" x14ac:dyDescent="0.25">
      <c r="C2540" s="2" t="s">
        <v>14304</v>
      </c>
      <c r="D2540" s="2" t="s">
        <v>122</v>
      </c>
      <c r="E2540" s="2">
        <v>33</v>
      </c>
      <c r="F2540" s="2">
        <v>631.3</v>
      </c>
    </row>
    <row r="2541" spans="3:6" x14ac:dyDescent="0.25">
      <c r="C2541" s="2" t="s">
        <v>14305</v>
      </c>
      <c r="D2541" s="2" t="s">
        <v>122</v>
      </c>
      <c r="E2541" s="2">
        <v>40</v>
      </c>
      <c r="F2541" s="2">
        <v>861.45</v>
      </c>
    </row>
    <row r="2542" spans="3:6" x14ac:dyDescent="0.25">
      <c r="C2542" s="2" t="s">
        <v>14306</v>
      </c>
      <c r="D2542" s="2" t="s">
        <v>122</v>
      </c>
      <c r="E2542" s="2">
        <v>28</v>
      </c>
      <c r="F2542" s="2">
        <v>516.71</v>
      </c>
    </row>
    <row r="2543" spans="3:6" x14ac:dyDescent="0.25">
      <c r="C2543" s="2" t="s">
        <v>14307</v>
      </c>
      <c r="D2543" s="2" t="s">
        <v>122</v>
      </c>
      <c r="E2543" s="2">
        <v>23</v>
      </c>
      <c r="F2543" s="2">
        <v>387.31</v>
      </c>
    </row>
    <row r="2544" spans="3:6" x14ac:dyDescent="0.25">
      <c r="C2544" s="2" t="s">
        <v>14308</v>
      </c>
      <c r="D2544" s="2" t="s">
        <v>122</v>
      </c>
      <c r="E2544" s="2">
        <v>8</v>
      </c>
      <c r="F2544" s="2">
        <v>140.059</v>
      </c>
    </row>
    <row r="2545" spans="3:6" x14ac:dyDescent="0.25">
      <c r="C2545" s="2" t="s">
        <v>14309</v>
      </c>
      <c r="D2545" s="2" t="s">
        <v>122</v>
      </c>
      <c r="E2545" s="2">
        <v>9</v>
      </c>
      <c r="F2545" s="2">
        <v>165.56</v>
      </c>
    </row>
    <row r="2546" spans="3:6" x14ac:dyDescent="0.25">
      <c r="C2546" s="2" t="s">
        <v>14310</v>
      </c>
      <c r="D2546" s="2" t="s">
        <v>122</v>
      </c>
      <c r="E2546" s="2">
        <v>100</v>
      </c>
      <c r="F2546" s="2">
        <v>2028.72</v>
      </c>
    </row>
    <row r="2547" spans="3:6" x14ac:dyDescent="0.25">
      <c r="C2547" s="2" t="s">
        <v>14311</v>
      </c>
      <c r="D2547" s="2" t="s">
        <v>122</v>
      </c>
      <c r="E2547" s="2">
        <v>80</v>
      </c>
      <c r="F2547" s="2">
        <v>1582.32</v>
      </c>
    </row>
    <row r="2548" spans="3:6" x14ac:dyDescent="0.25">
      <c r="C2548" s="2" t="s">
        <v>14312</v>
      </c>
      <c r="D2548" s="2" t="s">
        <v>122</v>
      </c>
      <c r="E2548" s="2">
        <v>20</v>
      </c>
      <c r="F2548" s="2">
        <v>380.85</v>
      </c>
    </row>
    <row r="2549" spans="3:6" x14ac:dyDescent="0.25">
      <c r="C2549" s="2" t="s">
        <v>14313</v>
      </c>
      <c r="D2549" s="2" t="s">
        <v>122</v>
      </c>
      <c r="E2549" s="2">
        <v>70</v>
      </c>
      <c r="F2549" s="2">
        <v>1412.36</v>
      </c>
    </row>
    <row r="2550" spans="3:6" x14ac:dyDescent="0.25">
      <c r="C2550" s="2" t="s">
        <v>14314</v>
      </c>
      <c r="D2550" s="2" t="s">
        <v>122</v>
      </c>
      <c r="E2550" s="2">
        <v>30</v>
      </c>
      <c r="F2550" s="2">
        <v>597.27</v>
      </c>
    </row>
    <row r="2551" spans="3:6" x14ac:dyDescent="0.25">
      <c r="C2551" s="2" t="s">
        <v>14315</v>
      </c>
      <c r="D2551" s="2" t="s">
        <v>122</v>
      </c>
      <c r="E2551" s="2">
        <v>60</v>
      </c>
      <c r="F2551" s="2">
        <v>1158.37</v>
      </c>
    </row>
    <row r="2552" spans="3:6" x14ac:dyDescent="0.25">
      <c r="C2552" s="2" t="s">
        <v>14316</v>
      </c>
      <c r="D2552" s="2" t="s">
        <v>122</v>
      </c>
      <c r="E2552" s="2">
        <v>40</v>
      </c>
      <c r="F2552" s="2">
        <v>828.48</v>
      </c>
    </row>
    <row r="2553" spans="3:6" x14ac:dyDescent="0.25">
      <c r="C2553" s="2" t="s">
        <v>14317</v>
      </c>
      <c r="D2553" s="2" t="s">
        <v>122</v>
      </c>
      <c r="E2553" s="2">
        <v>70</v>
      </c>
      <c r="F2553" s="2">
        <v>1454.53</v>
      </c>
    </row>
    <row r="2554" spans="3:6" x14ac:dyDescent="0.25">
      <c r="C2554" s="2" t="s">
        <v>14318</v>
      </c>
      <c r="D2554" s="2" t="s">
        <v>122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324</v>
      </c>
      <c r="C2556" s="2" t="s">
        <v>14319</v>
      </c>
      <c r="D2556" s="2" t="s">
        <v>27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14320</v>
      </c>
      <c r="D2557" s="2" t="s">
        <v>27</v>
      </c>
      <c r="E2557" s="2">
        <v>42</v>
      </c>
      <c r="F2557" s="2">
        <v>885.97</v>
      </c>
    </row>
    <row r="2558" spans="3:6" x14ac:dyDescent="0.25">
      <c r="C2558" s="2" t="s">
        <v>14321</v>
      </c>
      <c r="D2558" s="2" t="s">
        <v>27</v>
      </c>
      <c r="E2558" s="2">
        <v>16</v>
      </c>
      <c r="F2558" s="2">
        <v>281.77</v>
      </c>
    </row>
    <row r="2559" spans="3:6" x14ac:dyDescent="0.25">
      <c r="C2559" s="2" t="s">
        <v>14322</v>
      </c>
      <c r="D2559" s="2" t="s">
        <v>27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8925</v>
      </c>
      <c r="C2561" s="2" t="s">
        <v>14323</v>
      </c>
      <c r="D2561" s="2" t="s">
        <v>122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14324</v>
      </c>
      <c r="D2562" s="2" t="s">
        <v>122</v>
      </c>
      <c r="E2562" s="2">
        <v>87</v>
      </c>
      <c r="F2562" s="2">
        <v>2635.225</v>
      </c>
    </row>
    <row r="2563" spans="3:6" x14ac:dyDescent="0.25">
      <c r="C2563" s="2" t="s">
        <v>14325</v>
      </c>
      <c r="D2563" s="2" t="s">
        <v>122</v>
      </c>
      <c r="E2563" s="2">
        <v>78</v>
      </c>
      <c r="F2563" s="2">
        <v>1939.577</v>
      </c>
    </row>
    <row r="2564" spans="3:6" x14ac:dyDescent="0.25">
      <c r="C2564" s="2" t="s">
        <v>14326</v>
      </c>
      <c r="D2564" s="2" t="s">
        <v>122</v>
      </c>
      <c r="E2564" s="2">
        <v>89</v>
      </c>
      <c r="F2564" s="2">
        <v>1643.42</v>
      </c>
    </row>
    <row r="2565" spans="3:6" x14ac:dyDescent="0.25">
      <c r="C2565" s="2" t="s">
        <v>14327</v>
      </c>
      <c r="D2565" s="2" t="s">
        <v>122</v>
      </c>
      <c r="E2565" s="2">
        <v>50</v>
      </c>
      <c r="F2565" s="2">
        <v>1049.15</v>
      </c>
    </row>
    <row r="2566" spans="3:6" x14ac:dyDescent="0.25">
      <c r="C2566" s="2" t="s">
        <v>14328</v>
      </c>
      <c r="D2566" s="2" t="s">
        <v>122</v>
      </c>
      <c r="E2566" s="2">
        <v>15</v>
      </c>
      <c r="F2566" s="2">
        <v>275.88</v>
      </c>
    </row>
    <row r="2567" spans="3:6" x14ac:dyDescent="0.25">
      <c r="C2567" s="2" t="s">
        <v>14329</v>
      </c>
      <c r="D2567" s="2" t="s">
        <v>122</v>
      </c>
      <c r="E2567" s="2">
        <v>37</v>
      </c>
      <c r="F2567" s="2">
        <v>739.24</v>
      </c>
    </row>
    <row r="2568" spans="3:6" x14ac:dyDescent="0.25">
      <c r="C2568" s="2" t="s">
        <v>14330</v>
      </c>
      <c r="D2568" s="2" t="s">
        <v>122</v>
      </c>
      <c r="E2568" s="2">
        <v>102</v>
      </c>
      <c r="F2568" s="2">
        <v>2150.23</v>
      </c>
    </row>
    <row r="2569" spans="3:6" x14ac:dyDescent="0.25">
      <c r="C2569" s="2" t="s">
        <v>14331</v>
      </c>
      <c r="D2569" s="2" t="s">
        <v>122</v>
      </c>
      <c r="E2569" s="2">
        <v>70</v>
      </c>
      <c r="F2569" s="2">
        <v>1429.9</v>
      </c>
    </row>
    <row r="2570" spans="3:6" x14ac:dyDescent="0.25">
      <c r="C2570" s="2" t="s">
        <v>14332</v>
      </c>
      <c r="D2570" s="2" t="s">
        <v>122</v>
      </c>
      <c r="E2570" s="2">
        <v>24</v>
      </c>
      <c r="F2570" s="2">
        <v>167.762</v>
      </c>
    </row>
    <row r="2571" spans="3:6" x14ac:dyDescent="0.25">
      <c r="C2571" s="2" t="s">
        <v>14333</v>
      </c>
      <c r="D2571" s="2" t="s">
        <v>122</v>
      </c>
      <c r="E2571" s="2">
        <v>30</v>
      </c>
      <c r="F2571" s="2">
        <v>547.34</v>
      </c>
    </row>
    <row r="2572" spans="3:6" x14ac:dyDescent="0.25">
      <c r="C2572" s="2" t="s">
        <v>14334</v>
      </c>
      <c r="D2572" s="2" t="s">
        <v>122</v>
      </c>
      <c r="E2572" s="2">
        <v>45</v>
      </c>
      <c r="F2572" s="2">
        <v>913.5</v>
      </c>
    </row>
    <row r="2573" spans="3:6" x14ac:dyDescent="0.25">
      <c r="C2573" s="2" t="s">
        <v>14335</v>
      </c>
      <c r="D2573" s="2" t="s">
        <v>122</v>
      </c>
      <c r="E2573" s="2">
        <v>20</v>
      </c>
      <c r="F2573" s="2">
        <v>395.31</v>
      </c>
    </row>
    <row r="2574" spans="3:6" x14ac:dyDescent="0.25">
      <c r="C2574" s="2" t="s">
        <v>14336</v>
      </c>
      <c r="D2574" s="2" t="s">
        <v>122</v>
      </c>
      <c r="E2574" s="2">
        <v>20</v>
      </c>
      <c r="F2574" s="2">
        <v>411.19</v>
      </c>
    </row>
    <row r="2575" spans="3:6" x14ac:dyDescent="0.25">
      <c r="C2575" s="2" t="s">
        <v>14337</v>
      </c>
      <c r="D2575" s="2" t="s">
        <v>122</v>
      </c>
      <c r="E2575" s="2">
        <v>16</v>
      </c>
      <c r="F2575" s="2">
        <v>320.67</v>
      </c>
    </row>
    <row r="2576" spans="3:6" x14ac:dyDescent="0.25">
      <c r="C2576" s="2" t="s">
        <v>14338</v>
      </c>
      <c r="D2576" s="2" t="s">
        <v>122</v>
      </c>
      <c r="E2576" s="2">
        <v>65</v>
      </c>
      <c r="F2576" s="2">
        <v>469.265</v>
      </c>
    </row>
    <row r="2577" spans="3:6" x14ac:dyDescent="0.25">
      <c r="C2577" s="2" t="s">
        <v>14339</v>
      </c>
      <c r="D2577" s="2" t="s">
        <v>122</v>
      </c>
      <c r="E2577" s="2">
        <v>117</v>
      </c>
      <c r="F2577" s="2">
        <v>1288.72</v>
      </c>
    </row>
    <row r="2578" spans="3:6" x14ac:dyDescent="0.25">
      <c r="C2578" s="2" t="s">
        <v>14340</v>
      </c>
      <c r="D2578" s="2" t="s">
        <v>122</v>
      </c>
      <c r="E2578" s="2">
        <v>109</v>
      </c>
      <c r="F2578" s="2">
        <v>2071.235</v>
      </c>
    </row>
    <row r="2579" spans="3:6" x14ac:dyDescent="0.25">
      <c r="C2579" s="2" t="s">
        <v>14341</v>
      </c>
      <c r="D2579" s="2" t="s">
        <v>122</v>
      </c>
      <c r="E2579" s="2">
        <v>119</v>
      </c>
      <c r="F2579" s="2">
        <v>1677.652</v>
      </c>
    </row>
    <row r="2580" spans="3:6" x14ac:dyDescent="0.25">
      <c r="C2580" s="2" t="s">
        <v>14342</v>
      </c>
      <c r="D2580" s="2" t="s">
        <v>122</v>
      </c>
      <c r="E2580" s="2">
        <v>48</v>
      </c>
      <c r="F2580" s="2">
        <v>986.2</v>
      </c>
    </row>
    <row r="2581" spans="3:6" x14ac:dyDescent="0.25">
      <c r="C2581" s="2" t="s">
        <v>14343</v>
      </c>
      <c r="D2581" s="2" t="s">
        <v>122</v>
      </c>
      <c r="E2581" s="2">
        <v>26</v>
      </c>
      <c r="F2581" s="2">
        <v>481.95</v>
      </c>
    </row>
    <row r="2582" spans="3:6" x14ac:dyDescent="0.25">
      <c r="C2582" s="2" t="s">
        <v>14344</v>
      </c>
      <c r="D2582" s="2" t="s">
        <v>122</v>
      </c>
      <c r="E2582" s="2">
        <v>28</v>
      </c>
      <c r="F2582" s="2">
        <v>568.22</v>
      </c>
    </row>
    <row r="2583" spans="3:6" x14ac:dyDescent="0.25">
      <c r="C2583" s="2" t="s">
        <v>14345</v>
      </c>
      <c r="D2583" s="2" t="s">
        <v>122</v>
      </c>
      <c r="E2583" s="2">
        <v>134</v>
      </c>
      <c r="F2583" s="2">
        <v>2777.72</v>
      </c>
    </row>
    <row r="2584" spans="3:6" x14ac:dyDescent="0.25">
      <c r="C2584" s="2" t="s">
        <v>14346</v>
      </c>
      <c r="D2584" s="2" t="s">
        <v>122</v>
      </c>
      <c r="E2584" s="2">
        <v>141</v>
      </c>
      <c r="F2584" s="2">
        <v>2910.94</v>
      </c>
    </row>
    <row r="2585" spans="3:6" x14ac:dyDescent="0.25">
      <c r="C2585" s="2" t="s">
        <v>14347</v>
      </c>
      <c r="D2585" s="2" t="s">
        <v>122</v>
      </c>
      <c r="E2585" s="2">
        <v>141</v>
      </c>
      <c r="F2585" s="2">
        <v>2851.11</v>
      </c>
    </row>
    <row r="2586" spans="3:6" x14ac:dyDescent="0.25">
      <c r="C2586" s="2" t="s">
        <v>14348</v>
      </c>
      <c r="D2586" s="2" t="s">
        <v>122</v>
      </c>
      <c r="E2586" s="2">
        <v>45</v>
      </c>
      <c r="F2586" s="2">
        <v>189.17</v>
      </c>
    </row>
    <row r="2587" spans="3:6" x14ac:dyDescent="0.25">
      <c r="C2587" s="2" t="s">
        <v>14349</v>
      </c>
      <c r="D2587" s="2" t="s">
        <v>122</v>
      </c>
      <c r="E2587" s="2">
        <v>37</v>
      </c>
      <c r="F2587" s="2">
        <v>156.38</v>
      </c>
    </row>
    <row r="2588" spans="3:6" x14ac:dyDescent="0.25">
      <c r="C2588" s="2" t="s">
        <v>14350</v>
      </c>
      <c r="D2588" s="2" t="s">
        <v>122</v>
      </c>
      <c r="E2588" s="2">
        <v>141</v>
      </c>
      <c r="F2588" s="2">
        <v>2940.51</v>
      </c>
    </row>
    <row r="2589" spans="3:6" x14ac:dyDescent="0.25">
      <c r="C2589" s="2" t="s">
        <v>14351</v>
      </c>
      <c r="D2589" s="2" t="s">
        <v>122</v>
      </c>
      <c r="E2589" s="2">
        <v>141</v>
      </c>
      <c r="F2589" s="2">
        <v>2848.42</v>
      </c>
    </row>
    <row r="2590" spans="3:6" x14ac:dyDescent="0.25">
      <c r="C2590" s="2" t="s">
        <v>14352</v>
      </c>
      <c r="D2590" s="2" t="s">
        <v>122</v>
      </c>
      <c r="E2590" s="2">
        <v>141</v>
      </c>
      <c r="F2590" s="2">
        <v>2811.599</v>
      </c>
    </row>
    <row r="2591" spans="3:6" x14ac:dyDescent="0.25">
      <c r="C2591" s="2" t="s">
        <v>14353</v>
      </c>
      <c r="D2591" s="2" t="s">
        <v>122</v>
      </c>
      <c r="E2591" s="2">
        <v>141</v>
      </c>
      <c r="F2591" s="2">
        <v>2986.61</v>
      </c>
    </row>
    <row r="2592" spans="3:6" x14ac:dyDescent="0.25">
      <c r="C2592" s="2" t="s">
        <v>14354</v>
      </c>
      <c r="D2592" s="2" t="s">
        <v>122</v>
      </c>
      <c r="E2592" s="2">
        <v>141</v>
      </c>
      <c r="F2592" s="2">
        <v>2887.08</v>
      </c>
    </row>
    <row r="2593" spans="3:6" x14ac:dyDescent="0.25">
      <c r="C2593" s="2" t="s">
        <v>14355</v>
      </c>
      <c r="D2593" s="2" t="s">
        <v>122</v>
      </c>
      <c r="E2593" s="2">
        <v>120</v>
      </c>
      <c r="F2593" s="2">
        <v>2420.62</v>
      </c>
    </row>
    <row r="2594" spans="3:6" x14ac:dyDescent="0.25">
      <c r="C2594" s="2" t="s">
        <v>14356</v>
      </c>
      <c r="D2594" s="2" t="s">
        <v>122</v>
      </c>
      <c r="E2594" s="2">
        <v>21</v>
      </c>
      <c r="F2594" s="2">
        <v>448.43</v>
      </c>
    </row>
    <row r="2595" spans="3:6" x14ac:dyDescent="0.25">
      <c r="C2595" s="2" t="s">
        <v>14357</v>
      </c>
      <c r="D2595" s="2" t="s">
        <v>122</v>
      </c>
      <c r="E2595" s="2">
        <v>40</v>
      </c>
      <c r="F2595" s="2">
        <v>770.52</v>
      </c>
    </row>
    <row r="2596" spans="3:6" x14ac:dyDescent="0.25">
      <c r="C2596" s="2" t="s">
        <v>14358</v>
      </c>
      <c r="D2596" s="2" t="s">
        <v>122</v>
      </c>
      <c r="E2596" s="2">
        <v>32</v>
      </c>
      <c r="F2596" s="2">
        <v>639.37</v>
      </c>
    </row>
    <row r="2597" spans="3:6" x14ac:dyDescent="0.25">
      <c r="C2597" s="2" t="s">
        <v>14359</v>
      </c>
      <c r="D2597" s="2" t="s">
        <v>122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10</v>
      </c>
      <c r="C2599" s="2" t="s">
        <v>14360</v>
      </c>
      <c r="D2599" s="2" t="s">
        <v>12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14361</v>
      </c>
      <c r="D2600" s="2" t="s">
        <v>12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503</v>
      </c>
      <c r="C2602" s="2" t="s">
        <v>14362</v>
      </c>
      <c r="D2602" s="2" t="s">
        <v>42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453</v>
      </c>
      <c r="C2604" s="2" t="s">
        <v>14363</v>
      </c>
      <c r="D2604" s="2" t="s">
        <v>214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14364</v>
      </c>
      <c r="D2605" s="2" t="s">
        <v>214</v>
      </c>
      <c r="E2605" s="2">
        <v>156</v>
      </c>
      <c r="F2605" s="2">
        <v>3125.019</v>
      </c>
    </row>
    <row r="2606" spans="3:6" x14ac:dyDescent="0.25">
      <c r="C2606" s="2" t="s">
        <v>14365</v>
      </c>
      <c r="D2606" s="2" t="s">
        <v>214</v>
      </c>
      <c r="E2606" s="2">
        <v>156</v>
      </c>
      <c r="F2606" s="2">
        <v>2987.2</v>
      </c>
    </row>
    <row r="2607" spans="3:6" x14ac:dyDescent="0.25">
      <c r="C2607" s="2" t="s">
        <v>14366</v>
      </c>
      <c r="D2607" s="2" t="s">
        <v>204</v>
      </c>
      <c r="E2607" s="2">
        <v>42</v>
      </c>
      <c r="F2607" s="2">
        <v>818.7</v>
      </c>
    </row>
    <row r="2608" spans="3:6" x14ac:dyDescent="0.25">
      <c r="C2608" s="2" t="s">
        <v>14367</v>
      </c>
      <c r="D2608" s="2" t="s">
        <v>204</v>
      </c>
      <c r="E2608" s="2">
        <v>105</v>
      </c>
      <c r="F2608" s="2">
        <v>2058.699</v>
      </c>
    </row>
    <row r="2609" spans="3:6" x14ac:dyDescent="0.25">
      <c r="C2609" s="2" t="s">
        <v>14368</v>
      </c>
      <c r="D2609" s="2" t="s">
        <v>204</v>
      </c>
      <c r="E2609" s="2">
        <v>76</v>
      </c>
      <c r="F2609" s="2">
        <v>1424.559</v>
      </c>
    </row>
    <row r="2610" spans="3:6" x14ac:dyDescent="0.25">
      <c r="C2610" s="2" t="s">
        <v>14369</v>
      </c>
      <c r="D2610" s="2" t="s">
        <v>204</v>
      </c>
      <c r="E2610" s="2">
        <v>87</v>
      </c>
      <c r="F2610" s="2">
        <v>1619.7</v>
      </c>
    </row>
    <row r="2611" spans="3:6" x14ac:dyDescent="0.25">
      <c r="C2611" s="2" t="s">
        <v>14370</v>
      </c>
      <c r="D2611" s="2" t="s">
        <v>236</v>
      </c>
      <c r="E2611" s="2">
        <v>45</v>
      </c>
      <c r="F2611" s="2">
        <v>865.609</v>
      </c>
    </row>
    <row r="2612" spans="3:6" x14ac:dyDescent="0.25">
      <c r="C2612" s="2" t="s">
        <v>14371</v>
      </c>
      <c r="D2612" s="2" t="s">
        <v>236</v>
      </c>
      <c r="E2612" s="2">
        <v>60</v>
      </c>
      <c r="F2612" s="2">
        <v>1174.599</v>
      </c>
    </row>
    <row r="2613" spans="3:6" x14ac:dyDescent="0.25">
      <c r="C2613" s="2" t="s">
        <v>14372</v>
      </c>
      <c r="D2613" s="2" t="s">
        <v>214</v>
      </c>
      <c r="E2613" s="2">
        <v>156</v>
      </c>
      <c r="F2613" s="2">
        <v>3176.8</v>
      </c>
    </row>
    <row r="2614" spans="3:6" x14ac:dyDescent="0.25">
      <c r="C2614" s="2" t="s">
        <v>14373</v>
      </c>
      <c r="D2614" s="2" t="s">
        <v>214</v>
      </c>
      <c r="E2614" s="2">
        <v>156</v>
      </c>
      <c r="F2614" s="2">
        <v>2994.93</v>
      </c>
    </row>
    <row r="2615" spans="3:6" x14ac:dyDescent="0.25">
      <c r="C2615" s="2" t="s">
        <v>14374</v>
      </c>
      <c r="D2615" s="2" t="s">
        <v>204</v>
      </c>
      <c r="E2615" s="2">
        <v>105</v>
      </c>
      <c r="F2615" s="2">
        <v>2115.53</v>
      </c>
    </row>
    <row r="2616" spans="3:6" x14ac:dyDescent="0.25">
      <c r="C2616" s="2" t="s">
        <v>14375</v>
      </c>
      <c r="D2616" s="2" t="s">
        <v>204</v>
      </c>
      <c r="E2616" s="2">
        <v>105</v>
      </c>
      <c r="F2616" s="2">
        <v>2074.07</v>
      </c>
    </row>
    <row r="2617" spans="3:6" x14ac:dyDescent="0.25">
      <c r="C2617" s="2" t="s">
        <v>14376</v>
      </c>
      <c r="D2617" s="2" t="s">
        <v>347</v>
      </c>
      <c r="E2617" s="2">
        <v>33</v>
      </c>
      <c r="F2617" s="2">
        <v>632.95</v>
      </c>
    </row>
    <row r="2618" spans="3:6" x14ac:dyDescent="0.25">
      <c r="C2618" s="2" t="s">
        <v>14377</v>
      </c>
      <c r="D2618" s="2" t="s">
        <v>347</v>
      </c>
      <c r="E2618" s="2">
        <v>23</v>
      </c>
      <c r="F2618" s="2">
        <v>459.437</v>
      </c>
    </row>
    <row r="2619" spans="3:6" x14ac:dyDescent="0.25">
      <c r="C2619" s="2" t="s">
        <v>14378</v>
      </c>
      <c r="D2619" s="2" t="s">
        <v>347</v>
      </c>
      <c r="E2619" s="2">
        <v>100</v>
      </c>
      <c r="F2619" s="2">
        <v>1912.11</v>
      </c>
    </row>
    <row r="2620" spans="3:6" x14ac:dyDescent="0.25">
      <c r="C2620" s="2" t="s">
        <v>14379</v>
      </c>
      <c r="D2620" s="2" t="s">
        <v>216</v>
      </c>
      <c r="E2620" s="2">
        <v>134</v>
      </c>
      <c r="F2620" s="2">
        <v>2676.82</v>
      </c>
    </row>
    <row r="2621" spans="3:6" x14ac:dyDescent="0.25">
      <c r="C2621" s="2" t="s">
        <v>14380</v>
      </c>
      <c r="D2621" s="2" t="s">
        <v>216</v>
      </c>
      <c r="E2621" s="2">
        <v>134</v>
      </c>
      <c r="F2621" s="2">
        <v>2651.05</v>
      </c>
    </row>
    <row r="2622" spans="3:6" x14ac:dyDescent="0.25">
      <c r="C2622" s="2" t="s">
        <v>14381</v>
      </c>
      <c r="D2622" s="2" t="s">
        <v>216</v>
      </c>
      <c r="E2622" s="2">
        <v>95</v>
      </c>
      <c r="F2622" s="2">
        <v>1812.23</v>
      </c>
    </row>
    <row r="2623" spans="3:6" x14ac:dyDescent="0.25">
      <c r="C2623" s="2" t="s">
        <v>14382</v>
      </c>
      <c r="D2623" s="2" t="s">
        <v>204</v>
      </c>
      <c r="E2623" s="2">
        <v>163</v>
      </c>
      <c r="F2623" s="2">
        <v>3147.49</v>
      </c>
    </row>
    <row r="2624" spans="3:6" x14ac:dyDescent="0.25">
      <c r="C2624" s="2" t="s">
        <v>14383</v>
      </c>
      <c r="D2624" s="2" t="s">
        <v>204</v>
      </c>
      <c r="E2624" s="2">
        <v>156</v>
      </c>
      <c r="F2624" s="2">
        <v>627.577</v>
      </c>
    </row>
    <row r="2625" spans="3:6" x14ac:dyDescent="0.25">
      <c r="C2625" s="2" t="s">
        <v>14384</v>
      </c>
      <c r="D2625" s="2" t="s">
        <v>204</v>
      </c>
      <c r="E2625" s="2">
        <v>134</v>
      </c>
      <c r="F2625" s="2">
        <v>2667.6</v>
      </c>
    </row>
    <row r="2626" spans="3:6" x14ac:dyDescent="0.25">
      <c r="C2626" s="2" t="s">
        <v>14385</v>
      </c>
      <c r="D2626" s="2" t="s">
        <v>204</v>
      </c>
      <c r="E2626" s="2">
        <v>134</v>
      </c>
      <c r="F2626" s="2">
        <v>2658.01</v>
      </c>
    </row>
    <row r="2627" spans="3:6" x14ac:dyDescent="0.25">
      <c r="C2627" s="2" t="s">
        <v>14386</v>
      </c>
      <c r="D2627" s="2" t="s">
        <v>204</v>
      </c>
      <c r="E2627" s="2">
        <v>134</v>
      </c>
      <c r="F2627" s="2">
        <v>2681.35</v>
      </c>
    </row>
    <row r="2628" spans="3:6" x14ac:dyDescent="0.25">
      <c r="C2628" s="2" t="s">
        <v>14387</v>
      </c>
      <c r="D2628" s="2" t="s">
        <v>204</v>
      </c>
      <c r="E2628" s="2">
        <v>32</v>
      </c>
      <c r="F2628" s="2">
        <v>626.55</v>
      </c>
    </row>
    <row r="2629" spans="3:6" x14ac:dyDescent="0.25">
      <c r="C2629" s="2" t="s">
        <v>14388</v>
      </c>
      <c r="D2629" s="2" t="s">
        <v>204</v>
      </c>
      <c r="E2629" s="2">
        <v>105</v>
      </c>
      <c r="F2629" s="2">
        <v>2027.79</v>
      </c>
    </row>
    <row r="2630" spans="3:6" x14ac:dyDescent="0.25">
      <c r="C2630" s="2" t="s">
        <v>14389</v>
      </c>
      <c r="D2630" s="2" t="s">
        <v>204</v>
      </c>
      <c r="E2630" s="2">
        <v>156</v>
      </c>
      <c r="F2630" s="2">
        <v>1077.593</v>
      </c>
    </row>
    <row r="2631" spans="3:6" x14ac:dyDescent="0.25">
      <c r="C2631" s="2" t="s">
        <v>14390</v>
      </c>
      <c r="D2631" s="2" t="s">
        <v>204</v>
      </c>
      <c r="E2631" s="2">
        <v>156</v>
      </c>
      <c r="F2631" s="2">
        <v>896.862</v>
      </c>
    </row>
    <row r="2632" spans="3:6" x14ac:dyDescent="0.25">
      <c r="C2632" s="2" t="s">
        <v>14391</v>
      </c>
      <c r="D2632" s="2" t="s">
        <v>204</v>
      </c>
      <c r="E2632" s="2">
        <v>163</v>
      </c>
      <c r="F2632" s="2">
        <v>3134.539</v>
      </c>
    </row>
    <row r="2633" spans="3:6" x14ac:dyDescent="0.25">
      <c r="C2633" s="2" t="s">
        <v>14392</v>
      </c>
      <c r="D2633" s="2" t="s">
        <v>204</v>
      </c>
      <c r="E2633" s="2">
        <v>163</v>
      </c>
      <c r="F2633" s="2">
        <v>3126.66</v>
      </c>
    </row>
    <row r="2634" spans="3:6" x14ac:dyDescent="0.25">
      <c r="C2634" s="2" t="s">
        <v>14393</v>
      </c>
      <c r="D2634" s="2" t="s">
        <v>204</v>
      </c>
      <c r="E2634" s="2">
        <v>163</v>
      </c>
      <c r="F2634" s="2">
        <v>3115.56</v>
      </c>
    </row>
    <row r="2635" spans="3:6" x14ac:dyDescent="0.25">
      <c r="C2635" s="2" t="s">
        <v>14394</v>
      </c>
      <c r="D2635" s="2" t="s">
        <v>204</v>
      </c>
      <c r="E2635" s="2">
        <v>163</v>
      </c>
      <c r="F2635" s="2">
        <v>3149.11</v>
      </c>
    </row>
    <row r="2636" spans="3:6" x14ac:dyDescent="0.25">
      <c r="C2636" s="2" t="s">
        <v>14395</v>
      </c>
      <c r="D2636" s="2" t="s">
        <v>216</v>
      </c>
      <c r="E2636" s="2">
        <v>134</v>
      </c>
      <c r="F2636" s="2">
        <v>2686.819</v>
      </c>
    </row>
    <row r="2637" spans="3:6" x14ac:dyDescent="0.25">
      <c r="C2637" s="2" t="s">
        <v>14396</v>
      </c>
      <c r="D2637" s="2" t="s">
        <v>204</v>
      </c>
      <c r="E2637" s="2">
        <v>105</v>
      </c>
      <c r="F2637" s="2">
        <v>2136.98</v>
      </c>
    </row>
    <row r="2638" spans="3:6" x14ac:dyDescent="0.25">
      <c r="C2638" s="2" t="s">
        <v>14397</v>
      </c>
      <c r="D2638" s="2" t="s">
        <v>236</v>
      </c>
      <c r="E2638" s="2">
        <v>76</v>
      </c>
      <c r="F2638" s="2">
        <v>1408.64</v>
      </c>
    </row>
    <row r="2639" spans="3:6" x14ac:dyDescent="0.25">
      <c r="C2639" s="2" t="s">
        <v>14398</v>
      </c>
      <c r="D2639" s="2" t="s">
        <v>236</v>
      </c>
      <c r="E2639" s="2">
        <v>80</v>
      </c>
      <c r="F2639" s="2">
        <v>1448.93</v>
      </c>
    </row>
    <row r="2640" spans="3:6" x14ac:dyDescent="0.25">
      <c r="C2640" s="2" t="s">
        <v>14089</v>
      </c>
      <c r="D2640" s="2" t="s">
        <v>204</v>
      </c>
      <c r="E2640" s="2">
        <v>105</v>
      </c>
      <c r="F2640" s="2">
        <v>712.086</v>
      </c>
    </row>
    <row r="2641" spans="3:6" x14ac:dyDescent="0.25">
      <c r="C2641" s="2" t="s">
        <v>14399</v>
      </c>
      <c r="D2641" s="2" t="s">
        <v>204</v>
      </c>
      <c r="E2641" s="2">
        <v>73</v>
      </c>
      <c r="F2641" s="2" t="s">
        <v>8758</v>
      </c>
    </row>
    <row r="2643" spans="2:7" x14ac:dyDescent="0.25">
      <c r="B2643" s="2" t="s">
        <v>2077</v>
      </c>
      <c r="C2643" s="2" t="s">
        <v>14400</v>
      </c>
      <c r="D2643" s="2" t="s">
        <v>214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14401</v>
      </c>
      <c r="D2644" s="2" t="s">
        <v>216</v>
      </c>
      <c r="E2644" s="2">
        <v>105</v>
      </c>
      <c r="F2644" s="2">
        <v>181</v>
      </c>
    </row>
    <row r="2645" spans="3:6" x14ac:dyDescent="0.25">
      <c r="C2645" s="2" t="s">
        <v>14402</v>
      </c>
      <c r="D2645" s="2" t="s">
        <v>216</v>
      </c>
      <c r="E2645" s="2">
        <v>13</v>
      </c>
      <c r="F2645" s="2">
        <v>1509</v>
      </c>
    </row>
    <row r="2646" spans="3:6" x14ac:dyDescent="0.25">
      <c r="C2646" s="2" t="s">
        <v>14403</v>
      </c>
      <c r="D2646" s="2" t="s">
        <v>216</v>
      </c>
      <c r="E2646" s="2">
        <v>143</v>
      </c>
      <c r="F2646" s="2">
        <v>1910</v>
      </c>
    </row>
    <row r="2647" spans="3:6" x14ac:dyDescent="0.25">
      <c r="C2647" s="2" t="s">
        <v>14404</v>
      </c>
      <c r="D2647" s="2" t="s">
        <v>214</v>
      </c>
      <c r="E2647" s="2">
        <v>105</v>
      </c>
      <c r="F2647" s="2">
        <v>2720</v>
      </c>
    </row>
    <row r="2648" spans="3:6" x14ac:dyDescent="0.25">
      <c r="C2648" s="2" t="s">
        <v>14405</v>
      </c>
      <c r="D2648" s="2" t="s">
        <v>214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32</v>
      </c>
      <c r="C2650" s="2" t="s">
        <v>14406</v>
      </c>
      <c r="D2650" s="2" t="s">
        <v>20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14407</v>
      </c>
      <c r="D2651" s="2" t="s">
        <v>20</v>
      </c>
      <c r="E2651" s="2">
        <v>159</v>
      </c>
      <c r="F2651" s="2">
        <v>3047.939</v>
      </c>
    </row>
    <row r="2652" spans="3:6" x14ac:dyDescent="0.25">
      <c r="C2652" s="2" t="s">
        <v>14408</v>
      </c>
      <c r="D2652" s="2" t="s">
        <v>20</v>
      </c>
      <c r="E2652" s="2">
        <v>98</v>
      </c>
      <c r="F2652" s="2">
        <v>1984</v>
      </c>
    </row>
    <row r="2653" spans="3:6" x14ac:dyDescent="0.25">
      <c r="C2653" s="2" t="s">
        <v>14409</v>
      </c>
      <c r="D2653" s="2" t="s">
        <v>20</v>
      </c>
      <c r="E2653" s="2">
        <v>250</v>
      </c>
      <c r="F2653" s="2">
        <v>4258.113</v>
      </c>
    </row>
    <row r="2654" spans="3:6" x14ac:dyDescent="0.25">
      <c r="C2654" s="2" t="s">
        <v>14410</v>
      </c>
      <c r="D2654" s="2" t="s">
        <v>20</v>
      </c>
      <c r="E2654" s="2">
        <v>294</v>
      </c>
      <c r="F2654" s="2">
        <v>6249.219</v>
      </c>
    </row>
    <row r="2655" spans="3:6" x14ac:dyDescent="0.25">
      <c r="C2655" s="2" t="s">
        <v>14411</v>
      </c>
      <c r="D2655" s="2" t="s">
        <v>20</v>
      </c>
      <c r="E2655" s="2">
        <v>269</v>
      </c>
      <c r="F2655" s="2">
        <v>5178.531</v>
      </c>
    </row>
    <row r="2656" spans="3:6" x14ac:dyDescent="0.25">
      <c r="C2656" s="2" t="s">
        <v>14412</v>
      </c>
      <c r="D2656" s="2" t="s">
        <v>20</v>
      </c>
      <c r="E2656" s="2">
        <v>223</v>
      </c>
      <c r="F2656" s="2">
        <v>4864.79</v>
      </c>
    </row>
    <row r="2657" spans="3:6" x14ac:dyDescent="0.25">
      <c r="C2657" s="2" t="s">
        <v>14139</v>
      </c>
      <c r="D2657" s="2" t="s">
        <v>20</v>
      </c>
      <c r="E2657" s="2">
        <v>275</v>
      </c>
      <c r="F2657" s="2">
        <v>5976</v>
      </c>
    </row>
    <row r="2658" spans="3:6" x14ac:dyDescent="0.25">
      <c r="C2658" s="2" t="s">
        <v>14138</v>
      </c>
      <c r="D2658" s="2" t="s">
        <v>20</v>
      </c>
      <c r="E2658" s="2">
        <v>328</v>
      </c>
      <c r="F2658" s="2">
        <v>5800</v>
      </c>
    </row>
    <row r="2659" spans="3:6" x14ac:dyDescent="0.25">
      <c r="C2659" s="2" t="s">
        <v>14413</v>
      </c>
      <c r="D2659" s="2" t="s">
        <v>20</v>
      </c>
      <c r="E2659" s="2">
        <v>105</v>
      </c>
      <c r="F2659" s="2">
        <v>2000.88</v>
      </c>
    </row>
    <row r="2660" spans="3:6" x14ac:dyDescent="0.25">
      <c r="C2660" s="2" t="s">
        <v>14414</v>
      </c>
      <c r="D2660" s="2" t="s">
        <v>20</v>
      </c>
      <c r="E2660" s="2">
        <v>268</v>
      </c>
      <c r="F2660" s="2">
        <v>5059.179</v>
      </c>
    </row>
    <row r="2661" spans="3:6" x14ac:dyDescent="0.25">
      <c r="C2661" s="2" t="s">
        <v>14415</v>
      </c>
      <c r="D2661" s="2" t="s">
        <v>20</v>
      </c>
      <c r="E2661" s="2">
        <v>163</v>
      </c>
      <c r="F2661" s="2">
        <v>3162.429</v>
      </c>
    </row>
    <row r="2662" spans="3:6" x14ac:dyDescent="0.25">
      <c r="C2662" s="2" t="s">
        <v>14416</v>
      </c>
      <c r="D2662" s="2" t="s">
        <v>20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5633</v>
      </c>
      <c r="C2664" s="2" t="s">
        <v>14417</v>
      </c>
      <c r="D2664" s="2" t="s">
        <v>27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14418</v>
      </c>
      <c r="D2665" s="2" t="s">
        <v>27</v>
      </c>
      <c r="E2665" s="2">
        <v>47</v>
      </c>
      <c r="F2665" s="2">
        <v>980.93</v>
      </c>
    </row>
    <row r="2666" spans="3:6" x14ac:dyDescent="0.25">
      <c r="C2666" s="2" t="s">
        <v>14419</v>
      </c>
      <c r="D2666" s="2" t="s">
        <v>27</v>
      </c>
      <c r="E2666" s="2">
        <v>59</v>
      </c>
      <c r="F2666" s="2">
        <v>1198.7</v>
      </c>
    </row>
    <row r="2667" spans="3:6" x14ac:dyDescent="0.25">
      <c r="C2667" s="2" t="s">
        <v>14420</v>
      </c>
      <c r="D2667" s="2" t="s">
        <v>27</v>
      </c>
      <c r="E2667" s="2">
        <v>25</v>
      </c>
      <c r="F2667" s="2">
        <v>450.73</v>
      </c>
    </row>
    <row r="2668" spans="3:6" x14ac:dyDescent="0.25">
      <c r="C2668" s="2" t="s">
        <v>14421</v>
      </c>
      <c r="D2668" s="2" t="s">
        <v>27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2097</v>
      </c>
      <c r="C2670" s="2" t="s">
        <v>14422</v>
      </c>
      <c r="D2670" s="2" t="s">
        <v>27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14423</v>
      </c>
      <c r="D2671" s="2" t="s">
        <v>27</v>
      </c>
      <c r="E2671" s="2">
        <v>91</v>
      </c>
      <c r="F2671" s="2">
        <v>1820.12</v>
      </c>
    </row>
    <row r="2672" spans="3:6" x14ac:dyDescent="0.25">
      <c r="C2672" s="2" t="s">
        <v>14424</v>
      </c>
      <c r="D2672" s="2" t="s">
        <v>27</v>
      </c>
      <c r="E2672" s="2">
        <v>101</v>
      </c>
      <c r="F2672" s="2">
        <v>1948.11</v>
      </c>
    </row>
    <row r="2673" spans="3:6" x14ac:dyDescent="0.25">
      <c r="C2673" s="2" t="s">
        <v>14425</v>
      </c>
      <c r="D2673" s="2" t="s">
        <v>27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172</v>
      </c>
      <c r="C2675" s="2" t="s">
        <v>14426</v>
      </c>
      <c r="D2675" s="2" t="s">
        <v>9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14427</v>
      </c>
      <c r="D2676" s="2" t="s">
        <v>9</v>
      </c>
      <c r="E2676" s="2">
        <v>204</v>
      </c>
      <c r="F2676" s="2">
        <v>4255.38</v>
      </c>
    </row>
    <row r="2677" spans="3:6" x14ac:dyDescent="0.25">
      <c r="C2677" s="2" t="s">
        <v>14428</v>
      </c>
      <c r="D2677" s="2" t="s">
        <v>9</v>
      </c>
      <c r="E2677" s="2">
        <f>124+15</f>
        <v>139</v>
      </c>
      <c r="F2677" s="2">
        <v>2498.43</v>
      </c>
    </row>
    <row r="2678" spans="3:6" x14ac:dyDescent="0.25">
      <c r="C2678" s="2" t="s">
        <v>14429</v>
      </c>
      <c r="D2678" s="2" t="s">
        <v>9</v>
      </c>
      <c r="E2678" s="2">
        <v>30</v>
      </c>
      <c r="F2678" s="2">
        <v>129.31</v>
      </c>
    </row>
    <row r="2679" spans="3:6" x14ac:dyDescent="0.25">
      <c r="C2679" s="2" t="s">
        <v>14430</v>
      </c>
      <c r="D2679" s="2" t="s">
        <v>9</v>
      </c>
      <c r="E2679" s="2">
        <v>143</v>
      </c>
      <c r="F2679" s="2">
        <v>2530.06</v>
      </c>
    </row>
    <row r="2680" spans="3:6" x14ac:dyDescent="0.25">
      <c r="C2680" s="2" t="s">
        <v>14431</v>
      </c>
      <c r="D2680" s="2" t="s">
        <v>9</v>
      </c>
      <c r="E2680" s="2">
        <v>141</v>
      </c>
      <c r="F2680" s="2">
        <v>2895.66</v>
      </c>
    </row>
    <row r="2681" spans="3:6" x14ac:dyDescent="0.25">
      <c r="C2681" s="2" t="s">
        <v>14432</v>
      </c>
      <c r="D2681" s="2" t="s">
        <v>9</v>
      </c>
      <c r="E2681" s="2">
        <v>141</v>
      </c>
      <c r="F2681" s="2">
        <v>2977.02</v>
      </c>
    </row>
    <row r="2682" spans="3:6" x14ac:dyDescent="0.25">
      <c r="C2682" s="2" t="s">
        <v>14433</v>
      </c>
      <c r="D2682" s="2" t="s">
        <v>9</v>
      </c>
      <c r="E2682" s="2">
        <v>102</v>
      </c>
      <c r="F2682" s="2">
        <v>2109.96</v>
      </c>
    </row>
    <row r="2683" spans="3:6" x14ac:dyDescent="0.25">
      <c r="C2683" s="2" t="s">
        <v>14434</v>
      </c>
      <c r="D2683" s="2" t="s">
        <v>9</v>
      </c>
      <c r="E2683" s="2">
        <v>30</v>
      </c>
      <c r="F2683" s="2">
        <v>129.76</v>
      </c>
    </row>
    <row r="2684" spans="3:6" x14ac:dyDescent="0.25">
      <c r="C2684" s="2" t="s">
        <v>14435</v>
      </c>
      <c r="D2684" s="2" t="s">
        <v>9</v>
      </c>
      <c r="E2684" s="2">
        <v>123</v>
      </c>
      <c r="F2684" s="2">
        <v>2303.156</v>
      </c>
    </row>
    <row r="2685" spans="3:6" x14ac:dyDescent="0.25">
      <c r="C2685" s="2" t="s">
        <v>14436</v>
      </c>
      <c r="D2685" s="2" t="s">
        <v>9</v>
      </c>
      <c r="E2685" s="2">
        <v>102</v>
      </c>
      <c r="F2685" s="2">
        <v>1904.34</v>
      </c>
    </row>
    <row r="2686" spans="3:6" x14ac:dyDescent="0.25">
      <c r="C2686" s="2" t="s">
        <v>14437</v>
      </c>
      <c r="D2686" s="2" t="s">
        <v>9</v>
      </c>
      <c r="E2686" s="2">
        <v>282</v>
      </c>
      <c r="F2686" s="2">
        <v>6093.31</v>
      </c>
    </row>
    <row r="2687" spans="3:6" x14ac:dyDescent="0.25">
      <c r="C2687" s="2" t="s">
        <v>14438</v>
      </c>
      <c r="D2687" s="2" t="s">
        <v>9</v>
      </c>
      <c r="E2687" s="2">
        <v>141</v>
      </c>
      <c r="F2687" s="2">
        <v>2838.25</v>
      </c>
    </row>
    <row r="2688" spans="3:6" x14ac:dyDescent="0.25">
      <c r="C2688" s="2" t="s">
        <v>14439</v>
      </c>
      <c r="D2688" s="2" t="s">
        <v>9</v>
      </c>
      <c r="E2688" s="2">
        <v>246</v>
      </c>
      <c r="F2688" s="2">
        <v>5045.54</v>
      </c>
    </row>
    <row r="2689" spans="3:6" x14ac:dyDescent="0.25">
      <c r="C2689" s="2" t="s">
        <v>14440</v>
      </c>
      <c r="D2689" s="2" t="s">
        <v>9</v>
      </c>
      <c r="E2689" s="2">
        <v>135</v>
      </c>
      <c r="F2689" s="2">
        <v>2230.929</v>
      </c>
    </row>
    <row r="2690" spans="3:6" x14ac:dyDescent="0.25">
      <c r="C2690" s="2" t="s">
        <v>14441</v>
      </c>
      <c r="D2690" s="2" t="s">
        <v>9</v>
      </c>
      <c r="E2690" s="2">
        <v>141</v>
      </c>
      <c r="F2690" s="2">
        <v>2850.69</v>
      </c>
    </row>
    <row r="2691" spans="3:6" x14ac:dyDescent="0.25">
      <c r="C2691" s="2" t="s">
        <v>14442</v>
      </c>
      <c r="D2691" s="2" t="s">
        <v>9</v>
      </c>
      <c r="E2691" s="2">
        <v>141</v>
      </c>
      <c r="F2691" s="2">
        <v>2894.449</v>
      </c>
    </row>
    <row r="2692" spans="3:6" x14ac:dyDescent="0.25">
      <c r="C2692" s="2" t="s">
        <v>14443</v>
      </c>
      <c r="D2692" s="2" t="s">
        <v>9</v>
      </c>
      <c r="E2692" s="2">
        <v>243</v>
      </c>
      <c r="F2692" s="2">
        <v>5107.7</v>
      </c>
    </row>
    <row r="2693" spans="3:6" x14ac:dyDescent="0.25">
      <c r="C2693" s="2" t="s">
        <v>14444</v>
      </c>
      <c r="D2693" s="2" t="s">
        <v>9</v>
      </c>
      <c r="E2693" s="2">
        <v>282</v>
      </c>
      <c r="F2693" s="2">
        <v>5666.529</v>
      </c>
    </row>
    <row r="2694" spans="3:6" x14ac:dyDescent="0.25">
      <c r="C2694" s="2" t="s">
        <v>14445</v>
      </c>
      <c r="D2694" s="2" t="s">
        <v>9</v>
      </c>
      <c r="E2694" s="2">
        <v>141</v>
      </c>
      <c r="F2694" s="2">
        <v>3027.29</v>
      </c>
    </row>
    <row r="2695" spans="3:6" x14ac:dyDescent="0.25">
      <c r="C2695" s="2" t="s">
        <v>14446</v>
      </c>
      <c r="D2695" s="2" t="s">
        <v>9</v>
      </c>
      <c r="E2695" s="2">
        <v>141</v>
      </c>
      <c r="F2695" s="2">
        <v>2822.269</v>
      </c>
    </row>
    <row r="2696" spans="3:6" x14ac:dyDescent="0.25">
      <c r="C2696" s="2" t="s">
        <v>14447</v>
      </c>
      <c r="D2696" s="2" t="s">
        <v>9</v>
      </c>
      <c r="E2696" s="2">
        <v>141</v>
      </c>
      <c r="F2696" s="2">
        <v>2910.21</v>
      </c>
    </row>
    <row r="2697" spans="3:6" x14ac:dyDescent="0.25">
      <c r="C2697" s="2" t="s">
        <v>14448</v>
      </c>
      <c r="D2697" s="2" t="s">
        <v>9</v>
      </c>
      <c r="E2697" s="2">
        <v>77</v>
      </c>
      <c r="F2697" s="2">
        <v>1542.4</v>
      </c>
    </row>
    <row r="2698" spans="3:6" x14ac:dyDescent="0.25">
      <c r="C2698" s="2" t="s">
        <v>14449</v>
      </c>
      <c r="D2698" s="2" t="s">
        <v>9</v>
      </c>
      <c r="E2698" s="2">
        <v>64</v>
      </c>
      <c r="F2698" s="2">
        <v>1261.509</v>
      </c>
    </row>
    <row r="2699" spans="3:6" x14ac:dyDescent="0.25">
      <c r="C2699" s="2" t="s">
        <v>14450</v>
      </c>
      <c r="D2699" s="2" t="s">
        <v>9</v>
      </c>
      <c r="E2699" s="2">
        <v>21</v>
      </c>
      <c r="F2699" s="2">
        <v>300.749</v>
      </c>
    </row>
    <row r="2700" spans="3:6" x14ac:dyDescent="0.25">
      <c r="C2700" s="2" t="s">
        <v>14451</v>
      </c>
      <c r="D2700" s="2" t="s">
        <v>9</v>
      </c>
      <c r="E2700" s="2">
        <v>45</v>
      </c>
      <c r="F2700" s="2">
        <v>910.33</v>
      </c>
    </row>
    <row r="2701" spans="3:6" x14ac:dyDescent="0.25">
      <c r="C2701" s="2" t="s">
        <v>14452</v>
      </c>
      <c r="D2701" s="2" t="s">
        <v>9</v>
      </c>
      <c r="E2701" s="2">
        <v>11</v>
      </c>
      <c r="F2701" s="2">
        <v>105.4</v>
      </c>
    </row>
    <row r="2702" spans="3:6" x14ac:dyDescent="0.25">
      <c r="C2702" s="2" t="s">
        <v>14453</v>
      </c>
      <c r="D2702" s="2" t="s">
        <v>9</v>
      </c>
      <c r="E2702" s="2">
        <v>141</v>
      </c>
      <c r="F2702" s="2">
        <v>2863.51</v>
      </c>
    </row>
    <row r="2703" spans="3:6" x14ac:dyDescent="0.25">
      <c r="C2703" s="2" t="s">
        <v>14454</v>
      </c>
      <c r="D2703" s="2" t="s">
        <v>9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10</v>
      </c>
      <c r="C2705" s="2" t="s">
        <v>14455</v>
      </c>
      <c r="D2705" s="2" t="s">
        <v>12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14456</v>
      </c>
      <c r="D2706" s="2" t="s">
        <v>12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12270</v>
      </c>
      <c r="C2708" s="2" t="s">
        <v>14457</v>
      </c>
      <c r="D2708" s="2" t="s">
        <v>12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14458</v>
      </c>
      <c r="D2709" s="2" t="s">
        <v>12</v>
      </c>
      <c r="E2709" s="2">
        <v>140</v>
      </c>
      <c r="F2709" s="2">
        <v>2953.55</v>
      </c>
    </row>
    <row r="2710" spans="3:6" x14ac:dyDescent="0.25">
      <c r="C2710" s="2" t="s">
        <v>14459</v>
      </c>
      <c r="D2710" s="2" t="s">
        <v>12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183</v>
      </c>
      <c r="C2712" s="2" t="s">
        <v>14460</v>
      </c>
      <c r="D2712" s="2" t="s">
        <v>122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14461</v>
      </c>
      <c r="D2713" s="2" t="s">
        <v>122</v>
      </c>
      <c r="E2713" s="2">
        <v>94</v>
      </c>
      <c r="F2713" s="2">
        <v>1856.2</v>
      </c>
    </row>
    <row r="2714" spans="3:6" x14ac:dyDescent="0.25">
      <c r="C2714" s="2" t="s">
        <v>14462</v>
      </c>
      <c r="D2714" s="2" t="s">
        <v>122</v>
      </c>
      <c r="E2714" s="2">
        <v>13</v>
      </c>
      <c r="F2714" s="2">
        <v>264.05</v>
      </c>
    </row>
    <row r="2715" spans="3:6" x14ac:dyDescent="0.25">
      <c r="C2715" s="2" t="s">
        <v>14463</v>
      </c>
      <c r="D2715" s="2" t="s">
        <v>122</v>
      </c>
      <c r="E2715" s="2">
        <v>34</v>
      </c>
      <c r="F2715" s="2">
        <v>688.75</v>
      </c>
    </row>
    <row r="2716" spans="3:6" x14ac:dyDescent="0.25">
      <c r="C2716" s="2" t="s">
        <v>14464</v>
      </c>
      <c r="D2716" s="2" t="s">
        <v>122</v>
      </c>
      <c r="E2716" s="2">
        <v>76</v>
      </c>
      <c r="F2716" s="2">
        <v>2430.645</v>
      </c>
    </row>
    <row r="2717" spans="3:6" x14ac:dyDescent="0.25">
      <c r="C2717" s="2" t="s">
        <v>14465</v>
      </c>
      <c r="D2717" s="2" t="s">
        <v>122</v>
      </c>
      <c r="E2717" s="2">
        <v>76</v>
      </c>
      <c r="F2717" s="2">
        <v>2435.143</v>
      </c>
    </row>
    <row r="2718" spans="3:6" x14ac:dyDescent="0.25">
      <c r="C2718" s="2" t="s">
        <v>14466</v>
      </c>
      <c r="D2718" s="2" t="s">
        <v>122</v>
      </c>
      <c r="E2718" s="2">
        <v>86</v>
      </c>
      <c r="F2718" s="2">
        <v>1751.77</v>
      </c>
    </row>
    <row r="2719" spans="3:6" x14ac:dyDescent="0.25">
      <c r="C2719" s="2" t="s">
        <v>14467</v>
      </c>
      <c r="D2719" s="2" t="s">
        <v>122</v>
      </c>
      <c r="E2719" s="2">
        <v>16</v>
      </c>
      <c r="F2719" s="2">
        <v>329.89</v>
      </c>
    </row>
    <row r="2720" spans="3:6" x14ac:dyDescent="0.25">
      <c r="C2720" s="2" t="s">
        <v>14468</v>
      </c>
      <c r="D2720" s="2" t="s">
        <v>122</v>
      </c>
      <c r="E2720" s="2">
        <v>49</v>
      </c>
      <c r="F2720" s="2">
        <v>1002.91</v>
      </c>
    </row>
    <row r="2721" spans="3:6" x14ac:dyDescent="0.25">
      <c r="C2721" s="2" t="s">
        <v>14469</v>
      </c>
      <c r="D2721" s="2" t="s">
        <v>122</v>
      </c>
      <c r="E2721" s="2">
        <v>53</v>
      </c>
      <c r="F2721" s="2">
        <v>1029.55</v>
      </c>
    </row>
    <row r="2722" spans="3:6" x14ac:dyDescent="0.25">
      <c r="C2722" s="2" t="s">
        <v>14470</v>
      </c>
      <c r="D2722" s="2" t="s">
        <v>122</v>
      </c>
      <c r="E2722" s="2">
        <v>75</v>
      </c>
      <c r="F2722" s="2">
        <v>1487.81</v>
      </c>
    </row>
    <row r="2723" spans="3:6" x14ac:dyDescent="0.25">
      <c r="C2723" s="2" t="s">
        <v>14471</v>
      </c>
      <c r="D2723" s="2" t="s">
        <v>122</v>
      </c>
      <c r="E2723" s="2">
        <v>7</v>
      </c>
      <c r="F2723" s="2">
        <v>117.29</v>
      </c>
    </row>
    <row r="2724" spans="3:6" x14ac:dyDescent="0.25">
      <c r="C2724" s="2" t="s">
        <v>14472</v>
      </c>
      <c r="D2724" s="2" t="s">
        <v>122</v>
      </c>
      <c r="E2724" s="2">
        <v>26</v>
      </c>
      <c r="F2724" s="2">
        <v>142.473</v>
      </c>
    </row>
    <row r="2725" spans="3:6" x14ac:dyDescent="0.25">
      <c r="C2725" s="2" t="s">
        <v>14473</v>
      </c>
      <c r="D2725" s="2" t="s">
        <v>122</v>
      </c>
      <c r="E2725" s="2">
        <v>30</v>
      </c>
      <c r="F2725" s="2">
        <v>572.129</v>
      </c>
    </row>
    <row r="2726" spans="3:6" x14ac:dyDescent="0.25">
      <c r="C2726" s="2" t="s">
        <v>14474</v>
      </c>
      <c r="D2726" s="2" t="s">
        <v>122</v>
      </c>
      <c r="E2726" s="2">
        <v>30</v>
      </c>
      <c r="F2726" s="2">
        <v>546.39</v>
      </c>
    </row>
    <row r="2727" spans="3:6" x14ac:dyDescent="0.25">
      <c r="C2727" s="2" t="s">
        <v>14475</v>
      </c>
      <c r="D2727" s="2" t="s">
        <v>122</v>
      </c>
      <c r="E2727" s="2">
        <v>24</v>
      </c>
      <c r="F2727" s="2">
        <v>446.52</v>
      </c>
    </row>
    <row r="2728" spans="3:6" x14ac:dyDescent="0.25">
      <c r="C2728" s="2" t="s">
        <v>14476</v>
      </c>
      <c r="D2728" s="2" t="s">
        <v>122</v>
      </c>
      <c r="E2728" s="2">
        <v>56</v>
      </c>
      <c r="F2728" s="2">
        <v>1168.89</v>
      </c>
    </row>
    <row r="2729" spans="3:6" x14ac:dyDescent="0.25">
      <c r="C2729" s="2" t="s">
        <v>14477</v>
      </c>
      <c r="D2729" s="2" t="s">
        <v>122</v>
      </c>
      <c r="E2729" s="2">
        <v>31</v>
      </c>
      <c r="F2729" s="2">
        <v>669.279</v>
      </c>
    </row>
    <row r="2730" spans="3:6" x14ac:dyDescent="0.25">
      <c r="C2730" s="2" t="s">
        <v>14478</v>
      </c>
      <c r="D2730" s="2" t="s">
        <v>122</v>
      </c>
      <c r="E2730" s="2">
        <v>15</v>
      </c>
      <c r="F2730" s="2">
        <v>306.77</v>
      </c>
    </row>
    <row r="2731" spans="3:6" x14ac:dyDescent="0.25">
      <c r="C2731" s="2" t="s">
        <v>14479</v>
      </c>
      <c r="D2731" s="2" t="s">
        <v>122</v>
      </c>
      <c r="E2731" s="2">
        <v>35</v>
      </c>
      <c r="F2731" s="2">
        <v>730.25</v>
      </c>
    </row>
    <row r="2732" spans="3:6" x14ac:dyDescent="0.25">
      <c r="C2732" s="2" t="s">
        <v>14480</v>
      </c>
      <c r="D2732" s="2" t="s">
        <v>122</v>
      </c>
      <c r="E2732" s="2">
        <v>49</v>
      </c>
      <c r="F2732" s="2">
        <v>1029.89</v>
      </c>
    </row>
    <row r="2733" spans="3:6" x14ac:dyDescent="0.25">
      <c r="C2733" s="2" t="s">
        <v>14481</v>
      </c>
      <c r="D2733" s="2" t="s">
        <v>122</v>
      </c>
      <c r="E2733" s="2">
        <v>18</v>
      </c>
      <c r="F2733" s="2">
        <v>394.23</v>
      </c>
    </row>
    <row r="2734" spans="3:6" x14ac:dyDescent="0.25">
      <c r="C2734" s="2" t="s">
        <v>14482</v>
      </c>
      <c r="D2734" s="2" t="s">
        <v>122</v>
      </c>
      <c r="E2734" s="2">
        <v>89</v>
      </c>
      <c r="F2734" s="2">
        <v>1818.76</v>
      </c>
    </row>
    <row r="2735" spans="3:6" x14ac:dyDescent="0.25">
      <c r="C2735" s="2" t="s">
        <v>14483</v>
      </c>
      <c r="D2735" s="2" t="s">
        <v>122</v>
      </c>
      <c r="E2735" s="2">
        <v>32</v>
      </c>
      <c r="F2735" s="2">
        <v>643.5</v>
      </c>
    </row>
    <row r="2736" spans="3:6" x14ac:dyDescent="0.25">
      <c r="C2736" s="2" t="s">
        <v>14484</v>
      </c>
      <c r="D2736" s="2" t="s">
        <v>122</v>
      </c>
      <c r="E2736" s="2">
        <v>62</v>
      </c>
      <c r="F2736" s="2">
        <v>1178.99</v>
      </c>
    </row>
    <row r="2737" spans="3:6" x14ac:dyDescent="0.25">
      <c r="C2737" s="2" t="s">
        <v>14485</v>
      </c>
      <c r="D2737" s="2" t="s">
        <v>122</v>
      </c>
      <c r="E2737" s="2">
        <v>60</v>
      </c>
      <c r="F2737" s="2">
        <v>1199.71</v>
      </c>
    </row>
    <row r="2738" spans="3:6" x14ac:dyDescent="0.25">
      <c r="C2738" s="2" t="s">
        <v>14486</v>
      </c>
      <c r="D2738" s="2" t="s">
        <v>122</v>
      </c>
      <c r="E2738" s="2">
        <v>61</v>
      </c>
      <c r="F2738" s="2">
        <v>1217</v>
      </c>
    </row>
    <row r="2739" spans="3:6" x14ac:dyDescent="0.25">
      <c r="C2739" s="2" t="s">
        <v>14487</v>
      </c>
      <c r="D2739" s="2" t="s">
        <v>122</v>
      </c>
      <c r="E2739" s="2">
        <v>61</v>
      </c>
      <c r="F2739" s="2">
        <v>1192.47</v>
      </c>
    </row>
    <row r="2740" spans="3:6" x14ac:dyDescent="0.25">
      <c r="C2740" s="2" t="s">
        <v>14488</v>
      </c>
      <c r="D2740" s="2" t="s">
        <v>122</v>
      </c>
      <c r="E2740" s="2">
        <v>75</v>
      </c>
      <c r="F2740" s="2">
        <v>337.389</v>
      </c>
    </row>
    <row r="2741" spans="3:6" x14ac:dyDescent="0.25">
      <c r="C2741" s="2" t="s">
        <v>14489</v>
      </c>
      <c r="D2741" s="2" t="s">
        <v>122</v>
      </c>
      <c r="E2741" s="2">
        <v>87</v>
      </c>
      <c r="F2741" s="2">
        <v>1779.67</v>
      </c>
    </row>
    <row r="2742" spans="3:6" x14ac:dyDescent="0.25">
      <c r="C2742" s="2" t="s">
        <v>14490</v>
      </c>
      <c r="D2742" s="2" t="s">
        <v>122</v>
      </c>
      <c r="E2742" s="2">
        <v>54</v>
      </c>
      <c r="F2742" s="2">
        <v>1084.84</v>
      </c>
    </row>
    <row r="2743" spans="3:6" x14ac:dyDescent="0.25">
      <c r="C2743" s="2" t="s">
        <v>14491</v>
      </c>
      <c r="D2743" s="2" t="s">
        <v>122</v>
      </c>
      <c r="E2743" s="2">
        <v>47</v>
      </c>
      <c r="F2743" s="2">
        <v>897.89</v>
      </c>
    </row>
    <row r="2744" spans="3:6" x14ac:dyDescent="0.25">
      <c r="C2744" s="2" t="s">
        <v>14492</v>
      </c>
      <c r="D2744" s="2" t="s">
        <v>122</v>
      </c>
      <c r="E2744" s="2">
        <v>38</v>
      </c>
      <c r="F2744" s="2">
        <v>801.89</v>
      </c>
    </row>
    <row r="2745" spans="3:6" x14ac:dyDescent="0.25">
      <c r="C2745" s="2" t="s">
        <v>14493</v>
      </c>
      <c r="D2745" s="2" t="s">
        <v>122</v>
      </c>
      <c r="E2745" s="2">
        <v>56</v>
      </c>
      <c r="F2745" s="2">
        <v>1013.34</v>
      </c>
    </row>
    <row r="2746" spans="3:6" x14ac:dyDescent="0.25">
      <c r="C2746" s="2" t="s">
        <v>14494</v>
      </c>
      <c r="D2746" s="2" t="s">
        <v>122</v>
      </c>
      <c r="E2746" s="2">
        <v>81</v>
      </c>
      <c r="F2746" s="2">
        <v>1481.99</v>
      </c>
    </row>
    <row r="2747" spans="3:6" x14ac:dyDescent="0.25">
      <c r="C2747" s="2" t="s">
        <v>14495</v>
      </c>
      <c r="D2747" s="2" t="s">
        <v>122</v>
      </c>
      <c r="E2747" s="2">
        <v>13</v>
      </c>
      <c r="F2747" s="2">
        <v>199.913</v>
      </c>
    </row>
    <row r="2748" spans="3:6" x14ac:dyDescent="0.25">
      <c r="C2748" s="2" t="s">
        <v>14496</v>
      </c>
      <c r="D2748" s="2" t="s">
        <v>122</v>
      </c>
      <c r="E2748" s="2">
        <v>39</v>
      </c>
      <c r="F2748" s="2">
        <v>662.91</v>
      </c>
    </row>
    <row r="2749" spans="3:6" x14ac:dyDescent="0.25">
      <c r="C2749" s="2" t="s">
        <v>14497</v>
      </c>
      <c r="D2749" s="2" t="s">
        <v>122</v>
      </c>
      <c r="E2749" s="2">
        <v>141</v>
      </c>
      <c r="F2749" s="2">
        <v>2954.11</v>
      </c>
    </row>
    <row r="2750" spans="3:6" x14ac:dyDescent="0.25">
      <c r="C2750" s="2" t="s">
        <v>14498</v>
      </c>
      <c r="D2750" s="2" t="s">
        <v>122</v>
      </c>
      <c r="E2750" s="2">
        <v>141</v>
      </c>
      <c r="F2750" s="2">
        <v>2899.64</v>
      </c>
    </row>
    <row r="2751" spans="3:6" x14ac:dyDescent="0.25">
      <c r="C2751" s="2" t="s">
        <v>14499</v>
      </c>
      <c r="D2751" s="2" t="s">
        <v>122</v>
      </c>
      <c r="E2751" s="2">
        <v>141</v>
      </c>
      <c r="F2751" s="2">
        <v>2841.35</v>
      </c>
    </row>
    <row r="2752" spans="3:6" x14ac:dyDescent="0.25">
      <c r="C2752" s="2" t="s">
        <v>14500</v>
      </c>
      <c r="D2752" s="2" t="s">
        <v>122</v>
      </c>
      <c r="E2752" s="2">
        <v>141</v>
      </c>
      <c r="F2752" s="2">
        <v>2918.42</v>
      </c>
    </row>
    <row r="2753" spans="3:6" x14ac:dyDescent="0.25">
      <c r="C2753" s="2" t="s">
        <v>14501</v>
      </c>
      <c r="D2753" s="2" t="s">
        <v>122</v>
      </c>
      <c r="E2753" s="2">
        <v>42</v>
      </c>
      <c r="F2753" s="2">
        <v>860.85</v>
      </c>
    </row>
    <row r="2754" spans="3:6" x14ac:dyDescent="0.25">
      <c r="C2754" s="2" t="s">
        <v>14502</v>
      </c>
      <c r="D2754" s="2" t="s">
        <v>122</v>
      </c>
      <c r="E2754" s="2">
        <v>99</v>
      </c>
      <c r="F2754" s="2">
        <v>1996.72</v>
      </c>
    </row>
    <row r="2755" spans="3:6" x14ac:dyDescent="0.25">
      <c r="C2755" s="2" t="s">
        <v>14503</v>
      </c>
      <c r="D2755" s="2" t="s">
        <v>122</v>
      </c>
      <c r="E2755" s="2">
        <v>88</v>
      </c>
      <c r="F2755" s="2">
        <v>1909.992</v>
      </c>
    </row>
    <row r="2756" spans="3:6" x14ac:dyDescent="0.25">
      <c r="C2756" s="2" t="s">
        <v>14504</v>
      </c>
      <c r="D2756" s="2" t="s">
        <v>122</v>
      </c>
      <c r="E2756" s="2">
        <v>68</v>
      </c>
      <c r="F2756" s="2">
        <v>1413.88</v>
      </c>
    </row>
    <row r="2757" spans="3:6" x14ac:dyDescent="0.25">
      <c r="C2757" s="2" t="s">
        <v>14505</v>
      </c>
      <c r="D2757" s="2" t="s">
        <v>122</v>
      </c>
      <c r="E2757" s="2">
        <v>10</v>
      </c>
      <c r="F2757" s="2">
        <v>204.3</v>
      </c>
    </row>
    <row r="2758" spans="3:6" x14ac:dyDescent="0.25">
      <c r="C2758" s="2" t="s">
        <v>14506</v>
      </c>
      <c r="D2758" s="2" t="s">
        <v>122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32</v>
      </c>
      <c r="C2760" s="2" t="s">
        <v>14507</v>
      </c>
      <c r="D2760" s="2" t="s">
        <v>20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14508</v>
      </c>
      <c r="D2761" s="2" t="s">
        <v>20</v>
      </c>
      <c r="E2761" s="2">
        <v>344</v>
      </c>
      <c r="F2761" s="2">
        <v>4773.607</v>
      </c>
    </row>
    <row r="2762" spans="3:6" x14ac:dyDescent="0.25">
      <c r="C2762" s="2" t="s">
        <v>14509</v>
      </c>
      <c r="D2762" s="2" t="s">
        <v>20</v>
      </c>
      <c r="E2762" s="2">
        <v>195</v>
      </c>
      <c r="F2762" s="2">
        <v>4247.06</v>
      </c>
    </row>
    <row r="2763" spans="3:6" x14ac:dyDescent="0.25">
      <c r="C2763" s="2" t="s">
        <v>14510</v>
      </c>
      <c r="D2763" s="2" t="s">
        <v>20</v>
      </c>
      <c r="E2763" s="2">
        <v>244</v>
      </c>
      <c r="F2763" s="2">
        <v>5301.929</v>
      </c>
    </row>
    <row r="2764" spans="3:6" x14ac:dyDescent="0.25">
      <c r="C2764" s="2" t="s">
        <v>14511</v>
      </c>
      <c r="D2764" s="2" t="s">
        <v>20</v>
      </c>
      <c r="E2764" s="2">
        <v>251</v>
      </c>
      <c r="F2764" s="2">
        <v>4768.646</v>
      </c>
    </row>
    <row r="2765" spans="3:6" x14ac:dyDescent="0.25">
      <c r="C2765" s="2" t="s">
        <v>14512</v>
      </c>
      <c r="D2765" s="2" t="s">
        <v>20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324</v>
      </c>
      <c r="C2767" s="2" t="s">
        <v>14513</v>
      </c>
      <c r="D2767" s="2" t="s">
        <v>122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14514</v>
      </c>
      <c r="D2768" s="2" t="s">
        <v>122</v>
      </c>
      <c r="E2768" s="2">
        <v>61</v>
      </c>
      <c r="F2768" s="2">
        <v>1248</v>
      </c>
    </row>
    <row r="2769" spans="3:6" x14ac:dyDescent="0.25">
      <c r="C2769" s="2" t="s">
        <v>14515</v>
      </c>
      <c r="D2769" s="2" t="s">
        <v>122</v>
      </c>
      <c r="E2769" s="2">
        <v>47</v>
      </c>
      <c r="F2769" s="2">
        <v>962.04</v>
      </c>
    </row>
    <row r="2770" spans="3:6" x14ac:dyDescent="0.25">
      <c r="C2770" s="2" t="s">
        <v>14516</v>
      </c>
      <c r="D2770" s="2" t="s">
        <v>122</v>
      </c>
      <c r="E2770" s="2">
        <v>60</v>
      </c>
      <c r="F2770" s="2">
        <v>1162.54</v>
      </c>
    </row>
    <row r="2771" spans="3:6" x14ac:dyDescent="0.25">
      <c r="C2771" s="2" t="s">
        <v>14517</v>
      </c>
      <c r="D2771" s="2" t="s">
        <v>122</v>
      </c>
      <c r="E2771" s="2">
        <v>34</v>
      </c>
      <c r="F2771" s="2">
        <v>677.99</v>
      </c>
    </row>
    <row r="2772" spans="3:6" x14ac:dyDescent="0.25">
      <c r="C2772" s="2" t="s">
        <v>14518</v>
      </c>
      <c r="D2772" s="2" t="s">
        <v>122</v>
      </c>
      <c r="E2772" s="2">
        <v>40</v>
      </c>
      <c r="F2772" s="2">
        <v>802.545</v>
      </c>
    </row>
    <row r="2773" spans="3:6" x14ac:dyDescent="0.25">
      <c r="C2773" s="2" t="s">
        <v>14519</v>
      </c>
      <c r="D2773" s="2" t="s">
        <v>122</v>
      </c>
      <c r="E2773" s="2">
        <v>28</v>
      </c>
      <c r="F2773" s="2">
        <v>562.94</v>
      </c>
    </row>
    <row r="2774" spans="3:6" x14ac:dyDescent="0.25">
      <c r="C2774" s="2" t="s">
        <v>14520</v>
      </c>
      <c r="D2774" s="2" t="s">
        <v>122</v>
      </c>
      <c r="E2774" s="2">
        <v>73</v>
      </c>
      <c r="F2774" s="2">
        <v>1422.21</v>
      </c>
    </row>
    <row r="2775" spans="3:6" x14ac:dyDescent="0.25">
      <c r="C2775" s="2" t="s">
        <v>14521</v>
      </c>
      <c r="D2775" s="2" t="s">
        <v>122</v>
      </c>
      <c r="E2775" s="2">
        <v>22</v>
      </c>
      <c r="F2775" s="2">
        <v>439.589</v>
      </c>
    </row>
    <row r="2776" spans="3:6" x14ac:dyDescent="0.25">
      <c r="C2776" s="2" t="s">
        <v>14522</v>
      </c>
      <c r="D2776" s="2" t="s">
        <v>122</v>
      </c>
      <c r="E2776" s="2">
        <v>20</v>
      </c>
      <c r="F2776" s="2">
        <v>382.6</v>
      </c>
    </row>
    <row r="2777" spans="3:6" x14ac:dyDescent="0.25">
      <c r="C2777" s="2" t="s">
        <v>14523</v>
      </c>
      <c r="D2777" s="2" t="s">
        <v>122</v>
      </c>
      <c r="E2777" s="2">
        <v>22</v>
      </c>
      <c r="F2777" s="2">
        <v>426.58</v>
      </c>
    </row>
    <row r="2778" spans="3:6" x14ac:dyDescent="0.25">
      <c r="C2778" s="2" t="s">
        <v>14524</v>
      </c>
      <c r="D2778" s="2" t="s">
        <v>122</v>
      </c>
      <c r="E2778" s="2">
        <v>39</v>
      </c>
      <c r="F2778" s="2">
        <v>753.9</v>
      </c>
    </row>
    <row r="2779" spans="3:6" x14ac:dyDescent="0.25">
      <c r="C2779" s="2" t="s">
        <v>14525</v>
      </c>
      <c r="D2779" s="2" t="s">
        <v>122</v>
      </c>
      <c r="E2779" s="2">
        <v>38</v>
      </c>
      <c r="F2779" s="2">
        <v>793.279</v>
      </c>
    </row>
    <row r="2780" spans="3:6" x14ac:dyDescent="0.25">
      <c r="C2780" s="2" t="s">
        <v>14526</v>
      </c>
      <c r="D2780" s="2" t="s">
        <v>122</v>
      </c>
      <c r="E2780" s="2">
        <v>43</v>
      </c>
      <c r="F2780" s="2">
        <v>847.71</v>
      </c>
    </row>
    <row r="2781" spans="3:6" x14ac:dyDescent="0.25">
      <c r="C2781" s="2" t="s">
        <v>14527</v>
      </c>
      <c r="D2781" s="2" t="s">
        <v>122</v>
      </c>
      <c r="E2781" s="2">
        <v>35</v>
      </c>
      <c r="F2781" s="2">
        <v>693.729</v>
      </c>
    </row>
    <row r="2782" spans="3:6" x14ac:dyDescent="0.25">
      <c r="C2782" s="2" t="s">
        <v>14528</v>
      </c>
      <c r="D2782" s="2" t="s">
        <v>122</v>
      </c>
      <c r="E2782" s="2">
        <v>19</v>
      </c>
      <c r="F2782" s="2">
        <v>130.72</v>
      </c>
    </row>
    <row r="2783" spans="3:6" x14ac:dyDescent="0.25">
      <c r="C2783" s="2" t="s">
        <v>14529</v>
      </c>
      <c r="D2783" s="2" t="s">
        <v>122</v>
      </c>
      <c r="E2783" s="2">
        <v>141</v>
      </c>
      <c r="F2783" s="2">
        <v>2866.98</v>
      </c>
    </row>
    <row r="2784" spans="3:6" x14ac:dyDescent="0.25">
      <c r="C2784" s="2" t="s">
        <v>14530</v>
      </c>
      <c r="D2784" s="2" t="s">
        <v>122</v>
      </c>
      <c r="E2784" s="2">
        <v>141</v>
      </c>
      <c r="F2784" s="2">
        <v>2814.629</v>
      </c>
    </row>
    <row r="2785" spans="3:6" x14ac:dyDescent="0.25">
      <c r="C2785" s="2" t="s">
        <v>14531</v>
      </c>
      <c r="D2785" s="2" t="s">
        <v>122</v>
      </c>
      <c r="E2785" s="2">
        <v>141</v>
      </c>
      <c r="F2785" s="2">
        <v>2768.41</v>
      </c>
    </row>
    <row r="2786" spans="3:6" x14ac:dyDescent="0.25">
      <c r="C2786" s="2" t="s">
        <v>14532</v>
      </c>
      <c r="D2786" s="2" t="s">
        <v>122</v>
      </c>
      <c r="E2786" s="2">
        <v>121</v>
      </c>
      <c r="F2786" s="2">
        <v>2399.118</v>
      </c>
    </row>
    <row r="2787" spans="3:6" x14ac:dyDescent="0.25">
      <c r="C2787" s="2" t="s">
        <v>14533</v>
      </c>
      <c r="D2787" s="2" t="s">
        <v>122</v>
      </c>
      <c r="E2787" s="2">
        <v>121</v>
      </c>
      <c r="F2787" s="2">
        <v>2411.12</v>
      </c>
    </row>
    <row r="2788" spans="3:6" x14ac:dyDescent="0.25">
      <c r="C2788" s="2" t="s">
        <v>14534</v>
      </c>
      <c r="D2788" s="2" t="s">
        <v>122</v>
      </c>
      <c r="E2788" s="2">
        <v>29</v>
      </c>
      <c r="F2788" s="2">
        <v>552.51</v>
      </c>
    </row>
    <row r="2789" spans="3:6" x14ac:dyDescent="0.25">
      <c r="C2789" s="2" t="s">
        <v>14535</v>
      </c>
      <c r="D2789" s="2" t="s">
        <v>122</v>
      </c>
      <c r="E2789" s="2">
        <v>25</v>
      </c>
      <c r="F2789" s="2">
        <v>445.24</v>
      </c>
    </row>
    <row r="2790" spans="3:6" x14ac:dyDescent="0.25">
      <c r="C2790" s="2" t="s">
        <v>14536</v>
      </c>
      <c r="D2790" s="2" t="s">
        <v>122</v>
      </c>
      <c r="E2790" s="2">
        <v>22</v>
      </c>
      <c r="F2790" s="2">
        <v>406.95</v>
      </c>
    </row>
    <row r="2791" spans="3:6" x14ac:dyDescent="0.25">
      <c r="C2791" s="2" t="s">
        <v>14537</v>
      </c>
      <c r="D2791" s="2" t="s">
        <v>122</v>
      </c>
      <c r="E2791" s="2">
        <v>18</v>
      </c>
      <c r="F2791" s="2">
        <v>377.78</v>
      </c>
    </row>
    <row r="2792" spans="3:6" x14ac:dyDescent="0.25">
      <c r="C2792" s="2" t="s">
        <v>14538</v>
      </c>
      <c r="D2792" s="2" t="s">
        <v>122</v>
      </c>
      <c r="E2792" s="2">
        <v>13</v>
      </c>
      <c r="F2792" s="2">
        <v>247.31</v>
      </c>
    </row>
    <row r="2793" spans="3:6" x14ac:dyDescent="0.25">
      <c r="C2793" s="2" t="s">
        <v>14539</v>
      </c>
      <c r="D2793" s="2" t="s">
        <v>122</v>
      </c>
      <c r="E2793" s="2">
        <v>12</v>
      </c>
      <c r="F2793" s="2">
        <v>224.409</v>
      </c>
    </row>
    <row r="2794" spans="3:6" x14ac:dyDescent="0.25">
      <c r="C2794" s="2" t="s">
        <v>14540</v>
      </c>
      <c r="D2794" s="2" t="s">
        <v>122</v>
      </c>
      <c r="E2794" s="2">
        <v>14</v>
      </c>
      <c r="F2794" s="2">
        <v>310.69</v>
      </c>
    </row>
    <row r="2795" spans="3:6" x14ac:dyDescent="0.25">
      <c r="C2795" s="2" t="s">
        <v>14541</v>
      </c>
      <c r="D2795" s="2" t="s">
        <v>122</v>
      </c>
      <c r="E2795" s="2">
        <v>86</v>
      </c>
      <c r="F2795" s="2">
        <v>2699.618</v>
      </c>
    </row>
    <row r="2796" spans="3:6" x14ac:dyDescent="0.25">
      <c r="C2796" s="2" t="s">
        <v>14542</v>
      </c>
      <c r="D2796" s="2" t="s">
        <v>122</v>
      </c>
      <c r="E2796" s="2">
        <v>27</v>
      </c>
      <c r="F2796" s="2">
        <v>519.02</v>
      </c>
    </row>
    <row r="2797" spans="3:6" x14ac:dyDescent="0.25">
      <c r="C2797" s="2" t="s">
        <v>14543</v>
      </c>
      <c r="D2797" s="2" t="s">
        <v>122</v>
      </c>
      <c r="E2797" s="2">
        <v>98</v>
      </c>
      <c r="F2797" s="2">
        <v>1504.812</v>
      </c>
    </row>
    <row r="2798" spans="3:6" x14ac:dyDescent="0.25">
      <c r="C2798" s="2" t="s">
        <v>14544</v>
      </c>
      <c r="D2798" s="2" t="s">
        <v>122</v>
      </c>
      <c r="E2798" s="2">
        <v>76</v>
      </c>
      <c r="F2798" s="2">
        <v>1962.158</v>
      </c>
    </row>
    <row r="2799" spans="3:6" x14ac:dyDescent="0.25">
      <c r="C2799" s="2" t="s">
        <v>14545</v>
      </c>
      <c r="D2799" s="2" t="s">
        <v>122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2196</v>
      </c>
      <c r="C2801" s="2" t="s">
        <v>14546</v>
      </c>
      <c r="D2801" s="2" t="s">
        <v>9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14547</v>
      </c>
      <c r="D2802" s="2" t="s">
        <v>9</v>
      </c>
      <c r="E2802" s="2">
        <v>123</v>
      </c>
      <c r="F2802" s="2">
        <v>2391.05</v>
      </c>
    </row>
    <row r="2803" spans="3:6" x14ac:dyDescent="0.25">
      <c r="C2803" s="2" t="s">
        <v>14548</v>
      </c>
      <c r="D2803" s="2" t="s">
        <v>9</v>
      </c>
      <c r="E2803" s="2">
        <v>123</v>
      </c>
      <c r="F2803" s="2">
        <v>2478.77</v>
      </c>
    </row>
    <row r="2804" spans="3:6" x14ac:dyDescent="0.25">
      <c r="C2804" s="2" t="s">
        <v>14549</v>
      </c>
      <c r="D2804" s="2" t="s">
        <v>9</v>
      </c>
      <c r="E2804" s="2">
        <v>135</v>
      </c>
      <c r="F2804" s="2">
        <v>2630.699</v>
      </c>
    </row>
    <row r="2805" spans="3:6" x14ac:dyDescent="0.25">
      <c r="C2805" s="2" t="s">
        <v>14550</v>
      </c>
      <c r="D2805" s="2" t="s">
        <v>9</v>
      </c>
      <c r="E2805" s="2">
        <v>123</v>
      </c>
      <c r="F2805" s="2">
        <v>2271.948</v>
      </c>
    </row>
    <row r="2806" spans="3:6" x14ac:dyDescent="0.25">
      <c r="C2806" s="2" t="s">
        <v>14551</v>
      </c>
      <c r="D2806" s="2" t="s">
        <v>9</v>
      </c>
      <c r="E2806" s="2">
        <v>102</v>
      </c>
      <c r="F2806" s="2">
        <v>1958.13</v>
      </c>
    </row>
    <row r="2807" spans="3:6" x14ac:dyDescent="0.25">
      <c r="C2807" s="2" t="s">
        <v>14552</v>
      </c>
      <c r="D2807" s="2" t="s">
        <v>9</v>
      </c>
      <c r="E2807" s="2">
        <v>51</v>
      </c>
      <c r="F2807" s="2">
        <v>995.05</v>
      </c>
    </row>
    <row r="2808" spans="3:6" x14ac:dyDescent="0.25">
      <c r="C2808" s="2" t="s">
        <v>14553</v>
      </c>
      <c r="D2808" s="2" t="s">
        <v>9</v>
      </c>
      <c r="E2808" s="2">
        <v>51</v>
      </c>
      <c r="F2808" s="2">
        <v>956.589</v>
      </c>
    </row>
    <row r="2809" spans="3:6" x14ac:dyDescent="0.25">
      <c r="C2809" s="2" t="s">
        <v>14554</v>
      </c>
      <c r="D2809" s="2" t="s">
        <v>9</v>
      </c>
      <c r="E2809" s="2">
        <v>141</v>
      </c>
      <c r="F2809" s="2">
        <v>2982.11</v>
      </c>
    </row>
    <row r="2810" spans="3:6" x14ac:dyDescent="0.25">
      <c r="C2810" s="2" t="s">
        <v>14555</v>
      </c>
      <c r="D2810" s="2" t="s">
        <v>9</v>
      </c>
      <c r="E2810" s="2">
        <v>75</v>
      </c>
      <c r="F2810" s="2">
        <v>321.3</v>
      </c>
    </row>
    <row r="2811" spans="3:6" x14ac:dyDescent="0.25">
      <c r="C2811" s="2" t="s">
        <v>14556</v>
      </c>
      <c r="D2811" s="2" t="s">
        <v>9</v>
      </c>
      <c r="E2811" s="2">
        <v>282</v>
      </c>
      <c r="F2811" s="2">
        <v>5245.089</v>
      </c>
    </row>
    <row r="2812" spans="3:6" x14ac:dyDescent="0.25">
      <c r="C2812" s="2" t="s">
        <v>14557</v>
      </c>
      <c r="D2812" s="2" t="s">
        <v>9</v>
      </c>
      <c r="E2812" s="2">
        <v>226</v>
      </c>
      <c r="F2812" s="2">
        <v>4760.41</v>
      </c>
    </row>
    <row r="2813" spans="3:6" x14ac:dyDescent="0.25">
      <c r="C2813" s="2" t="s">
        <v>14558</v>
      </c>
      <c r="D2813" s="2" t="s">
        <v>9</v>
      </c>
      <c r="E2813" s="2">
        <v>11</v>
      </c>
      <c r="F2813" s="2">
        <v>162.18</v>
      </c>
    </row>
    <row r="2814" spans="3:6" x14ac:dyDescent="0.25">
      <c r="C2814" s="2" t="s">
        <v>14559</v>
      </c>
      <c r="D2814" s="2" t="s">
        <v>9</v>
      </c>
      <c r="E2814" s="2">
        <v>54</v>
      </c>
      <c r="F2814" s="2">
        <v>1007.64</v>
      </c>
    </row>
    <row r="2815" spans="3:6" x14ac:dyDescent="0.25">
      <c r="C2815" s="2" t="s">
        <v>14560</v>
      </c>
      <c r="D2815" s="2" t="s">
        <v>9</v>
      </c>
      <c r="E2815" s="2">
        <v>37</v>
      </c>
      <c r="F2815" s="2">
        <v>650.715</v>
      </c>
    </row>
    <row r="2816" spans="3:6" x14ac:dyDescent="0.25">
      <c r="C2816" s="2" t="s">
        <v>14561</v>
      </c>
      <c r="D2816" s="2" t="s">
        <v>9</v>
      </c>
      <c r="E2816" s="2">
        <v>102</v>
      </c>
      <c r="F2816" s="2">
        <v>2076.66</v>
      </c>
    </row>
    <row r="2817" spans="3:6" x14ac:dyDescent="0.25">
      <c r="C2817" s="2" t="s">
        <v>14562</v>
      </c>
      <c r="D2817" s="2" t="s">
        <v>9</v>
      </c>
      <c r="E2817" s="2">
        <v>282</v>
      </c>
      <c r="F2817" s="2">
        <v>5896.17</v>
      </c>
    </row>
    <row r="2818" spans="3:6" x14ac:dyDescent="0.25">
      <c r="C2818" s="2" t="s">
        <v>14563</v>
      </c>
      <c r="D2818" s="2" t="s">
        <v>9</v>
      </c>
      <c r="E2818" s="2">
        <v>243</v>
      </c>
      <c r="F2818" s="2">
        <v>5008.85</v>
      </c>
    </row>
    <row r="2819" spans="3:6" x14ac:dyDescent="0.25">
      <c r="C2819" s="2" t="s">
        <v>14564</v>
      </c>
      <c r="D2819" s="2" t="s">
        <v>9</v>
      </c>
      <c r="E2819" s="2">
        <v>282</v>
      </c>
      <c r="F2819" s="2">
        <v>6105.95</v>
      </c>
    </row>
    <row r="2820" spans="3:6" x14ac:dyDescent="0.25">
      <c r="C2820" s="2" t="s">
        <v>14565</v>
      </c>
      <c r="D2820" s="2" t="s">
        <v>9</v>
      </c>
      <c r="E2820" s="2">
        <v>141</v>
      </c>
      <c r="F2820" s="2">
        <v>2953.24</v>
      </c>
    </row>
    <row r="2821" spans="3:6" x14ac:dyDescent="0.25">
      <c r="C2821" s="2" t="s">
        <v>14566</v>
      </c>
      <c r="D2821" s="2" t="s">
        <v>9</v>
      </c>
      <c r="E2821" s="2">
        <v>141</v>
      </c>
      <c r="F2821" s="2">
        <v>2880.72</v>
      </c>
    </row>
    <row r="2822" spans="3:6" x14ac:dyDescent="0.25">
      <c r="C2822" s="2" t="s">
        <v>14567</v>
      </c>
      <c r="D2822" s="2" t="s">
        <v>9</v>
      </c>
      <c r="E2822" s="2">
        <v>80</v>
      </c>
      <c r="F2822" s="2">
        <v>1517.37</v>
      </c>
    </row>
    <row r="2823" spans="3:6" x14ac:dyDescent="0.25">
      <c r="C2823" s="2" t="s">
        <v>14568</v>
      </c>
      <c r="D2823" s="2" t="s">
        <v>9</v>
      </c>
      <c r="E2823" s="2">
        <v>61</v>
      </c>
      <c r="F2823" s="2">
        <v>1174.06</v>
      </c>
    </row>
    <row r="2824" spans="3:6" x14ac:dyDescent="0.25">
      <c r="C2824" s="2" t="s">
        <v>14569</v>
      </c>
      <c r="D2824" s="2" t="s">
        <v>9</v>
      </c>
      <c r="E2824" s="2">
        <v>102</v>
      </c>
      <c r="F2824" s="2">
        <v>1888.949</v>
      </c>
    </row>
    <row r="2825" spans="3:6" x14ac:dyDescent="0.25">
      <c r="C2825" s="2" t="s">
        <v>14570</v>
      </c>
      <c r="D2825" s="2" t="s">
        <v>9</v>
      </c>
      <c r="E2825" s="2">
        <v>141</v>
      </c>
      <c r="F2825" s="2">
        <v>2852.788</v>
      </c>
    </row>
    <row r="2826" spans="3:6" x14ac:dyDescent="0.25">
      <c r="C2826" s="2" t="s">
        <v>14571</v>
      </c>
      <c r="D2826" s="2" t="s">
        <v>9</v>
      </c>
      <c r="E2826" s="2">
        <v>24</v>
      </c>
      <c r="F2826" s="2">
        <v>391.76</v>
      </c>
    </row>
    <row r="2827" spans="3:6" x14ac:dyDescent="0.25">
      <c r="C2827" s="2" t="s">
        <v>14572</v>
      </c>
      <c r="D2827" s="2" t="s">
        <v>9</v>
      </c>
      <c r="E2827" s="2">
        <v>32</v>
      </c>
      <c r="F2827" s="2">
        <v>636.5</v>
      </c>
    </row>
    <row r="2828" spans="3:6" x14ac:dyDescent="0.25">
      <c r="C2828" s="2" t="s">
        <v>14573</v>
      </c>
      <c r="D2828" s="2" t="s">
        <v>9</v>
      </c>
      <c r="E2828" s="2">
        <v>20</v>
      </c>
      <c r="F2828" s="2">
        <v>389.8</v>
      </c>
    </row>
    <row r="2829" spans="3:6" x14ac:dyDescent="0.25">
      <c r="C2829" s="2" t="s">
        <v>14574</v>
      </c>
      <c r="D2829" s="2" t="s">
        <v>9</v>
      </c>
      <c r="E2829" s="2">
        <v>141</v>
      </c>
      <c r="F2829" s="2">
        <v>2931.279</v>
      </c>
    </row>
    <row r="2830" spans="3:6" x14ac:dyDescent="0.25">
      <c r="C2830" s="2" t="s">
        <v>14575</v>
      </c>
      <c r="D2830" s="2" t="s">
        <v>9</v>
      </c>
      <c r="E2830" s="2">
        <v>141</v>
      </c>
      <c r="F2830" s="2">
        <v>2937.97</v>
      </c>
    </row>
    <row r="2831" spans="3:6" x14ac:dyDescent="0.25">
      <c r="C2831" s="2" t="s">
        <v>14576</v>
      </c>
      <c r="D2831" s="2" t="s">
        <v>9</v>
      </c>
      <c r="E2831" s="2">
        <v>109</v>
      </c>
      <c r="F2831" s="2">
        <v>2161.99</v>
      </c>
    </row>
    <row r="2832" spans="3:6" x14ac:dyDescent="0.25">
      <c r="C2832" s="2" t="s">
        <v>14577</v>
      </c>
      <c r="D2832" s="2" t="s">
        <v>9</v>
      </c>
      <c r="E2832" s="2">
        <v>32</v>
      </c>
      <c r="F2832" s="2">
        <v>645.62</v>
      </c>
    </row>
    <row r="2833" spans="3:6" x14ac:dyDescent="0.25">
      <c r="C2833" s="2" t="s">
        <v>14578</v>
      </c>
      <c r="D2833" s="2" t="s">
        <v>9</v>
      </c>
      <c r="E2833" s="2">
        <v>68</v>
      </c>
      <c r="F2833" s="2">
        <v>1329.059</v>
      </c>
    </row>
    <row r="2834" spans="3:6" x14ac:dyDescent="0.25">
      <c r="C2834" s="2" t="s">
        <v>14579</v>
      </c>
      <c r="D2834" s="2" t="s">
        <v>9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120</v>
      </c>
      <c r="C2836" s="2" t="s">
        <v>14580</v>
      </c>
      <c r="D2836" s="2" t="s">
        <v>122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14581</v>
      </c>
      <c r="D2837" s="2" t="s">
        <v>122</v>
      </c>
      <c r="E2837" s="2">
        <v>76</v>
      </c>
      <c r="F2837" s="2">
        <f>2418.259+168.6</f>
        <v>2586.859</v>
      </c>
    </row>
    <row r="2838" spans="3:6" x14ac:dyDescent="0.25">
      <c r="C2838" s="2" t="s">
        <v>14582</v>
      </c>
      <c r="D2838" s="2" t="s">
        <v>122</v>
      </c>
      <c r="E2838" s="2">
        <v>150</v>
      </c>
      <c r="F2838" s="2">
        <f>1134.146+134.3</f>
        <v>1268.446</v>
      </c>
    </row>
    <row r="2839" spans="3:6" x14ac:dyDescent="0.25">
      <c r="C2839" s="2" t="s">
        <v>14583</v>
      </c>
      <c r="D2839" s="2" t="s">
        <v>122</v>
      </c>
      <c r="E2839" s="2">
        <v>62</v>
      </c>
      <c r="F2839" s="2">
        <v>1215.34</v>
      </c>
    </row>
    <row r="2840" spans="3:6" x14ac:dyDescent="0.25">
      <c r="C2840" s="2" t="s">
        <v>14584</v>
      </c>
      <c r="D2840" s="2" t="s">
        <v>122</v>
      </c>
      <c r="E2840" s="2">
        <v>60</v>
      </c>
      <c r="F2840" s="2">
        <v>1236.3</v>
      </c>
    </row>
    <row r="2841" spans="3:6" x14ac:dyDescent="0.25">
      <c r="C2841" s="2" t="s">
        <v>14585</v>
      </c>
      <c r="D2841" s="2" t="s">
        <v>122</v>
      </c>
      <c r="E2841" s="2">
        <v>14</v>
      </c>
      <c r="F2841" s="2">
        <f>209.04+22.5</f>
        <v>231.54</v>
      </c>
    </row>
    <row r="2842" spans="3:6" x14ac:dyDescent="0.25">
      <c r="C2842" s="2" t="s">
        <v>14586</v>
      </c>
      <c r="D2842" s="2" t="s">
        <v>122</v>
      </c>
      <c r="E2842" s="2">
        <v>6</v>
      </c>
      <c r="F2842" s="2">
        <f>35.29+78.8</f>
        <v>114.09</v>
      </c>
    </row>
    <row r="2843" spans="3:6" x14ac:dyDescent="0.25">
      <c r="C2843" s="2" t="s">
        <v>14587</v>
      </c>
      <c r="D2843" s="2" t="s">
        <v>122</v>
      </c>
      <c r="E2843" s="2">
        <v>49</v>
      </c>
      <c r="F2843" s="2">
        <v>980.879</v>
      </c>
    </row>
    <row r="2844" spans="3:6" x14ac:dyDescent="0.25">
      <c r="C2844" s="2" t="s">
        <v>14588</v>
      </c>
      <c r="D2844" s="2" t="s">
        <v>122</v>
      </c>
      <c r="E2844" s="2">
        <v>49</v>
      </c>
      <c r="F2844" s="2">
        <v>995.58</v>
      </c>
    </row>
    <row r="2845" spans="3:6" x14ac:dyDescent="0.25">
      <c r="C2845" s="2" t="s">
        <v>14589</v>
      </c>
      <c r="D2845" s="2" t="s">
        <v>122</v>
      </c>
      <c r="E2845" s="2">
        <v>43</v>
      </c>
      <c r="F2845" s="2">
        <f>648.85+173.75</f>
        <v>822.6</v>
      </c>
    </row>
    <row r="2846" spans="3:6" x14ac:dyDescent="0.25">
      <c r="C2846" s="2" t="s">
        <v>14590</v>
      </c>
      <c r="D2846" s="2" t="s">
        <v>122</v>
      </c>
      <c r="E2846" s="2">
        <v>102</v>
      </c>
      <c r="F2846" s="2">
        <v>2074.789</v>
      </c>
    </row>
    <row r="2847" spans="3:6" x14ac:dyDescent="0.25">
      <c r="C2847" s="2" t="s">
        <v>14591</v>
      </c>
      <c r="D2847" s="2" t="s">
        <v>122</v>
      </c>
      <c r="E2847" s="2">
        <v>102</v>
      </c>
      <c r="F2847" s="2">
        <v>2061.75</v>
      </c>
    </row>
    <row r="2848" spans="3:6" x14ac:dyDescent="0.25">
      <c r="C2848" s="2" t="s">
        <v>14592</v>
      </c>
      <c r="D2848" s="2" t="s">
        <v>122</v>
      </c>
      <c r="E2848" s="2">
        <v>82</v>
      </c>
      <c r="F2848" s="2">
        <v>1673.709</v>
      </c>
    </row>
    <row r="2849" spans="3:6" x14ac:dyDescent="0.25">
      <c r="C2849" s="2" t="s">
        <v>14593</v>
      </c>
      <c r="D2849" s="2" t="s">
        <v>122</v>
      </c>
      <c r="E2849" s="2">
        <v>20</v>
      </c>
      <c r="F2849" s="2">
        <v>423.02</v>
      </c>
    </row>
    <row r="2850" spans="3:6" x14ac:dyDescent="0.25">
      <c r="C2850" s="2" t="s">
        <v>14594</v>
      </c>
      <c r="D2850" s="2" t="s">
        <v>122</v>
      </c>
      <c r="E2850" s="2">
        <v>92</v>
      </c>
      <c r="F2850" s="2">
        <f>1786.93+82.95</f>
        <v>1869.88</v>
      </c>
    </row>
    <row r="2851" spans="3:6" x14ac:dyDescent="0.25">
      <c r="C2851" s="2" t="s">
        <v>14595</v>
      </c>
      <c r="D2851" s="2" t="s">
        <v>122</v>
      </c>
      <c r="E2851" s="2">
        <v>10</v>
      </c>
      <c r="F2851" s="2">
        <v>205.25</v>
      </c>
    </row>
    <row r="2852" spans="3:6" x14ac:dyDescent="0.25">
      <c r="C2852" s="2" t="s">
        <v>14596</v>
      </c>
      <c r="D2852" s="2" t="s">
        <v>122</v>
      </c>
      <c r="E2852" s="2">
        <v>75</v>
      </c>
      <c r="F2852" s="2">
        <f>477.07+1031.75</f>
        <v>1508.82</v>
      </c>
    </row>
    <row r="2853" spans="3:6" x14ac:dyDescent="0.25">
      <c r="C2853" s="2" t="s">
        <v>14597</v>
      </c>
      <c r="D2853" s="2" t="s">
        <v>122</v>
      </c>
      <c r="E2853" s="2">
        <v>60</v>
      </c>
      <c r="F2853" s="2">
        <v>261.349</v>
      </c>
    </row>
    <row r="2854" spans="3:6" x14ac:dyDescent="0.25">
      <c r="C2854" s="2" t="s">
        <v>14598</v>
      </c>
      <c r="D2854" s="2" t="s">
        <v>122</v>
      </c>
      <c r="E2854" s="2">
        <v>90</v>
      </c>
      <c r="F2854" s="2">
        <v>1842.82</v>
      </c>
    </row>
    <row r="2855" spans="3:6" x14ac:dyDescent="0.25">
      <c r="C2855" s="2" t="s">
        <v>14599</v>
      </c>
      <c r="D2855" s="2" t="s">
        <v>122</v>
      </c>
      <c r="E2855" s="2">
        <v>31</v>
      </c>
      <c r="F2855" s="2">
        <v>648.24</v>
      </c>
    </row>
    <row r="2856" spans="3:6" x14ac:dyDescent="0.25">
      <c r="C2856" s="2" t="s">
        <v>14600</v>
      </c>
      <c r="D2856" s="2" t="s">
        <v>122</v>
      </c>
      <c r="E2856" s="2">
        <v>82</v>
      </c>
      <c r="F2856" s="2">
        <v>1654.68</v>
      </c>
    </row>
    <row r="2857" spans="3:6" x14ac:dyDescent="0.25">
      <c r="C2857" s="2" t="s">
        <v>14601</v>
      </c>
      <c r="D2857" s="2" t="s">
        <v>122</v>
      </c>
      <c r="E2857" s="2">
        <v>39</v>
      </c>
      <c r="F2857" s="2">
        <v>809.63</v>
      </c>
    </row>
    <row r="2858" spans="3:6" x14ac:dyDescent="0.25">
      <c r="C2858" s="2" t="s">
        <v>14602</v>
      </c>
      <c r="D2858" s="2" t="s">
        <v>122</v>
      </c>
      <c r="E2858" s="2">
        <v>80</v>
      </c>
      <c r="F2858" s="2">
        <v>1655.17</v>
      </c>
    </row>
    <row r="2859" spans="3:6" x14ac:dyDescent="0.25">
      <c r="C2859" s="2" t="s">
        <v>14603</v>
      </c>
      <c r="D2859" s="2" t="s">
        <v>122</v>
      </c>
      <c r="E2859" s="2">
        <v>41</v>
      </c>
      <c r="F2859" s="2">
        <v>839.02</v>
      </c>
    </row>
    <row r="2860" spans="3:6" x14ac:dyDescent="0.25">
      <c r="C2860" s="2" t="s">
        <v>14604</v>
      </c>
      <c r="D2860" s="2" t="s">
        <v>122</v>
      </c>
      <c r="E2860" s="2">
        <v>53</v>
      </c>
      <c r="F2860" s="2">
        <v>229.96</v>
      </c>
    </row>
    <row r="2861" spans="3:6" x14ac:dyDescent="0.25">
      <c r="C2861" s="2" t="s">
        <v>14605</v>
      </c>
      <c r="D2861" s="2" t="s">
        <v>122</v>
      </c>
      <c r="E2861" s="2">
        <v>121</v>
      </c>
      <c r="F2861" s="2">
        <v>2457.689</v>
      </c>
    </row>
    <row r="2862" spans="3:6" x14ac:dyDescent="0.25">
      <c r="C2862" s="2" t="s">
        <v>14606</v>
      </c>
      <c r="D2862" s="2" t="s">
        <v>122</v>
      </c>
      <c r="E2862" s="2">
        <v>141</v>
      </c>
      <c r="F2862" s="2">
        <v>2873.29</v>
      </c>
    </row>
    <row r="2863" spans="3:6" x14ac:dyDescent="0.25">
      <c r="C2863" s="2" t="s">
        <v>14607</v>
      </c>
      <c r="D2863" s="2" t="s">
        <v>122</v>
      </c>
      <c r="E2863" s="2">
        <v>101</v>
      </c>
      <c r="F2863" s="2">
        <v>1973.31</v>
      </c>
    </row>
    <row r="2864" spans="3:6" x14ac:dyDescent="0.25">
      <c r="C2864" s="2" t="s">
        <v>14608</v>
      </c>
      <c r="D2864" s="2" t="s">
        <v>122</v>
      </c>
      <c r="E2864" s="2">
        <v>24</v>
      </c>
      <c r="F2864" s="2">
        <v>476.17</v>
      </c>
    </row>
    <row r="2865" spans="3:6" x14ac:dyDescent="0.25">
      <c r="C2865" s="2" t="s">
        <v>14609</v>
      </c>
      <c r="D2865" s="2" t="s">
        <v>122</v>
      </c>
      <c r="E2865" s="2">
        <v>16</v>
      </c>
      <c r="F2865" s="2">
        <v>326.31</v>
      </c>
    </row>
    <row r="2866" spans="3:6" x14ac:dyDescent="0.25">
      <c r="C2866" s="2" t="s">
        <v>14610</v>
      </c>
      <c r="D2866" s="2" t="s">
        <v>122</v>
      </c>
      <c r="E2866" s="2">
        <v>141</v>
      </c>
      <c r="F2866" s="2">
        <v>2969.679</v>
      </c>
    </row>
    <row r="2867" spans="3:6" x14ac:dyDescent="0.25">
      <c r="C2867" s="2" t="s">
        <v>14611</v>
      </c>
      <c r="D2867" s="2" t="s">
        <v>122</v>
      </c>
      <c r="E2867" s="2">
        <v>88</v>
      </c>
      <c r="F2867" s="2">
        <v>1719.66</v>
      </c>
    </row>
    <row r="2868" spans="3:6" x14ac:dyDescent="0.25">
      <c r="C2868" s="2" t="s">
        <v>14612</v>
      </c>
      <c r="D2868" s="2" t="s">
        <v>122</v>
      </c>
      <c r="E2868" s="2">
        <v>53</v>
      </c>
      <c r="F2868" s="2">
        <v>1084.21</v>
      </c>
    </row>
    <row r="2869" spans="3:6" x14ac:dyDescent="0.25">
      <c r="C2869" s="2" t="s">
        <v>14613</v>
      </c>
      <c r="D2869" s="2" t="s">
        <v>122</v>
      </c>
      <c r="E2869" s="2">
        <v>93</v>
      </c>
      <c r="F2869" s="2">
        <v>1602.204</v>
      </c>
    </row>
    <row r="2870" spans="3:6" x14ac:dyDescent="0.25">
      <c r="C2870" s="2" t="s">
        <v>14614</v>
      </c>
      <c r="D2870" s="2" t="s">
        <v>122</v>
      </c>
      <c r="E2870" s="2">
        <v>48</v>
      </c>
      <c r="F2870" s="2">
        <v>951.849</v>
      </c>
    </row>
    <row r="2871" spans="3:6" x14ac:dyDescent="0.25">
      <c r="C2871" s="2" t="s">
        <v>14615</v>
      </c>
      <c r="D2871" s="2" t="s">
        <v>122</v>
      </c>
      <c r="E2871" s="2">
        <v>51</v>
      </c>
      <c r="F2871" s="2">
        <v>951.169</v>
      </c>
    </row>
    <row r="2872" spans="3:6" x14ac:dyDescent="0.25">
      <c r="C2872" s="2" t="s">
        <v>14616</v>
      </c>
      <c r="D2872" s="2" t="s">
        <v>122</v>
      </c>
      <c r="E2872" s="2">
        <v>42</v>
      </c>
      <c r="F2872" s="2">
        <v>858.28</v>
      </c>
    </row>
    <row r="2873" spans="3:6" x14ac:dyDescent="0.25">
      <c r="C2873" s="2" t="s">
        <v>14617</v>
      </c>
      <c r="D2873" s="2" t="s">
        <v>122</v>
      </c>
      <c r="E2873" s="2">
        <v>141</v>
      </c>
      <c r="F2873" s="2">
        <v>2841.45</v>
      </c>
    </row>
    <row r="2874" spans="3:6" x14ac:dyDescent="0.25">
      <c r="C2874" s="2" t="s">
        <v>14618</v>
      </c>
      <c r="D2874" s="2" t="s">
        <v>122</v>
      </c>
      <c r="E2874" s="2">
        <v>141</v>
      </c>
      <c r="F2874" s="2">
        <v>2817.109</v>
      </c>
    </row>
    <row r="2875" spans="3:6" x14ac:dyDescent="0.25">
      <c r="C2875" s="2" t="s">
        <v>14619</v>
      </c>
      <c r="D2875" s="2" t="s">
        <v>122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90</v>
      </c>
      <c r="C2877" s="2" t="s">
        <v>14620</v>
      </c>
      <c r="D2877" s="2" t="s">
        <v>42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14621</v>
      </c>
      <c r="D2878" s="2" t="s">
        <v>42</v>
      </c>
      <c r="E2878" s="2">
        <v>100</v>
      </c>
      <c r="F2878" s="2">
        <v>2215.17</v>
      </c>
    </row>
    <row r="2879" spans="3:6" x14ac:dyDescent="0.25">
      <c r="C2879" s="2" t="s">
        <v>14622</v>
      </c>
      <c r="D2879" s="2" t="s">
        <v>42</v>
      </c>
      <c r="E2879" s="2">
        <v>19</v>
      </c>
      <c r="F2879" s="2">
        <v>357.57</v>
      </c>
    </row>
    <row r="2880" spans="3:6" x14ac:dyDescent="0.25">
      <c r="C2880" s="2" t="s">
        <v>14623</v>
      </c>
      <c r="D2880" s="2" t="s">
        <v>42</v>
      </c>
      <c r="E2880" s="2">
        <v>28</v>
      </c>
      <c r="F2880" s="2">
        <v>542.906</v>
      </c>
    </row>
    <row r="2881" spans="3:6" x14ac:dyDescent="0.25">
      <c r="C2881" s="2" t="s">
        <v>14624</v>
      </c>
      <c r="D2881" s="2" t="s">
        <v>42</v>
      </c>
      <c r="E2881" s="2">
        <v>15</v>
      </c>
      <c r="F2881" s="2">
        <v>225.239</v>
      </c>
    </row>
    <row r="2882" spans="3:6" x14ac:dyDescent="0.25">
      <c r="C2882" s="2" t="s">
        <v>14625</v>
      </c>
      <c r="D2882" s="2" t="s">
        <v>42</v>
      </c>
      <c r="E2882" s="2">
        <v>14</v>
      </c>
      <c r="F2882" s="2">
        <v>213.76</v>
      </c>
    </row>
    <row r="2883" spans="3:6" x14ac:dyDescent="0.25">
      <c r="C2883" s="2" t="s">
        <v>14626</v>
      </c>
      <c r="D2883" s="2" t="s">
        <v>42</v>
      </c>
      <c r="E2883" s="2">
        <v>11</v>
      </c>
      <c r="F2883" s="2">
        <v>220.81</v>
      </c>
    </row>
    <row r="2884" spans="3:6" x14ac:dyDescent="0.25">
      <c r="C2884" s="2" t="s">
        <v>14627</v>
      </c>
      <c r="D2884" s="2" t="s">
        <v>42</v>
      </c>
      <c r="E2884" s="2">
        <v>16</v>
      </c>
      <c r="F2884" s="2">
        <v>332.96</v>
      </c>
    </row>
    <row r="2885" spans="3:6" x14ac:dyDescent="0.25">
      <c r="C2885" s="2" t="s">
        <v>14628</v>
      </c>
      <c r="D2885" s="2" t="s">
        <v>42</v>
      </c>
      <c r="E2885" s="2">
        <v>18</v>
      </c>
      <c r="F2885" s="2">
        <v>353.379</v>
      </c>
    </row>
    <row r="2886" spans="3:6" x14ac:dyDescent="0.25">
      <c r="C2886" s="2" t="s">
        <v>14629</v>
      </c>
      <c r="D2886" s="2" t="s">
        <v>42</v>
      </c>
      <c r="E2886" s="2">
        <v>56</v>
      </c>
      <c r="F2886" s="2">
        <v>1043.729</v>
      </c>
    </row>
    <row r="2887" spans="3:6" x14ac:dyDescent="0.25">
      <c r="C2887" s="2" t="s">
        <v>14630</v>
      </c>
      <c r="D2887" s="2" t="s">
        <v>42</v>
      </c>
      <c r="E2887" s="2">
        <v>17</v>
      </c>
      <c r="F2887" s="2">
        <v>290.03</v>
      </c>
    </row>
    <row r="2888" spans="3:6" x14ac:dyDescent="0.25">
      <c r="C2888" s="2" t="s">
        <v>14631</v>
      </c>
      <c r="D2888" s="2" t="s">
        <v>42</v>
      </c>
      <c r="E2888" s="2">
        <v>30</v>
      </c>
      <c r="F2888" s="2">
        <v>606.73</v>
      </c>
    </row>
    <row r="2889" spans="3:6" x14ac:dyDescent="0.25">
      <c r="C2889" s="2" t="s">
        <v>14632</v>
      </c>
      <c r="D2889" s="2" t="s">
        <v>42</v>
      </c>
      <c r="E2889" s="2">
        <v>27</v>
      </c>
      <c r="F2889" s="2">
        <v>309.974</v>
      </c>
    </row>
    <row r="2890" spans="3:6" x14ac:dyDescent="0.25">
      <c r="C2890" s="2" t="s">
        <v>14633</v>
      </c>
      <c r="D2890" s="2" t="s">
        <v>42</v>
      </c>
      <c r="E2890" s="2">
        <v>35</v>
      </c>
      <c r="F2890" s="2">
        <v>744.91</v>
      </c>
    </row>
    <row r="2891" spans="3:6" x14ac:dyDescent="0.25">
      <c r="C2891" s="2" t="s">
        <v>14634</v>
      </c>
      <c r="D2891" s="2" t="s">
        <v>42</v>
      </c>
      <c r="E2891" s="2">
        <v>22</v>
      </c>
      <c r="F2891" s="2">
        <v>455.739</v>
      </c>
    </row>
    <row r="2892" spans="3:6" x14ac:dyDescent="0.25">
      <c r="C2892" s="2" t="s">
        <v>14635</v>
      </c>
      <c r="D2892" s="2" t="s">
        <v>42</v>
      </c>
      <c r="E2892" s="2">
        <v>13</v>
      </c>
      <c r="F2892" s="2">
        <v>272.46</v>
      </c>
    </row>
    <row r="2893" spans="3:6" x14ac:dyDescent="0.25">
      <c r="C2893" s="2" t="s">
        <v>14636</v>
      </c>
      <c r="D2893" s="2" t="s">
        <v>42</v>
      </c>
      <c r="E2893" s="2">
        <v>96</v>
      </c>
      <c r="F2893" s="2">
        <v>1997.71</v>
      </c>
    </row>
    <row r="2894" spans="3:6" x14ac:dyDescent="0.25">
      <c r="C2894" s="2" t="s">
        <v>14637</v>
      </c>
      <c r="D2894" s="2" t="s">
        <v>42</v>
      </c>
      <c r="E2894" s="2">
        <v>123</v>
      </c>
      <c r="F2894" s="2">
        <v>2537.23</v>
      </c>
    </row>
    <row r="2895" spans="3:6" x14ac:dyDescent="0.25">
      <c r="C2895" s="2" t="s">
        <v>14638</v>
      </c>
      <c r="D2895" s="2" t="s">
        <v>42</v>
      </c>
      <c r="E2895" s="2">
        <v>123</v>
      </c>
      <c r="F2895" s="2">
        <v>2509.82</v>
      </c>
    </row>
    <row r="2896" spans="3:6" x14ac:dyDescent="0.25">
      <c r="C2896" s="2" t="s">
        <v>14639</v>
      </c>
      <c r="D2896" s="2" t="s">
        <v>42</v>
      </c>
      <c r="E2896" s="2">
        <v>123</v>
      </c>
      <c r="F2896" s="2">
        <v>2486.95</v>
      </c>
    </row>
    <row r="2897" spans="3:6" x14ac:dyDescent="0.25">
      <c r="C2897" s="2" t="s">
        <v>14640</v>
      </c>
      <c r="D2897" s="2" t="s">
        <v>42</v>
      </c>
      <c r="E2897" s="2">
        <v>127</v>
      </c>
      <c r="F2897" s="2">
        <v>2125.005</v>
      </c>
    </row>
    <row r="2898" spans="3:6" x14ac:dyDescent="0.25">
      <c r="C2898" s="2" t="s">
        <v>14641</v>
      </c>
      <c r="D2898" s="2" t="s">
        <v>42</v>
      </c>
      <c r="E2898" s="2">
        <v>141</v>
      </c>
      <c r="F2898" s="2">
        <v>2875.872</v>
      </c>
    </row>
    <row r="2899" spans="3:6" x14ac:dyDescent="0.25">
      <c r="C2899" s="2" t="s">
        <v>14642</v>
      </c>
      <c r="D2899" s="2" t="s">
        <v>42</v>
      </c>
      <c r="E2899" s="2">
        <v>50</v>
      </c>
      <c r="F2899" s="2">
        <v>242.58</v>
      </c>
    </row>
    <row r="2900" spans="3:6" x14ac:dyDescent="0.25">
      <c r="C2900" s="2" t="s">
        <v>14643</v>
      </c>
      <c r="D2900" s="2" t="s">
        <v>42</v>
      </c>
      <c r="E2900" s="2">
        <v>141</v>
      </c>
      <c r="F2900" s="2">
        <v>2983.27</v>
      </c>
    </row>
    <row r="2901" spans="3:6" x14ac:dyDescent="0.25">
      <c r="C2901" s="2" t="s">
        <v>14644</v>
      </c>
      <c r="D2901" s="2" t="s">
        <v>42</v>
      </c>
      <c r="E2901" s="2">
        <v>92</v>
      </c>
      <c r="F2901" s="2">
        <v>1561.833</v>
      </c>
    </row>
    <row r="2902" spans="3:6" x14ac:dyDescent="0.25">
      <c r="C2902" s="2" t="s">
        <v>14645</v>
      </c>
      <c r="D2902" s="2" t="s">
        <v>42</v>
      </c>
      <c r="E2902" s="2">
        <v>124</v>
      </c>
      <c r="F2902" s="2">
        <v>2515.92</v>
      </c>
    </row>
    <row r="2903" spans="3:6" x14ac:dyDescent="0.25">
      <c r="C2903" s="2" t="s">
        <v>14646</v>
      </c>
      <c r="D2903" s="2" t="s">
        <v>42</v>
      </c>
      <c r="E2903" s="2">
        <v>114</v>
      </c>
      <c r="F2903" s="2">
        <v>1716.203</v>
      </c>
    </row>
    <row r="2904" spans="3:6" x14ac:dyDescent="0.25">
      <c r="C2904" s="2" t="s">
        <v>14647</v>
      </c>
      <c r="D2904" s="2" t="s">
        <v>42</v>
      </c>
      <c r="E2904" s="2">
        <v>67</v>
      </c>
      <c r="F2904" s="2">
        <v>1430.69</v>
      </c>
    </row>
    <row r="2905" spans="3:6" x14ac:dyDescent="0.25">
      <c r="C2905" s="2" t="s">
        <v>14648</v>
      </c>
      <c r="D2905" s="2" t="s">
        <v>42</v>
      </c>
      <c r="E2905" s="2">
        <v>141</v>
      </c>
      <c r="F2905" s="2">
        <v>2889</v>
      </c>
    </row>
    <row r="2906" spans="3:6" x14ac:dyDescent="0.25">
      <c r="C2906" s="2" t="s">
        <v>14649</v>
      </c>
      <c r="D2906" s="2" t="s">
        <v>42</v>
      </c>
      <c r="E2906" s="2">
        <v>60</v>
      </c>
      <c r="F2906" s="2">
        <v>319.13</v>
      </c>
    </row>
    <row r="2907" spans="3:6" x14ac:dyDescent="0.25">
      <c r="C2907" s="2" t="s">
        <v>14650</v>
      </c>
      <c r="D2907" s="2" t="s">
        <v>42</v>
      </c>
      <c r="E2907" s="2">
        <v>141</v>
      </c>
      <c r="F2907" s="2">
        <v>2815.75</v>
      </c>
    </row>
    <row r="2908" spans="3:6" x14ac:dyDescent="0.25">
      <c r="C2908" s="2" t="s">
        <v>14651</v>
      </c>
      <c r="D2908" s="2" t="s">
        <v>42</v>
      </c>
      <c r="E2908" s="2">
        <v>125</v>
      </c>
      <c r="F2908" s="2">
        <v>2685.837</v>
      </c>
    </row>
    <row r="2909" spans="3:6" x14ac:dyDescent="0.25">
      <c r="C2909" s="2" t="s">
        <v>14652</v>
      </c>
      <c r="D2909" s="2" t="s">
        <v>42</v>
      </c>
      <c r="E2909" s="2">
        <v>141</v>
      </c>
      <c r="F2909" s="2">
        <v>2816.639</v>
      </c>
    </row>
    <row r="2910" spans="3:6" x14ac:dyDescent="0.25">
      <c r="C2910" s="2" t="s">
        <v>14653</v>
      </c>
      <c r="D2910" s="2" t="s">
        <v>42</v>
      </c>
      <c r="E2910" s="2">
        <v>45</v>
      </c>
      <c r="F2910" s="2">
        <v>214.62</v>
      </c>
    </row>
    <row r="2911" spans="3:6" x14ac:dyDescent="0.25">
      <c r="C2911" s="2" t="s">
        <v>14654</v>
      </c>
      <c r="D2911" s="2" t="s">
        <v>42</v>
      </c>
      <c r="E2911" s="2">
        <v>61</v>
      </c>
      <c r="F2911" s="2">
        <v>1217.659</v>
      </c>
    </row>
    <row r="2912" spans="3:6" x14ac:dyDescent="0.25">
      <c r="C2912" s="2" t="s">
        <v>14655</v>
      </c>
      <c r="D2912" s="2" t="s">
        <v>42</v>
      </c>
      <c r="E2912" s="2">
        <v>79</v>
      </c>
      <c r="F2912" s="2">
        <v>1657.689</v>
      </c>
    </row>
    <row r="2913" spans="3:6" x14ac:dyDescent="0.25">
      <c r="C2913" s="2" t="s">
        <v>14656</v>
      </c>
      <c r="D2913" s="2" t="s">
        <v>42</v>
      </c>
      <c r="E2913" s="2">
        <v>141</v>
      </c>
      <c r="F2913" s="2">
        <v>2918.449</v>
      </c>
    </row>
    <row r="2914" spans="3:6" x14ac:dyDescent="0.25">
      <c r="C2914" s="2" t="s">
        <v>14657</v>
      </c>
      <c r="D2914" s="2" t="s">
        <v>42</v>
      </c>
      <c r="E2914" s="2">
        <v>45</v>
      </c>
      <c r="F2914" s="2">
        <v>238.27</v>
      </c>
    </row>
    <row r="2915" spans="3:6" x14ac:dyDescent="0.25">
      <c r="C2915" s="2" t="s">
        <v>14658</v>
      </c>
      <c r="D2915" s="2" t="s">
        <v>42</v>
      </c>
      <c r="E2915" s="2">
        <v>98</v>
      </c>
      <c r="F2915" s="2">
        <v>1615.013</v>
      </c>
    </row>
    <row r="2916" spans="3:6" x14ac:dyDescent="0.25">
      <c r="C2916" s="2" t="s">
        <v>14659</v>
      </c>
      <c r="D2916" s="2" t="s">
        <v>42</v>
      </c>
      <c r="E2916" s="2">
        <v>56</v>
      </c>
      <c r="F2916" s="2">
        <v>1120</v>
      </c>
    </row>
    <row r="2917" spans="3:6" x14ac:dyDescent="0.25">
      <c r="C2917" s="2" t="s">
        <v>14660</v>
      </c>
      <c r="D2917" s="2" t="s">
        <v>42</v>
      </c>
      <c r="E2917" s="2">
        <v>53</v>
      </c>
      <c r="F2917" s="2">
        <v>1020.04</v>
      </c>
    </row>
    <row r="2918" spans="3:6" x14ac:dyDescent="0.25">
      <c r="C2918" s="2" t="s">
        <v>14661</v>
      </c>
      <c r="D2918" s="2" t="s">
        <v>42</v>
      </c>
      <c r="E2918" s="2">
        <v>56</v>
      </c>
      <c r="F2918" s="2">
        <v>616.543</v>
      </c>
    </row>
    <row r="2919" spans="3:6" x14ac:dyDescent="0.25">
      <c r="C2919" s="2" t="s">
        <v>14662</v>
      </c>
      <c r="D2919" s="2" t="s">
        <v>42</v>
      </c>
      <c r="E2919" s="2">
        <v>100</v>
      </c>
      <c r="F2919" s="2">
        <v>1978.489</v>
      </c>
    </row>
    <row r="2920" spans="3:6" x14ac:dyDescent="0.25">
      <c r="C2920" s="2" t="s">
        <v>14663</v>
      </c>
      <c r="D2920" s="2" t="s">
        <v>42</v>
      </c>
      <c r="E2920" s="2">
        <v>30</v>
      </c>
      <c r="F2920" s="2">
        <v>656.13</v>
      </c>
    </row>
    <row r="2921" spans="3:6" x14ac:dyDescent="0.25">
      <c r="C2921" s="2" t="s">
        <v>14664</v>
      </c>
      <c r="D2921" s="2" t="s">
        <v>42</v>
      </c>
      <c r="E2921" s="2">
        <v>65</v>
      </c>
      <c r="F2921" s="2">
        <v>1377.77</v>
      </c>
    </row>
    <row r="2922" spans="3:6" x14ac:dyDescent="0.25">
      <c r="C2922" s="2" t="s">
        <v>14665</v>
      </c>
      <c r="D2922" s="2" t="s">
        <v>42</v>
      </c>
      <c r="E2922" s="2">
        <v>41</v>
      </c>
      <c r="F2922" s="2">
        <v>291.182</v>
      </c>
    </row>
    <row r="2923" spans="3:6" x14ac:dyDescent="0.25">
      <c r="C2923" s="2" t="s">
        <v>14666</v>
      </c>
      <c r="D2923" s="2" t="s">
        <v>42</v>
      </c>
      <c r="E2923" s="2">
        <v>10</v>
      </c>
      <c r="F2923" s="2">
        <v>236.8</v>
      </c>
    </row>
    <row r="2924" spans="3:6" x14ac:dyDescent="0.25">
      <c r="C2924" s="2" t="s">
        <v>14667</v>
      </c>
      <c r="D2924" s="2" t="s">
        <v>42</v>
      </c>
      <c r="E2924" s="2">
        <v>62</v>
      </c>
      <c r="F2924" s="2">
        <v>1276.09</v>
      </c>
    </row>
    <row r="2925" spans="3:6" x14ac:dyDescent="0.25">
      <c r="C2925" s="2" t="s">
        <v>14668</v>
      </c>
      <c r="D2925" s="2" t="s">
        <v>42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10</v>
      </c>
      <c r="C2927" s="2" t="s">
        <v>14669</v>
      </c>
      <c r="D2927" s="2" t="s">
        <v>12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14670</v>
      </c>
      <c r="D2928" s="2" t="s">
        <v>12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375</v>
      </c>
      <c r="C2930" s="2" t="s">
        <v>14671</v>
      </c>
      <c r="D2930" s="2" t="s">
        <v>204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14672</v>
      </c>
      <c r="D2931" s="2" t="s">
        <v>204</v>
      </c>
      <c r="E2931" s="2">
        <v>319</v>
      </c>
      <c r="F2931" s="2">
        <v>792.755</v>
      </c>
    </row>
    <row r="2932" spans="3:6" x14ac:dyDescent="0.25">
      <c r="C2932" s="2" t="s">
        <v>14673</v>
      </c>
      <c r="D2932" s="2" t="s">
        <v>204</v>
      </c>
      <c r="E2932" s="2">
        <v>36</v>
      </c>
      <c r="F2932" s="2">
        <v>744.91</v>
      </c>
    </row>
    <row r="2933" spans="3:6" x14ac:dyDescent="0.25">
      <c r="C2933" s="2" t="s">
        <v>14674</v>
      </c>
      <c r="D2933" s="2" t="s">
        <v>204</v>
      </c>
      <c r="E2933" s="2">
        <v>105</v>
      </c>
      <c r="F2933" s="2">
        <v>2106.57</v>
      </c>
    </row>
    <row r="2934" spans="3:6" x14ac:dyDescent="0.25">
      <c r="C2934" s="2" t="s">
        <v>14675</v>
      </c>
      <c r="D2934" s="2" t="s">
        <v>204</v>
      </c>
      <c r="E2934" s="2">
        <v>105</v>
      </c>
      <c r="F2934" s="2">
        <v>2075.85</v>
      </c>
    </row>
    <row r="2935" spans="3:6" x14ac:dyDescent="0.25">
      <c r="C2935" s="2" t="s">
        <v>14676</v>
      </c>
      <c r="D2935" s="2" t="s">
        <v>347</v>
      </c>
      <c r="E2935" s="2">
        <v>92</v>
      </c>
      <c r="F2935" s="2">
        <v>1744.901</v>
      </c>
    </row>
    <row r="2936" spans="3:6" x14ac:dyDescent="0.25">
      <c r="C2936" s="2" t="s">
        <v>14677</v>
      </c>
      <c r="D2936" s="2" t="s">
        <v>347</v>
      </c>
      <c r="E2936" s="2">
        <v>14</v>
      </c>
      <c r="F2936" s="2">
        <v>257.42</v>
      </c>
    </row>
    <row r="2937" spans="3:6" x14ac:dyDescent="0.25">
      <c r="C2937" s="2" t="s">
        <v>14678</v>
      </c>
      <c r="D2937" s="2" t="s">
        <v>204</v>
      </c>
      <c r="E2937" s="2">
        <v>163</v>
      </c>
      <c r="F2937" s="2">
        <v>3193.78</v>
      </c>
    </row>
    <row r="2938" spans="3:6" x14ac:dyDescent="0.25">
      <c r="C2938" s="2" t="s">
        <v>14679</v>
      </c>
      <c r="D2938" s="2" t="s">
        <v>204</v>
      </c>
      <c r="E2938" s="2">
        <v>163</v>
      </c>
      <c r="F2938" s="2">
        <v>3161.229</v>
      </c>
    </row>
    <row r="2939" spans="3:6" x14ac:dyDescent="0.25">
      <c r="C2939" s="2" t="s">
        <v>14680</v>
      </c>
      <c r="D2939" s="2" t="s">
        <v>347</v>
      </c>
      <c r="E2939" s="2">
        <v>76</v>
      </c>
      <c r="F2939" s="2">
        <v>1482.883</v>
      </c>
    </row>
    <row r="2940" spans="3:6" x14ac:dyDescent="0.25">
      <c r="C2940" s="2" t="s">
        <v>14681</v>
      </c>
      <c r="D2940" s="2" t="s">
        <v>347</v>
      </c>
      <c r="E2940" s="2">
        <v>80</v>
      </c>
      <c r="F2940" s="2">
        <v>1579.14</v>
      </c>
    </row>
    <row r="2941" spans="3:6" x14ac:dyDescent="0.25">
      <c r="C2941" s="2" t="s">
        <v>14682</v>
      </c>
      <c r="D2941" s="2" t="s">
        <v>216</v>
      </c>
      <c r="E2941" s="2">
        <v>67</v>
      </c>
      <c r="F2941" s="2">
        <v>1371.79</v>
      </c>
    </row>
    <row r="2942" spans="3:6" x14ac:dyDescent="0.25">
      <c r="C2942" s="2" t="s">
        <v>14683</v>
      </c>
      <c r="D2942" s="2" t="s">
        <v>216</v>
      </c>
      <c r="E2942" s="2">
        <v>68</v>
      </c>
      <c r="F2942" s="2">
        <v>1201.22</v>
      </c>
    </row>
    <row r="2943" spans="3:6" x14ac:dyDescent="0.25">
      <c r="C2943" s="2" t="s">
        <v>14684</v>
      </c>
      <c r="D2943" s="2" t="s">
        <v>347</v>
      </c>
      <c r="E2943" s="2">
        <v>20</v>
      </c>
      <c r="F2943" s="2">
        <v>363.369</v>
      </c>
    </row>
    <row r="2944" spans="3:6" x14ac:dyDescent="0.25">
      <c r="C2944" s="2" t="s">
        <v>14685</v>
      </c>
      <c r="D2944" s="2" t="s">
        <v>347</v>
      </c>
      <c r="E2944" s="2">
        <v>80</v>
      </c>
      <c r="F2944" s="2">
        <v>1493.833</v>
      </c>
    </row>
    <row r="2945" spans="3:6" x14ac:dyDescent="0.25">
      <c r="C2945" s="2" t="s">
        <v>14686</v>
      </c>
      <c r="D2945" s="2" t="s">
        <v>347</v>
      </c>
      <c r="E2945" s="2">
        <v>56</v>
      </c>
      <c r="F2945" s="2">
        <v>1066.01</v>
      </c>
    </row>
    <row r="2946" spans="3:6" x14ac:dyDescent="0.25">
      <c r="C2946" s="2" t="s">
        <v>14687</v>
      </c>
      <c r="D2946" s="2" t="s">
        <v>236</v>
      </c>
      <c r="E2946" s="2">
        <v>14</v>
      </c>
      <c r="F2946" s="2">
        <v>242.19</v>
      </c>
    </row>
    <row r="2947" spans="3:6" x14ac:dyDescent="0.25">
      <c r="C2947" s="2" t="s">
        <v>14688</v>
      </c>
      <c r="D2947" s="2" t="s">
        <v>236</v>
      </c>
      <c r="E2947" s="2">
        <v>80</v>
      </c>
      <c r="F2947" s="2">
        <v>1509.54</v>
      </c>
    </row>
    <row r="2948" spans="3:6" x14ac:dyDescent="0.25">
      <c r="C2948" s="2" t="s">
        <v>14689</v>
      </c>
      <c r="D2948" s="2" t="s">
        <v>236</v>
      </c>
      <c r="E2948" s="2">
        <v>53</v>
      </c>
      <c r="F2948" s="2">
        <v>1017.499</v>
      </c>
    </row>
    <row r="2949" spans="3:6" x14ac:dyDescent="0.25">
      <c r="C2949" s="2" t="s">
        <v>14690</v>
      </c>
      <c r="D2949" s="2" t="s">
        <v>216</v>
      </c>
      <c r="E2949" s="2">
        <v>134</v>
      </c>
      <c r="F2949" s="2">
        <v>2646.99</v>
      </c>
    </row>
    <row r="2950" spans="3:6" x14ac:dyDescent="0.25">
      <c r="C2950" s="2" t="s">
        <v>14691</v>
      </c>
      <c r="D2950" s="2" t="s">
        <v>216</v>
      </c>
      <c r="E2950" s="2">
        <v>134</v>
      </c>
      <c r="F2950" s="2">
        <v>2779.879</v>
      </c>
    </row>
    <row r="2951" spans="3:6" x14ac:dyDescent="0.25">
      <c r="C2951" s="2" t="s">
        <v>14692</v>
      </c>
      <c r="D2951" s="2" t="s">
        <v>214</v>
      </c>
      <c r="E2951" s="2">
        <v>156</v>
      </c>
      <c r="F2951" s="2">
        <v>3000.584</v>
      </c>
    </row>
    <row r="2952" spans="3:6" x14ac:dyDescent="0.25">
      <c r="C2952" s="2" t="s">
        <v>14693</v>
      </c>
      <c r="D2952" s="2" t="s">
        <v>214</v>
      </c>
      <c r="E2952" s="2">
        <v>156</v>
      </c>
      <c r="F2952" s="2">
        <v>2975.015</v>
      </c>
    </row>
    <row r="2953" spans="3:6" x14ac:dyDescent="0.25">
      <c r="C2953" s="2" t="s">
        <v>14694</v>
      </c>
      <c r="D2953" s="2" t="s">
        <v>214</v>
      </c>
      <c r="E2953" s="2">
        <v>156</v>
      </c>
      <c r="F2953" s="2">
        <v>2986.462</v>
      </c>
    </row>
    <row r="2954" spans="3:6" x14ac:dyDescent="0.25">
      <c r="C2954" s="2" t="s">
        <v>14695</v>
      </c>
      <c r="D2954" s="2" t="s">
        <v>204</v>
      </c>
      <c r="E2954" s="2">
        <v>33</v>
      </c>
      <c r="F2954" s="2">
        <v>538.74</v>
      </c>
    </row>
    <row r="2955" spans="3:6" x14ac:dyDescent="0.25">
      <c r="C2955" s="2" t="s">
        <v>14696</v>
      </c>
      <c r="D2955" s="2" t="s">
        <v>216</v>
      </c>
      <c r="E2955" s="2">
        <v>134</v>
      </c>
      <c r="F2955" s="2">
        <v>2446.35</v>
      </c>
    </row>
    <row r="2956" spans="3:6" x14ac:dyDescent="0.25">
      <c r="C2956" s="2" t="s">
        <v>14697</v>
      </c>
      <c r="D2956" s="2" t="s">
        <v>216</v>
      </c>
      <c r="E2956" s="2">
        <v>134</v>
      </c>
      <c r="F2956" s="2">
        <v>2678.76</v>
      </c>
    </row>
    <row r="2957" spans="3:6" x14ac:dyDescent="0.25">
      <c r="C2957" s="2" t="s">
        <v>14698</v>
      </c>
      <c r="D2957" s="2" t="s">
        <v>216</v>
      </c>
      <c r="E2957" s="2">
        <v>134</v>
      </c>
      <c r="F2957" s="2">
        <v>2705.39</v>
      </c>
    </row>
    <row r="2958" spans="3:6" x14ac:dyDescent="0.25">
      <c r="C2958" s="2" t="s">
        <v>14699</v>
      </c>
      <c r="D2958" s="2" t="s">
        <v>214</v>
      </c>
      <c r="E2958" s="2">
        <v>156</v>
      </c>
      <c r="F2958" s="2">
        <v>3041.447</v>
      </c>
    </row>
    <row r="2959" spans="3:6" x14ac:dyDescent="0.25">
      <c r="C2959" s="2" t="s">
        <v>14700</v>
      </c>
      <c r="D2959" s="2" t="s">
        <v>214</v>
      </c>
      <c r="E2959" s="2">
        <v>156</v>
      </c>
      <c r="F2959" s="2">
        <v>3035.039</v>
      </c>
    </row>
    <row r="2960" spans="3:6" x14ac:dyDescent="0.25">
      <c r="C2960" s="2" t="s">
        <v>14701</v>
      </c>
      <c r="D2960" s="2" t="s">
        <v>347</v>
      </c>
      <c r="E2960" s="2">
        <v>33</v>
      </c>
      <c r="F2960" s="2">
        <v>632.85</v>
      </c>
    </row>
    <row r="2961" spans="3:6" x14ac:dyDescent="0.25">
      <c r="C2961" s="2" t="s">
        <v>14702</v>
      </c>
      <c r="D2961" s="2" t="s">
        <v>347</v>
      </c>
      <c r="E2961" s="2">
        <v>100</v>
      </c>
      <c r="F2961" s="2">
        <v>1836.946</v>
      </c>
    </row>
    <row r="2962" spans="3:6" x14ac:dyDescent="0.25">
      <c r="C2962" s="2" t="s">
        <v>14703</v>
      </c>
      <c r="D2962" s="2" t="s">
        <v>347</v>
      </c>
      <c r="E2962" s="2">
        <v>23</v>
      </c>
      <c r="F2962" s="2">
        <v>418.56</v>
      </c>
    </row>
    <row r="2963" spans="3:6" x14ac:dyDescent="0.25">
      <c r="C2963" s="2" t="s">
        <v>14704</v>
      </c>
      <c r="D2963" s="2" t="s">
        <v>204</v>
      </c>
      <c r="E2963" s="2">
        <v>105</v>
      </c>
      <c r="F2963" s="2">
        <v>488.006</v>
      </c>
    </row>
    <row r="2964" spans="3:6" x14ac:dyDescent="0.25">
      <c r="C2964" s="2" t="s">
        <v>14705</v>
      </c>
      <c r="D2964" s="2" t="s">
        <v>204</v>
      </c>
      <c r="E2964" s="2">
        <v>156</v>
      </c>
      <c r="F2964" s="2">
        <v>1943.732</v>
      </c>
    </row>
    <row r="2965" spans="3:6" x14ac:dyDescent="0.25">
      <c r="C2965" s="2" t="s">
        <v>14706</v>
      </c>
      <c r="D2965" s="2" t="s">
        <v>204</v>
      </c>
      <c r="E2965" s="2">
        <v>163</v>
      </c>
      <c r="F2965" s="2">
        <v>3137.71</v>
      </c>
    </row>
    <row r="2966" spans="3:6" x14ac:dyDescent="0.25">
      <c r="C2966" s="2" t="s">
        <v>14707</v>
      </c>
      <c r="D2966" s="2" t="s">
        <v>342</v>
      </c>
      <c r="E2966" s="2">
        <v>156</v>
      </c>
      <c r="F2966" s="2">
        <v>3092.31</v>
      </c>
    </row>
    <row r="2967" spans="3:6" x14ac:dyDescent="0.25">
      <c r="C2967" s="2" t="s">
        <v>14708</v>
      </c>
      <c r="D2967" s="2" t="s">
        <v>342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7022</v>
      </c>
      <c r="C2969" s="2" t="s">
        <v>14709</v>
      </c>
      <c r="D2969" s="2" t="s">
        <v>20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14710</v>
      </c>
      <c r="D2970" s="2" t="s">
        <v>20</v>
      </c>
      <c r="E2970" s="2">
        <v>163</v>
      </c>
      <c r="F2970" s="2">
        <v>3004.089</v>
      </c>
    </row>
    <row r="2971" spans="3:6" x14ac:dyDescent="0.25">
      <c r="C2971" s="2" t="s">
        <v>14711</v>
      </c>
      <c r="D2971" s="2" t="s">
        <v>20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380</v>
      </c>
      <c r="C2973" s="2" t="s">
        <v>14712</v>
      </c>
      <c r="D2973" s="2" t="s">
        <v>20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14713</v>
      </c>
      <c r="D2974" s="2" t="s">
        <v>20</v>
      </c>
      <c r="E2974" s="2">
        <v>102</v>
      </c>
      <c r="F2974" s="2">
        <v>2052.5</v>
      </c>
    </row>
    <row r="2975" spans="3:6" x14ac:dyDescent="0.25">
      <c r="C2975" s="2" t="s">
        <v>14714</v>
      </c>
      <c r="D2975" s="2" t="s">
        <v>20</v>
      </c>
      <c r="E2975" s="2">
        <v>288</v>
      </c>
      <c r="F2975" s="2">
        <v>4671.321</v>
      </c>
    </row>
    <row r="2976" spans="3:6" x14ac:dyDescent="0.25">
      <c r="C2976" s="2" t="s">
        <v>14715</v>
      </c>
      <c r="D2976" s="2" t="s">
        <v>20</v>
      </c>
      <c r="E2976" s="2">
        <v>245</v>
      </c>
      <c r="F2976" s="2">
        <v>5253.43</v>
      </c>
    </row>
    <row r="2977" spans="3:6" x14ac:dyDescent="0.25">
      <c r="C2977" s="2" t="s">
        <v>14716</v>
      </c>
      <c r="D2977" s="2" t="s">
        <v>20</v>
      </c>
      <c r="E2977" s="2">
        <v>101</v>
      </c>
      <c r="F2977" s="2">
        <v>2312.509</v>
      </c>
    </row>
    <row r="2978" spans="3:6" x14ac:dyDescent="0.25">
      <c r="C2978" s="2" t="s">
        <v>14717</v>
      </c>
      <c r="D2978" s="2" t="s">
        <v>20</v>
      </c>
      <c r="E2978" s="2">
        <v>149</v>
      </c>
      <c r="F2978" s="2">
        <v>2831.82</v>
      </c>
    </row>
    <row r="2979" spans="3:6" x14ac:dyDescent="0.25">
      <c r="C2979" s="2" t="s">
        <v>14718</v>
      </c>
      <c r="D2979" s="2" t="s">
        <v>20</v>
      </c>
      <c r="E2979" s="2">
        <v>102</v>
      </c>
      <c r="F2979" s="2">
        <v>1991.13</v>
      </c>
    </row>
    <row r="2980" spans="3:6" x14ac:dyDescent="0.25">
      <c r="C2980" s="2" t="s">
        <v>14719</v>
      </c>
      <c r="D2980" s="2" t="s">
        <v>20</v>
      </c>
      <c r="E2980" s="2">
        <v>102</v>
      </c>
      <c r="F2980" s="2">
        <v>1958.51</v>
      </c>
    </row>
    <row r="2981" spans="3:6" x14ac:dyDescent="0.25">
      <c r="C2981" s="2" t="s">
        <v>14720</v>
      </c>
      <c r="D2981" s="2" t="s">
        <v>20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324</v>
      </c>
      <c r="C2983" s="2" t="s">
        <v>14721</v>
      </c>
      <c r="D2983" s="2" t="s">
        <v>27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14722</v>
      </c>
      <c r="D2984" s="2" t="s">
        <v>27</v>
      </c>
      <c r="E2984" s="2">
        <v>88</v>
      </c>
      <c r="F2984" s="2">
        <v>1815.9</v>
      </c>
    </row>
    <row r="2985" spans="3:6" x14ac:dyDescent="0.25">
      <c r="C2985" s="2" t="s">
        <v>14723</v>
      </c>
      <c r="D2985" s="2" t="s">
        <v>27</v>
      </c>
      <c r="E2985" s="2">
        <v>43</v>
      </c>
      <c r="F2985" s="2">
        <v>788.069</v>
      </c>
    </row>
    <row r="2986" spans="3:6" x14ac:dyDescent="0.25">
      <c r="C2986" s="2" t="s">
        <v>14724</v>
      </c>
      <c r="D2986" s="2" t="s">
        <v>27</v>
      </c>
      <c r="E2986" s="2">
        <v>57</v>
      </c>
      <c r="F2986" s="2">
        <v>988.64</v>
      </c>
    </row>
    <row r="2987" spans="3:6" x14ac:dyDescent="0.25">
      <c r="C2987" s="2" t="s">
        <v>14725</v>
      </c>
      <c r="D2987" s="2" t="s">
        <v>27</v>
      </c>
      <c r="E2987" s="2">
        <v>6</v>
      </c>
      <c r="F2987" s="2">
        <v>104.31</v>
      </c>
    </row>
    <row r="2988" spans="3:6" x14ac:dyDescent="0.25">
      <c r="C2988" s="2" t="s">
        <v>14726</v>
      </c>
      <c r="D2988" s="2" t="s">
        <v>27</v>
      </c>
      <c r="E2988" s="2">
        <v>16</v>
      </c>
      <c r="F2988" s="2">
        <v>285.279</v>
      </c>
    </row>
    <row r="2989" spans="3:6" x14ac:dyDescent="0.25">
      <c r="C2989" s="2" t="s">
        <v>14727</v>
      </c>
      <c r="D2989" s="2" t="s">
        <v>27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32</v>
      </c>
      <c r="C2991" s="2" t="s">
        <v>14728</v>
      </c>
      <c r="D2991" s="2" t="s">
        <v>20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14729</v>
      </c>
      <c r="D2992" s="2" t="s">
        <v>20</v>
      </c>
      <c r="E2992" s="2">
        <v>161</v>
      </c>
      <c r="F2992" s="2">
        <v>2831.539</v>
      </c>
    </row>
    <row r="2993" spans="3:6" x14ac:dyDescent="0.25">
      <c r="C2993" s="2" t="s">
        <v>14730</v>
      </c>
      <c r="D2993" s="2" t="s">
        <v>20</v>
      </c>
      <c r="E2993" s="2">
        <v>268</v>
      </c>
      <c r="F2993" s="2">
        <v>5063.979</v>
      </c>
    </row>
    <row r="2994" spans="3:6" x14ac:dyDescent="0.25">
      <c r="C2994" s="2" t="s">
        <v>14731</v>
      </c>
      <c r="D2994" s="2" t="s">
        <v>20</v>
      </c>
      <c r="E2994" s="2">
        <v>105</v>
      </c>
      <c r="F2994" s="2">
        <v>1970.56</v>
      </c>
    </row>
    <row r="2995" spans="3:6" x14ac:dyDescent="0.25">
      <c r="C2995" s="2" t="s">
        <v>14732</v>
      </c>
      <c r="D2995" s="2" t="s">
        <v>20</v>
      </c>
      <c r="E2995" s="2">
        <v>105</v>
      </c>
      <c r="F2995" s="2">
        <v>2004.49</v>
      </c>
    </row>
    <row r="2996" spans="3:6" x14ac:dyDescent="0.25">
      <c r="C2996" s="2" t="s">
        <v>14733</v>
      </c>
      <c r="D2996" s="2" t="s">
        <v>20</v>
      </c>
      <c r="E2996" s="2">
        <v>163</v>
      </c>
      <c r="F2996" s="2">
        <v>3121.495</v>
      </c>
    </row>
    <row r="2997" spans="3:6" x14ac:dyDescent="0.25">
      <c r="C2997" s="2" t="s">
        <v>14734</v>
      </c>
      <c r="D2997" s="2" t="s">
        <v>20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10</v>
      </c>
      <c r="C2999" s="2" t="s">
        <v>14735</v>
      </c>
      <c r="D2999" s="2" t="s">
        <v>12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14736</v>
      </c>
      <c r="D3000" s="2" t="s">
        <v>12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2375</v>
      </c>
      <c r="C3002" s="2" t="s">
        <v>14737</v>
      </c>
      <c r="D3002" s="2" t="s">
        <v>342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14738</v>
      </c>
      <c r="D3003" s="2" t="s">
        <v>342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1585</v>
      </c>
      <c r="C3005" s="2" t="s">
        <v>14739</v>
      </c>
      <c r="D3005" s="2" t="s">
        <v>297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1289</v>
      </c>
      <c r="C3007" s="2" t="s">
        <v>14740</v>
      </c>
      <c r="D3007" s="2" t="s">
        <v>9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14741</v>
      </c>
      <c r="D3008" s="2" t="s">
        <v>9</v>
      </c>
      <c r="E3008" s="2">
        <v>204</v>
      </c>
      <c r="F3008" s="2">
        <v>4063.88</v>
      </c>
    </row>
    <row r="3009" spans="3:6" x14ac:dyDescent="0.25">
      <c r="C3009" s="2" t="s">
        <v>14742</v>
      </c>
      <c r="D3009" s="2" t="s">
        <v>9</v>
      </c>
      <c r="E3009" s="2">
        <v>102</v>
      </c>
      <c r="F3009" s="2">
        <v>1873.02</v>
      </c>
    </row>
    <row r="3010" spans="3:6" x14ac:dyDescent="0.25">
      <c r="C3010" s="2" t="s">
        <v>14743</v>
      </c>
      <c r="D3010" s="2" t="s">
        <v>9</v>
      </c>
      <c r="E3010" s="2">
        <v>103</v>
      </c>
      <c r="F3010" s="2">
        <v>2128.82</v>
      </c>
    </row>
    <row r="3011" spans="3:6" x14ac:dyDescent="0.25">
      <c r="C3011" s="2" t="s">
        <v>14744</v>
      </c>
      <c r="D3011" s="2" t="s">
        <v>9</v>
      </c>
      <c r="E3011" s="2">
        <v>123</v>
      </c>
      <c r="F3011" s="2">
        <v>2524.49</v>
      </c>
    </row>
    <row r="3012" spans="3:6" x14ac:dyDescent="0.25">
      <c r="C3012" s="2" t="s">
        <v>14745</v>
      </c>
      <c r="D3012" s="2" t="s">
        <v>9</v>
      </c>
      <c r="E3012" s="2">
        <v>102</v>
      </c>
      <c r="F3012" s="2">
        <v>1960.88</v>
      </c>
    </row>
    <row r="3013" spans="3:6" x14ac:dyDescent="0.25">
      <c r="C3013" s="2" t="s">
        <v>14746</v>
      </c>
      <c r="D3013" s="2" t="s">
        <v>9</v>
      </c>
      <c r="E3013" s="2">
        <v>142</v>
      </c>
      <c r="F3013" s="2">
        <v>2977.7</v>
      </c>
    </row>
    <row r="3014" spans="3:6" x14ac:dyDescent="0.25">
      <c r="C3014" s="2" t="s">
        <v>14747</v>
      </c>
      <c r="D3014" s="2" t="s">
        <v>9</v>
      </c>
      <c r="E3014" s="2">
        <v>141</v>
      </c>
      <c r="F3014" s="2">
        <v>2985.149</v>
      </c>
    </row>
    <row r="3015" spans="3:6" x14ac:dyDescent="0.25">
      <c r="C3015" s="2" t="s">
        <v>14748</v>
      </c>
      <c r="D3015" s="2" t="s">
        <v>9</v>
      </c>
      <c r="E3015" s="2">
        <v>30</v>
      </c>
      <c r="F3015" s="2">
        <v>128.31</v>
      </c>
    </row>
    <row r="3016" spans="3:6" x14ac:dyDescent="0.25">
      <c r="C3016" s="2" t="s">
        <v>14749</v>
      </c>
      <c r="D3016" s="2" t="s">
        <v>9</v>
      </c>
      <c r="E3016" s="2">
        <v>30</v>
      </c>
      <c r="F3016" s="2">
        <v>128.31</v>
      </c>
    </row>
    <row r="3017" spans="3:6" x14ac:dyDescent="0.25">
      <c r="C3017" s="2" t="s">
        <v>14750</v>
      </c>
      <c r="D3017" s="2" t="s">
        <v>9</v>
      </c>
      <c r="E3017" s="2">
        <v>141</v>
      </c>
      <c r="F3017" s="2">
        <v>2863.02</v>
      </c>
    </row>
    <row r="3018" spans="3:6" x14ac:dyDescent="0.25">
      <c r="C3018" s="2" t="s">
        <v>14751</v>
      </c>
      <c r="D3018" s="2" t="s">
        <v>9</v>
      </c>
      <c r="E3018" s="2">
        <v>141</v>
      </c>
      <c r="F3018" s="2">
        <v>2893.079</v>
      </c>
    </row>
    <row r="3019" spans="3:6" x14ac:dyDescent="0.25">
      <c r="C3019" s="2" t="s">
        <v>14752</v>
      </c>
      <c r="D3019" s="2" t="s">
        <v>9</v>
      </c>
      <c r="E3019" s="2">
        <v>143</v>
      </c>
      <c r="F3019" s="2">
        <v>2692.28</v>
      </c>
    </row>
    <row r="3020" spans="3:6" x14ac:dyDescent="0.25">
      <c r="C3020" s="2" t="s">
        <v>14753</v>
      </c>
      <c r="D3020" s="2" t="s">
        <v>9</v>
      </c>
      <c r="E3020" s="2">
        <v>123</v>
      </c>
      <c r="F3020" s="2">
        <v>2461.59</v>
      </c>
    </row>
    <row r="3021" spans="3:6" x14ac:dyDescent="0.25">
      <c r="C3021" s="2" t="s">
        <v>14754</v>
      </c>
      <c r="D3021" s="2" t="s">
        <v>9</v>
      </c>
      <c r="E3021" s="2">
        <v>259</v>
      </c>
      <c r="F3021" s="2">
        <v>5032.49</v>
      </c>
    </row>
    <row r="3022" spans="3:6" x14ac:dyDescent="0.25">
      <c r="C3022" s="2" t="s">
        <v>14755</v>
      </c>
      <c r="D3022" s="2" t="s">
        <v>9</v>
      </c>
      <c r="E3022" s="2">
        <v>141</v>
      </c>
      <c r="F3022" s="2">
        <v>2993.869</v>
      </c>
    </row>
    <row r="3023" spans="3:6" x14ac:dyDescent="0.25">
      <c r="C3023" s="2" t="s">
        <v>14756</v>
      </c>
      <c r="D3023" s="2" t="s">
        <v>9</v>
      </c>
      <c r="E3023" s="2">
        <v>141</v>
      </c>
      <c r="F3023" s="2">
        <v>2891.03</v>
      </c>
    </row>
    <row r="3024" spans="3:6" x14ac:dyDescent="0.25">
      <c r="C3024" s="2" t="s">
        <v>14757</v>
      </c>
      <c r="D3024" s="2" t="s">
        <v>9</v>
      </c>
      <c r="E3024" s="2">
        <v>102</v>
      </c>
      <c r="F3024" s="2">
        <v>2047.18</v>
      </c>
    </row>
    <row r="3025" spans="3:6" x14ac:dyDescent="0.25">
      <c r="C3025" s="2" t="s">
        <v>14758</v>
      </c>
      <c r="D3025" s="2" t="s">
        <v>9</v>
      </c>
      <c r="E3025" s="2">
        <v>141</v>
      </c>
      <c r="F3025" s="2">
        <v>2951.37</v>
      </c>
    </row>
    <row r="3026" spans="3:6" x14ac:dyDescent="0.25">
      <c r="C3026" s="2" t="s">
        <v>14759</v>
      </c>
      <c r="D3026" s="2" t="s">
        <v>9</v>
      </c>
      <c r="E3026" s="2">
        <v>141</v>
      </c>
      <c r="F3026" s="2">
        <v>2867.06</v>
      </c>
    </row>
    <row r="3027" spans="3:6" x14ac:dyDescent="0.25">
      <c r="C3027" s="2" t="s">
        <v>14760</v>
      </c>
      <c r="D3027" s="2" t="s">
        <v>9</v>
      </c>
      <c r="E3027" s="2">
        <v>141</v>
      </c>
      <c r="F3027" s="2">
        <v>3112.729</v>
      </c>
    </row>
    <row r="3028" spans="3:6" x14ac:dyDescent="0.25">
      <c r="C3028" s="2" t="s">
        <v>14761</v>
      </c>
      <c r="D3028" s="2" t="s">
        <v>9</v>
      </c>
      <c r="E3028" s="2">
        <v>141</v>
      </c>
      <c r="F3028" s="2">
        <v>2699.789</v>
      </c>
    </row>
    <row r="3029" spans="3:6" x14ac:dyDescent="0.25">
      <c r="C3029" s="2" t="s">
        <v>14762</v>
      </c>
      <c r="D3029" s="2" t="s">
        <v>9</v>
      </c>
      <c r="E3029" s="2">
        <v>102</v>
      </c>
      <c r="F3029" s="2">
        <v>1805.429</v>
      </c>
    </row>
    <row r="3030" spans="3:6" x14ac:dyDescent="0.25">
      <c r="C3030" s="2" t="s">
        <v>14763</v>
      </c>
      <c r="D3030" s="2" t="s">
        <v>9</v>
      </c>
      <c r="E3030" s="2">
        <v>100</v>
      </c>
      <c r="F3030" s="2">
        <v>1648.569</v>
      </c>
    </row>
    <row r="3031" spans="3:6" x14ac:dyDescent="0.25">
      <c r="C3031" s="2" t="s">
        <v>14764</v>
      </c>
      <c r="D3031" s="2" t="s">
        <v>9</v>
      </c>
      <c r="E3031" s="2">
        <v>41</v>
      </c>
      <c r="F3031" s="2">
        <v>714.849</v>
      </c>
    </row>
    <row r="3032" spans="3:6" x14ac:dyDescent="0.25">
      <c r="C3032" s="2" t="s">
        <v>14765</v>
      </c>
      <c r="D3032" s="2" t="s">
        <v>9</v>
      </c>
      <c r="E3032" s="2">
        <v>5</v>
      </c>
      <c r="F3032" s="2">
        <v>68.9</v>
      </c>
    </row>
    <row r="3033" spans="3:6" x14ac:dyDescent="0.25">
      <c r="C3033" s="2" t="s">
        <v>14766</v>
      </c>
      <c r="D3033" s="2" t="s">
        <v>9</v>
      </c>
      <c r="E3033" s="2">
        <v>17</v>
      </c>
      <c r="F3033" s="2">
        <v>263.1</v>
      </c>
    </row>
    <row r="3034" spans="3:6" x14ac:dyDescent="0.25">
      <c r="C3034" s="2" t="s">
        <v>14767</v>
      </c>
      <c r="D3034" s="2" t="s">
        <v>9</v>
      </c>
      <c r="E3034" s="2">
        <v>54</v>
      </c>
      <c r="F3034" s="2">
        <v>1055.139</v>
      </c>
    </row>
    <row r="3035" spans="3:6" x14ac:dyDescent="0.25">
      <c r="C3035" s="2" t="s">
        <v>14768</v>
      </c>
      <c r="D3035" s="2" t="s">
        <v>9</v>
      </c>
      <c r="E3035" s="2">
        <v>141</v>
      </c>
      <c r="F3035" s="2">
        <v>2872.75</v>
      </c>
    </row>
    <row r="3036" spans="3:6" x14ac:dyDescent="0.25">
      <c r="C3036" s="2" t="s">
        <v>14769</v>
      </c>
      <c r="D3036" s="2" t="s">
        <v>9</v>
      </c>
      <c r="E3036" s="2">
        <v>29</v>
      </c>
      <c r="F3036" s="2">
        <v>604.3</v>
      </c>
    </row>
    <row r="3037" spans="3:6" x14ac:dyDescent="0.25">
      <c r="C3037" s="2" t="s">
        <v>14770</v>
      </c>
      <c r="D3037" s="2" t="s">
        <v>9</v>
      </c>
      <c r="E3037" s="2">
        <v>112</v>
      </c>
      <c r="F3037" s="2">
        <v>2333.51</v>
      </c>
    </row>
    <row r="3038" spans="3:6" x14ac:dyDescent="0.25">
      <c r="C3038" s="2" t="s">
        <v>14771</v>
      </c>
      <c r="D3038" s="2" t="s">
        <v>9</v>
      </c>
      <c r="E3038" s="2">
        <v>68</v>
      </c>
      <c r="F3038" s="2">
        <v>1371.69</v>
      </c>
    </row>
    <row r="3039" spans="3:6" x14ac:dyDescent="0.25">
      <c r="C3039" s="2" t="s">
        <v>14772</v>
      </c>
      <c r="D3039" s="2" t="s">
        <v>9</v>
      </c>
      <c r="E3039" s="2">
        <v>33</v>
      </c>
      <c r="F3039" s="2">
        <v>632.84</v>
      </c>
    </row>
    <row r="3040" spans="3:6" x14ac:dyDescent="0.25">
      <c r="C3040" s="2" t="s">
        <v>14773</v>
      </c>
      <c r="D3040" s="2" t="s">
        <v>9</v>
      </c>
      <c r="E3040" s="2">
        <v>40</v>
      </c>
      <c r="F3040" s="2">
        <v>774.88</v>
      </c>
    </row>
    <row r="3041" spans="3:6" x14ac:dyDescent="0.25">
      <c r="C3041" s="2" t="s">
        <v>14774</v>
      </c>
      <c r="D3041" s="2" t="s">
        <v>9</v>
      </c>
      <c r="E3041" s="2">
        <v>20</v>
      </c>
      <c r="F3041" s="2">
        <v>374.677</v>
      </c>
    </row>
    <row r="3042" spans="3:6" x14ac:dyDescent="0.25">
      <c r="C3042" s="2" t="s">
        <v>14775</v>
      </c>
      <c r="D3042" s="2" t="s">
        <v>9</v>
      </c>
      <c r="E3042" s="2">
        <v>12</v>
      </c>
      <c r="F3042" s="2">
        <v>257.92</v>
      </c>
    </row>
    <row r="3043" spans="3:6" x14ac:dyDescent="0.25">
      <c r="C3043" s="2" t="s">
        <v>14776</v>
      </c>
      <c r="D3043" s="2" t="s">
        <v>9</v>
      </c>
      <c r="E3043" s="2">
        <v>68</v>
      </c>
      <c r="F3043" s="2">
        <v>1349.869</v>
      </c>
    </row>
    <row r="3044" spans="3:6" x14ac:dyDescent="0.25">
      <c r="C3044" s="2" t="s">
        <v>14777</v>
      </c>
      <c r="D3044" s="2" t="s">
        <v>9</v>
      </c>
      <c r="E3044" s="2">
        <v>41</v>
      </c>
      <c r="F3044" s="2">
        <v>849.31</v>
      </c>
    </row>
    <row r="3045" spans="3:6" x14ac:dyDescent="0.25">
      <c r="C3045" s="2" t="s">
        <v>14778</v>
      </c>
      <c r="D3045" s="2" t="s">
        <v>9</v>
      </c>
      <c r="E3045" s="2">
        <v>40</v>
      </c>
      <c r="F3045" s="2">
        <v>821.26</v>
      </c>
    </row>
    <row r="3046" spans="3:6" x14ac:dyDescent="0.25">
      <c r="C3046" s="2" t="s">
        <v>14779</v>
      </c>
      <c r="D3046" s="2" t="s">
        <v>9</v>
      </c>
      <c r="E3046" s="2">
        <v>40</v>
      </c>
      <c r="F3046" s="2">
        <v>812.199</v>
      </c>
    </row>
    <row r="3047" spans="3:6" x14ac:dyDescent="0.25">
      <c r="C3047" s="2" t="s">
        <v>14780</v>
      </c>
      <c r="D3047" s="2" t="s">
        <v>9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120</v>
      </c>
      <c r="C3049" s="2" t="s">
        <v>14781</v>
      </c>
      <c r="D3049" s="2" t="s">
        <v>42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14782</v>
      </c>
      <c r="D3050" s="2" t="s">
        <v>42</v>
      </c>
      <c r="E3050" s="2">
        <v>8</v>
      </c>
      <c r="F3050" s="2">
        <v>142.36</v>
      </c>
    </row>
    <row r="3051" spans="3:6" x14ac:dyDescent="0.25">
      <c r="C3051" s="2" t="s">
        <v>14783</v>
      </c>
      <c r="D3051" s="2" t="s">
        <v>42</v>
      </c>
      <c r="E3051" s="2">
        <v>20</v>
      </c>
      <c r="F3051" s="2">
        <v>348.816</v>
      </c>
    </row>
    <row r="3052" spans="3:6" x14ac:dyDescent="0.25">
      <c r="C3052" s="2" t="s">
        <v>14784</v>
      </c>
      <c r="D3052" s="2" t="s">
        <v>42</v>
      </c>
      <c r="E3052" s="2">
        <v>16</v>
      </c>
      <c r="F3052" s="2">
        <v>307.5</v>
      </c>
    </row>
    <row r="3053" spans="3:6" x14ac:dyDescent="0.25">
      <c r="C3053" s="2" t="s">
        <v>14785</v>
      </c>
      <c r="D3053" s="2" t="s">
        <v>42</v>
      </c>
      <c r="E3053" s="2">
        <v>99</v>
      </c>
      <c r="F3053" s="2">
        <v>1736.587</v>
      </c>
    </row>
    <row r="3054" spans="3:6" x14ac:dyDescent="0.25">
      <c r="C3054" s="2" t="s">
        <v>14786</v>
      </c>
      <c r="D3054" s="2" t="s">
        <v>42</v>
      </c>
      <c r="E3054" s="2">
        <v>141</v>
      </c>
      <c r="F3054" s="2">
        <v>2056.098</v>
      </c>
    </row>
    <row r="3055" spans="3:6" x14ac:dyDescent="0.25">
      <c r="C3055" s="2" t="s">
        <v>14787</v>
      </c>
      <c r="D3055" s="2" t="s">
        <v>42</v>
      </c>
      <c r="E3055" s="2">
        <v>123</v>
      </c>
      <c r="F3055" s="2">
        <v>2488.63</v>
      </c>
    </row>
    <row r="3056" spans="3:6" x14ac:dyDescent="0.25">
      <c r="C3056" s="2" t="s">
        <v>14788</v>
      </c>
      <c r="D3056" s="2" t="s">
        <v>42</v>
      </c>
      <c r="E3056" s="2">
        <v>141</v>
      </c>
      <c r="F3056" s="2">
        <v>2961.43</v>
      </c>
    </row>
    <row r="3057" spans="3:6" x14ac:dyDescent="0.25">
      <c r="C3057" s="2" t="s">
        <v>14789</v>
      </c>
      <c r="D3057" s="2" t="s">
        <v>42</v>
      </c>
      <c r="E3057" s="2">
        <v>77</v>
      </c>
      <c r="F3057" s="2">
        <v>1570.18</v>
      </c>
    </row>
    <row r="3058" spans="3:6" x14ac:dyDescent="0.25">
      <c r="C3058" s="2" t="s">
        <v>14790</v>
      </c>
      <c r="D3058" s="2" t="s">
        <v>42</v>
      </c>
      <c r="E3058" s="2">
        <v>64</v>
      </c>
      <c r="F3058" s="2">
        <v>1348.729</v>
      </c>
    </row>
    <row r="3059" spans="3:6" x14ac:dyDescent="0.25">
      <c r="C3059" s="2" t="s">
        <v>14791</v>
      </c>
      <c r="D3059" s="2" t="s">
        <v>42</v>
      </c>
      <c r="E3059" s="2">
        <v>50</v>
      </c>
      <c r="F3059" s="2">
        <v>266.775</v>
      </c>
    </row>
    <row r="3060" spans="3:6" x14ac:dyDescent="0.25">
      <c r="C3060" s="2" t="s">
        <v>14792</v>
      </c>
      <c r="D3060" s="2" t="s">
        <v>42</v>
      </c>
      <c r="E3060" s="2">
        <v>83</v>
      </c>
      <c r="F3060" s="2">
        <v>1731.91</v>
      </c>
    </row>
    <row r="3061" spans="3:6" x14ac:dyDescent="0.25">
      <c r="C3061" s="2" t="s">
        <v>14793</v>
      </c>
      <c r="D3061" s="2" t="s">
        <v>42</v>
      </c>
      <c r="E3061" s="2">
        <v>54</v>
      </c>
      <c r="F3061" s="2">
        <v>853.303</v>
      </c>
    </row>
    <row r="3062" spans="3:6" x14ac:dyDescent="0.25">
      <c r="C3062" s="2" t="s">
        <v>14794</v>
      </c>
      <c r="D3062" s="2" t="s">
        <v>42</v>
      </c>
      <c r="E3062" s="2">
        <v>100</v>
      </c>
      <c r="F3062" s="2">
        <v>2065.91</v>
      </c>
    </row>
    <row r="3063" spans="3:6" x14ac:dyDescent="0.25">
      <c r="C3063" s="2" t="s">
        <v>14795</v>
      </c>
      <c r="D3063" s="2" t="s">
        <v>42</v>
      </c>
      <c r="E3063" s="2">
        <v>41</v>
      </c>
      <c r="F3063" s="2">
        <v>834.6</v>
      </c>
    </row>
    <row r="3064" spans="3:6" x14ac:dyDescent="0.25">
      <c r="C3064" s="2" t="s">
        <v>14796</v>
      </c>
      <c r="D3064" s="2" t="s">
        <v>42</v>
      </c>
      <c r="E3064" s="2">
        <v>101</v>
      </c>
      <c r="F3064" s="2">
        <v>2032.49</v>
      </c>
    </row>
    <row r="3065" spans="3:6" x14ac:dyDescent="0.25">
      <c r="C3065" s="2" t="s">
        <v>14797</v>
      </c>
      <c r="D3065" s="2" t="s">
        <v>42</v>
      </c>
      <c r="E3065" s="2">
        <v>10</v>
      </c>
      <c r="F3065" s="2">
        <v>163.25</v>
      </c>
    </row>
    <row r="3066" spans="3:6" x14ac:dyDescent="0.25">
      <c r="C3066" s="2" t="s">
        <v>14798</v>
      </c>
      <c r="D3066" s="2" t="s">
        <v>42</v>
      </c>
      <c r="E3066" s="2">
        <v>30</v>
      </c>
      <c r="F3066" s="2">
        <v>564.269</v>
      </c>
    </row>
    <row r="3067" spans="3:6" x14ac:dyDescent="0.25">
      <c r="C3067" s="2" t="s">
        <v>14799</v>
      </c>
      <c r="D3067" s="2" t="s">
        <v>42</v>
      </c>
      <c r="E3067" s="2">
        <v>74</v>
      </c>
      <c r="F3067" s="2">
        <v>1531.86</v>
      </c>
    </row>
    <row r="3068" spans="3:6" x14ac:dyDescent="0.25">
      <c r="C3068" s="2" t="s">
        <v>14800</v>
      </c>
      <c r="D3068" s="2" t="s">
        <v>42</v>
      </c>
      <c r="E3068" s="2">
        <v>67</v>
      </c>
      <c r="F3068" s="2">
        <v>1352.946</v>
      </c>
    </row>
    <row r="3069" spans="3:6" x14ac:dyDescent="0.25">
      <c r="C3069" s="2" t="s">
        <v>14801</v>
      </c>
      <c r="D3069" s="2" t="s">
        <v>42</v>
      </c>
      <c r="E3069" s="2">
        <v>60</v>
      </c>
      <c r="F3069" s="2">
        <v>311.58</v>
      </c>
    </row>
    <row r="3070" spans="3:6" x14ac:dyDescent="0.25">
      <c r="C3070" s="2" t="s">
        <v>14802</v>
      </c>
      <c r="D3070" s="2" t="s">
        <v>42</v>
      </c>
      <c r="E3070" s="2">
        <v>59</v>
      </c>
      <c r="F3070" s="2">
        <v>1188.63</v>
      </c>
    </row>
    <row r="3071" spans="3:6" x14ac:dyDescent="0.25">
      <c r="C3071" s="2" t="s">
        <v>14803</v>
      </c>
      <c r="D3071" s="2" t="s">
        <v>42</v>
      </c>
      <c r="E3071" s="2">
        <v>82</v>
      </c>
      <c r="F3071" s="2">
        <v>1661.33</v>
      </c>
    </row>
    <row r="3072" spans="3:6" x14ac:dyDescent="0.25">
      <c r="C3072" s="2" t="s">
        <v>14804</v>
      </c>
      <c r="D3072" s="2" t="s">
        <v>42</v>
      </c>
      <c r="E3072" s="2">
        <v>141</v>
      </c>
      <c r="F3072" s="2">
        <v>3004.925</v>
      </c>
    </row>
    <row r="3073" spans="3:6" x14ac:dyDescent="0.25">
      <c r="C3073" s="2" t="s">
        <v>14805</v>
      </c>
      <c r="D3073" s="2" t="s">
        <v>42</v>
      </c>
      <c r="E3073" s="2">
        <v>141</v>
      </c>
      <c r="F3073" s="2">
        <v>2851.57</v>
      </c>
    </row>
    <row r="3074" spans="3:6" x14ac:dyDescent="0.25">
      <c r="C3074" s="2" t="s">
        <v>14806</v>
      </c>
      <c r="D3074" s="2" t="s">
        <v>42</v>
      </c>
      <c r="E3074" s="2">
        <v>45</v>
      </c>
      <c r="F3074" s="2">
        <v>230.12</v>
      </c>
    </row>
    <row r="3075" spans="3:6" x14ac:dyDescent="0.25">
      <c r="C3075" s="2" t="s">
        <v>14807</v>
      </c>
      <c r="D3075" s="2" t="s">
        <v>42</v>
      </c>
      <c r="E3075" s="2">
        <v>141</v>
      </c>
      <c r="F3075" s="2">
        <v>2909.96</v>
      </c>
    </row>
    <row r="3076" spans="3:6" x14ac:dyDescent="0.25">
      <c r="C3076" s="2" t="s">
        <v>14808</v>
      </c>
      <c r="D3076" s="2" t="s">
        <v>42</v>
      </c>
      <c r="E3076" s="2">
        <v>141</v>
      </c>
      <c r="F3076" s="2">
        <v>2976.46</v>
      </c>
    </row>
    <row r="3077" spans="3:6" x14ac:dyDescent="0.25">
      <c r="C3077" s="2" t="s">
        <v>14809</v>
      </c>
      <c r="D3077" s="2" t="s">
        <v>42</v>
      </c>
      <c r="E3077" s="2">
        <v>131</v>
      </c>
      <c r="F3077" s="2">
        <v>2830.139</v>
      </c>
    </row>
    <row r="3078" spans="3:6" x14ac:dyDescent="0.25">
      <c r="C3078" s="2" t="s">
        <v>14810</v>
      </c>
      <c r="D3078" s="2" t="s">
        <v>42</v>
      </c>
      <c r="E3078" s="2">
        <v>10</v>
      </c>
      <c r="F3078" s="2">
        <v>185.089</v>
      </c>
    </row>
    <row r="3079" spans="3:6" x14ac:dyDescent="0.25">
      <c r="C3079" s="2" t="s">
        <v>14811</v>
      </c>
      <c r="D3079" s="2" t="s">
        <v>42</v>
      </c>
      <c r="E3079" s="2">
        <v>45</v>
      </c>
      <c r="F3079" s="2">
        <v>240.2</v>
      </c>
    </row>
    <row r="3080" spans="3:6" x14ac:dyDescent="0.25">
      <c r="C3080" s="2" t="s">
        <v>14812</v>
      </c>
      <c r="D3080" s="2" t="s">
        <v>42</v>
      </c>
      <c r="E3080" s="2">
        <v>134</v>
      </c>
      <c r="F3080" s="2">
        <v>2834.249</v>
      </c>
    </row>
    <row r="3081" spans="3:6" x14ac:dyDescent="0.25">
      <c r="C3081" s="2" t="s">
        <v>14813</v>
      </c>
      <c r="D3081" s="2" t="s">
        <v>42</v>
      </c>
      <c r="E3081" s="2">
        <v>100</v>
      </c>
      <c r="F3081" s="2">
        <v>2008.85</v>
      </c>
    </row>
    <row r="3082" spans="3:6" x14ac:dyDescent="0.25">
      <c r="C3082" s="2" t="s">
        <v>14814</v>
      </c>
      <c r="D3082" s="2" t="s">
        <v>42</v>
      </c>
      <c r="E3082" s="2">
        <v>81</v>
      </c>
      <c r="F3082" s="2">
        <v>1303.5</v>
      </c>
    </row>
    <row r="3083" spans="3:6" x14ac:dyDescent="0.25">
      <c r="C3083" s="2" t="s">
        <v>14815</v>
      </c>
      <c r="D3083" s="2" t="s">
        <v>42</v>
      </c>
      <c r="E3083" s="2">
        <v>31</v>
      </c>
      <c r="F3083" s="2">
        <v>561.82</v>
      </c>
    </row>
    <row r="3084" spans="3:6" x14ac:dyDescent="0.25">
      <c r="C3084" s="2" t="s">
        <v>14816</v>
      </c>
      <c r="D3084" s="2" t="s">
        <v>42</v>
      </c>
      <c r="E3084" s="2">
        <v>69</v>
      </c>
      <c r="F3084" s="2">
        <v>1410.12</v>
      </c>
    </row>
    <row r="3085" spans="3:6" x14ac:dyDescent="0.25">
      <c r="C3085" s="2" t="s">
        <v>14817</v>
      </c>
      <c r="D3085" s="2" t="s">
        <v>42</v>
      </c>
      <c r="E3085" s="2">
        <v>100</v>
      </c>
      <c r="F3085" s="2">
        <v>2128.4</v>
      </c>
    </row>
    <row r="3086" spans="3:6" x14ac:dyDescent="0.25">
      <c r="C3086" s="2" t="s">
        <v>14818</v>
      </c>
      <c r="D3086" s="2" t="s">
        <v>42</v>
      </c>
      <c r="E3086" s="2">
        <v>82</v>
      </c>
      <c r="F3086" s="2">
        <v>1682.895</v>
      </c>
    </row>
    <row r="3087" spans="3:6" x14ac:dyDescent="0.25">
      <c r="C3087" s="2" t="s">
        <v>14819</v>
      </c>
      <c r="D3087" s="2" t="s">
        <v>42</v>
      </c>
      <c r="E3087" s="2">
        <v>18</v>
      </c>
      <c r="F3087" s="2">
        <v>374.9</v>
      </c>
    </row>
    <row r="3088" spans="3:6" x14ac:dyDescent="0.25">
      <c r="C3088" s="2" t="s">
        <v>14820</v>
      </c>
      <c r="D3088" s="2" t="s">
        <v>42</v>
      </c>
      <c r="E3088" s="2">
        <v>65</v>
      </c>
      <c r="F3088" s="2">
        <v>1411.68</v>
      </c>
    </row>
    <row r="3089" spans="3:6" x14ac:dyDescent="0.25">
      <c r="C3089" s="2" t="s">
        <v>14821</v>
      </c>
      <c r="D3089" s="2" t="s">
        <v>42</v>
      </c>
      <c r="E3089" s="2">
        <v>10</v>
      </c>
      <c r="F3089" s="2">
        <v>229.35</v>
      </c>
    </row>
    <row r="3090" spans="3:6" x14ac:dyDescent="0.25">
      <c r="C3090" s="2" t="s">
        <v>14822</v>
      </c>
      <c r="D3090" s="2" t="s">
        <v>42</v>
      </c>
      <c r="E3090" s="2">
        <v>141</v>
      </c>
      <c r="F3090" s="2">
        <v>2861.97</v>
      </c>
    </row>
    <row r="3091" spans="3:6" x14ac:dyDescent="0.25">
      <c r="C3091" s="2" t="s">
        <v>14823</v>
      </c>
      <c r="D3091" s="2" t="s">
        <v>42</v>
      </c>
      <c r="E3091" s="2">
        <v>141</v>
      </c>
      <c r="F3091" s="2">
        <v>2841.349</v>
      </c>
    </row>
    <row r="3092" spans="3:6" x14ac:dyDescent="0.25">
      <c r="C3092" s="2" t="s">
        <v>14824</v>
      </c>
      <c r="D3092" s="2" t="s">
        <v>42</v>
      </c>
      <c r="E3092" s="2">
        <v>102</v>
      </c>
      <c r="F3092" s="2">
        <v>2091.959</v>
      </c>
    </row>
    <row r="3093" spans="3:6" x14ac:dyDescent="0.25">
      <c r="C3093" s="2" t="s">
        <v>14825</v>
      </c>
      <c r="D3093" s="2" t="s">
        <v>42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10</v>
      </c>
      <c r="C3095" s="2" t="s">
        <v>14826</v>
      </c>
      <c r="D3095" s="2" t="s">
        <v>12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14827</v>
      </c>
      <c r="D3096" s="2" t="s">
        <v>12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212</v>
      </c>
      <c r="C3098" s="2" t="s">
        <v>14828</v>
      </c>
      <c r="D3098" s="2" t="s">
        <v>347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14829</v>
      </c>
      <c r="D3099" s="2" t="s">
        <v>347</v>
      </c>
      <c r="E3099" s="2">
        <v>100</v>
      </c>
      <c r="F3099" s="2">
        <v>1970.74</v>
      </c>
    </row>
    <row r="3100" spans="3:6" x14ac:dyDescent="0.25">
      <c r="C3100" s="2" t="s">
        <v>14830</v>
      </c>
      <c r="D3100" s="2" t="s">
        <v>347</v>
      </c>
      <c r="E3100" s="2">
        <v>33</v>
      </c>
      <c r="F3100" s="2">
        <v>658.895</v>
      </c>
    </row>
    <row r="3101" spans="3:6" x14ac:dyDescent="0.25">
      <c r="C3101" s="2" t="s">
        <v>14831</v>
      </c>
      <c r="D3101" s="2" t="s">
        <v>347</v>
      </c>
      <c r="E3101" s="2">
        <v>5</v>
      </c>
      <c r="F3101" s="2">
        <v>74.96</v>
      </c>
    </row>
    <row r="3102" spans="3:6" x14ac:dyDescent="0.25">
      <c r="C3102" s="2" t="s">
        <v>14832</v>
      </c>
      <c r="D3102" s="2" t="s">
        <v>236</v>
      </c>
      <c r="E3102" s="2">
        <v>60</v>
      </c>
      <c r="F3102" s="2">
        <v>1079.15</v>
      </c>
    </row>
    <row r="3103" spans="3:6" x14ac:dyDescent="0.25">
      <c r="C3103" s="2" t="s">
        <v>14833</v>
      </c>
      <c r="D3103" s="2" t="s">
        <v>214</v>
      </c>
      <c r="E3103" s="2">
        <v>156</v>
      </c>
      <c r="F3103" s="2">
        <v>3075.45</v>
      </c>
    </row>
    <row r="3104" spans="3:6" x14ac:dyDescent="0.25">
      <c r="C3104" s="2" t="s">
        <v>14834</v>
      </c>
      <c r="D3104" s="2" t="s">
        <v>216</v>
      </c>
      <c r="E3104" s="2">
        <v>105</v>
      </c>
      <c r="F3104" s="2">
        <v>2066.589</v>
      </c>
    </row>
    <row r="3105" spans="3:6" x14ac:dyDescent="0.25">
      <c r="C3105" s="2" t="s">
        <v>14835</v>
      </c>
      <c r="D3105" s="2" t="s">
        <v>236</v>
      </c>
      <c r="E3105" s="2">
        <v>45</v>
      </c>
      <c r="F3105" s="2">
        <v>895.2</v>
      </c>
    </row>
    <row r="3106" spans="3:6" x14ac:dyDescent="0.25">
      <c r="C3106" s="2" t="s">
        <v>14836</v>
      </c>
      <c r="D3106" s="2" t="s">
        <v>204</v>
      </c>
      <c r="E3106" s="2">
        <v>105</v>
      </c>
      <c r="F3106" s="2">
        <v>1763.439</v>
      </c>
    </row>
    <row r="3107" spans="3:6" x14ac:dyDescent="0.25">
      <c r="C3107" s="2" t="s">
        <v>14837</v>
      </c>
      <c r="D3107" s="2" t="s">
        <v>216</v>
      </c>
      <c r="E3107" s="2">
        <v>105</v>
      </c>
      <c r="F3107" s="2">
        <v>2121.55</v>
      </c>
    </row>
    <row r="3108" spans="3:6" x14ac:dyDescent="0.25">
      <c r="C3108" s="2" t="s">
        <v>14838</v>
      </c>
      <c r="D3108" s="2" t="s">
        <v>216</v>
      </c>
      <c r="E3108" s="2">
        <v>60</v>
      </c>
      <c r="F3108" s="2">
        <v>1242.42</v>
      </c>
    </row>
    <row r="3109" spans="3:6" x14ac:dyDescent="0.25">
      <c r="C3109" s="2" t="s">
        <v>14839</v>
      </c>
      <c r="D3109" s="2" t="s">
        <v>216</v>
      </c>
      <c r="E3109" s="2">
        <v>96</v>
      </c>
      <c r="F3109" s="2">
        <v>1745.02</v>
      </c>
    </row>
    <row r="3110" spans="3:6" x14ac:dyDescent="0.25">
      <c r="C3110" s="2" t="s">
        <v>14840</v>
      </c>
      <c r="D3110" s="2" t="s">
        <v>347</v>
      </c>
      <c r="E3110" s="2">
        <v>100</v>
      </c>
      <c r="F3110" s="2">
        <v>2008.915</v>
      </c>
    </row>
    <row r="3111" spans="3:6" x14ac:dyDescent="0.25">
      <c r="C3111" s="2" t="s">
        <v>14841</v>
      </c>
      <c r="D3111" s="2" t="s">
        <v>342</v>
      </c>
      <c r="E3111" s="2">
        <v>69</v>
      </c>
      <c r="F3111" s="2">
        <v>1200.07</v>
      </c>
    </row>
    <row r="3112" spans="3:6" x14ac:dyDescent="0.25">
      <c r="C3112" s="2" t="s">
        <v>14842</v>
      </c>
      <c r="D3112" s="2" t="s">
        <v>342</v>
      </c>
      <c r="E3112" s="2">
        <v>36</v>
      </c>
      <c r="F3112" s="2">
        <v>639.76</v>
      </c>
    </row>
    <row r="3113" spans="3:6" x14ac:dyDescent="0.25">
      <c r="C3113" s="2" t="s">
        <v>14843</v>
      </c>
      <c r="D3113" s="2" t="s">
        <v>214</v>
      </c>
      <c r="E3113" s="2">
        <v>156</v>
      </c>
      <c r="F3113" s="2">
        <v>3128.832</v>
      </c>
    </row>
    <row r="3114" spans="3:6" x14ac:dyDescent="0.25">
      <c r="C3114" s="2" t="s">
        <v>14844</v>
      </c>
      <c r="D3114" s="2" t="s">
        <v>214</v>
      </c>
      <c r="E3114" s="2">
        <v>156</v>
      </c>
      <c r="F3114" s="2">
        <v>2941.199</v>
      </c>
    </row>
    <row r="3115" spans="3:6" x14ac:dyDescent="0.25">
      <c r="C3115" s="2" t="s">
        <v>14845</v>
      </c>
      <c r="D3115" s="2" t="s">
        <v>214</v>
      </c>
      <c r="E3115" s="2">
        <v>156</v>
      </c>
      <c r="F3115" s="2">
        <v>3044.575</v>
      </c>
    </row>
    <row r="3116" spans="3:6" x14ac:dyDescent="0.25">
      <c r="C3116" s="2" t="s">
        <v>14846</v>
      </c>
      <c r="D3116" s="2" t="s">
        <v>216</v>
      </c>
      <c r="E3116" s="2">
        <v>163</v>
      </c>
      <c r="F3116" s="2">
        <v>3192.09</v>
      </c>
    </row>
    <row r="3117" spans="3:6" x14ac:dyDescent="0.25">
      <c r="C3117" s="2" t="s">
        <v>14847</v>
      </c>
      <c r="D3117" s="2" t="s">
        <v>342</v>
      </c>
      <c r="E3117" s="2">
        <v>106</v>
      </c>
      <c r="F3117" s="2">
        <v>1922.868</v>
      </c>
    </row>
    <row r="3118" spans="3:6" x14ac:dyDescent="0.25">
      <c r="C3118" s="2" t="s">
        <v>14848</v>
      </c>
      <c r="D3118" s="2" t="s">
        <v>347</v>
      </c>
      <c r="E3118" s="2">
        <v>36</v>
      </c>
      <c r="F3118" s="2">
        <v>703.465</v>
      </c>
    </row>
    <row r="3119" spans="3:6" x14ac:dyDescent="0.25">
      <c r="C3119" s="2" t="s">
        <v>14849</v>
      </c>
      <c r="D3119" s="2" t="s">
        <v>347</v>
      </c>
      <c r="E3119" s="2">
        <v>20</v>
      </c>
      <c r="F3119" s="2">
        <v>371.759</v>
      </c>
    </row>
    <row r="3120" spans="3:6" x14ac:dyDescent="0.25">
      <c r="C3120" s="2" t="s">
        <v>14850</v>
      </c>
      <c r="D3120" s="2" t="s">
        <v>216</v>
      </c>
      <c r="E3120" s="2">
        <v>163</v>
      </c>
      <c r="F3120" s="2">
        <v>3128.729</v>
      </c>
    </row>
    <row r="3121" spans="3:6" x14ac:dyDescent="0.25">
      <c r="C3121" s="2" t="s">
        <v>14851</v>
      </c>
      <c r="D3121" s="2" t="s">
        <v>216</v>
      </c>
      <c r="E3121" s="2">
        <v>163</v>
      </c>
      <c r="F3121" s="2">
        <v>2999.599</v>
      </c>
    </row>
    <row r="3122" spans="3:6" x14ac:dyDescent="0.25">
      <c r="C3122" s="2" t="s">
        <v>14852</v>
      </c>
      <c r="D3122" s="2" t="s">
        <v>216</v>
      </c>
      <c r="E3122" s="2">
        <v>163</v>
      </c>
      <c r="F3122" s="2">
        <v>3195.739</v>
      </c>
    </row>
    <row r="3123" spans="3:6" x14ac:dyDescent="0.25">
      <c r="C3123" s="2" t="s">
        <v>14853</v>
      </c>
      <c r="D3123" s="2" t="s">
        <v>216</v>
      </c>
      <c r="E3123" s="2">
        <v>134</v>
      </c>
      <c r="F3123" s="2">
        <v>2670.96</v>
      </c>
    </row>
    <row r="3124" spans="3:6" x14ac:dyDescent="0.25">
      <c r="C3124" s="2" t="s">
        <v>14854</v>
      </c>
      <c r="D3124" s="2" t="s">
        <v>216</v>
      </c>
      <c r="E3124" s="2">
        <v>134</v>
      </c>
      <c r="F3124" s="2">
        <v>2710.059</v>
      </c>
    </row>
    <row r="3125" spans="3:6" x14ac:dyDescent="0.25">
      <c r="C3125" s="2" t="s">
        <v>14855</v>
      </c>
      <c r="D3125" s="2" t="s">
        <v>216</v>
      </c>
      <c r="E3125" s="2">
        <v>134</v>
      </c>
      <c r="F3125" s="2">
        <v>2615.359</v>
      </c>
    </row>
    <row r="3126" spans="3:6" x14ac:dyDescent="0.25">
      <c r="C3126" s="2" t="s">
        <v>14856</v>
      </c>
      <c r="D3126" s="2" t="s">
        <v>216</v>
      </c>
      <c r="E3126" s="2">
        <v>134</v>
      </c>
      <c r="F3126" s="2">
        <v>2756.21</v>
      </c>
    </row>
    <row r="3127" spans="3:6" x14ac:dyDescent="0.25">
      <c r="C3127" s="2" t="s">
        <v>14857</v>
      </c>
      <c r="D3127" s="2" t="s">
        <v>216</v>
      </c>
      <c r="E3127" s="2">
        <v>134</v>
      </c>
      <c r="F3127" s="2">
        <v>2584.269</v>
      </c>
    </row>
    <row r="3128" spans="3:6" x14ac:dyDescent="0.25">
      <c r="C3128" s="2" t="s">
        <v>14858</v>
      </c>
      <c r="D3128" s="2" t="s">
        <v>216</v>
      </c>
      <c r="E3128" s="2">
        <v>134</v>
      </c>
      <c r="F3128" s="2">
        <v>2522.91</v>
      </c>
    </row>
    <row r="3129" spans="3:6" x14ac:dyDescent="0.25">
      <c r="C3129" s="2" t="s">
        <v>14859</v>
      </c>
      <c r="D3129" s="2" t="s">
        <v>216</v>
      </c>
      <c r="E3129" s="2">
        <v>163</v>
      </c>
      <c r="F3129" s="2">
        <v>3199.12</v>
      </c>
    </row>
    <row r="3130" spans="3:6" x14ac:dyDescent="0.25">
      <c r="C3130" s="2" t="s">
        <v>14860</v>
      </c>
      <c r="D3130" s="2" t="s">
        <v>216</v>
      </c>
      <c r="E3130" s="2">
        <v>163</v>
      </c>
      <c r="F3130" s="2">
        <v>3182.699</v>
      </c>
    </row>
    <row r="3131" spans="3:6" x14ac:dyDescent="0.25">
      <c r="C3131" s="2" t="s">
        <v>14861</v>
      </c>
      <c r="D3131" s="2" t="s">
        <v>216</v>
      </c>
      <c r="E3131" s="2">
        <v>163</v>
      </c>
      <c r="F3131" s="2">
        <v>3234.67</v>
      </c>
    </row>
    <row r="3132" spans="3:6" x14ac:dyDescent="0.25">
      <c r="C3132" s="2" t="s">
        <v>14862</v>
      </c>
      <c r="D3132" s="2" t="s">
        <v>216</v>
      </c>
      <c r="E3132" s="2">
        <v>163</v>
      </c>
      <c r="F3132" s="2">
        <v>2902.318</v>
      </c>
    </row>
    <row r="3133" spans="3:6" x14ac:dyDescent="0.25">
      <c r="C3133" s="2" t="s">
        <v>14863</v>
      </c>
      <c r="D3133" s="2" t="s">
        <v>216</v>
      </c>
      <c r="E3133" s="2">
        <v>163</v>
      </c>
      <c r="F3133" s="2">
        <v>3111.2</v>
      </c>
    </row>
    <row r="3134" spans="3:6" x14ac:dyDescent="0.25">
      <c r="C3134" s="2" t="s">
        <v>14864</v>
      </c>
      <c r="D3134" s="2" t="s">
        <v>214</v>
      </c>
      <c r="E3134" s="2">
        <v>156</v>
      </c>
      <c r="F3134" s="2">
        <v>2973.319</v>
      </c>
    </row>
    <row r="3135" spans="3:6" x14ac:dyDescent="0.25">
      <c r="C3135" s="2" t="s">
        <v>14865</v>
      </c>
      <c r="D3135" s="2" t="s">
        <v>204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335</v>
      </c>
      <c r="C3137" s="2" t="s">
        <v>14866</v>
      </c>
      <c r="D3137" s="2" t="s">
        <v>20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14867</v>
      </c>
      <c r="D3138" s="2" t="s">
        <v>20</v>
      </c>
      <c r="E3138" s="2">
        <v>150</v>
      </c>
      <c r="F3138" s="2">
        <v>2760.138</v>
      </c>
    </row>
    <row r="3139" spans="3:6" x14ac:dyDescent="0.25">
      <c r="C3139" s="2" t="s">
        <v>14868</v>
      </c>
      <c r="D3139" s="2" t="s">
        <v>20</v>
      </c>
      <c r="E3139" s="2">
        <v>142</v>
      </c>
      <c r="F3139" s="2">
        <v>3052.31</v>
      </c>
    </row>
    <row r="3140" spans="3:6" x14ac:dyDescent="0.25">
      <c r="C3140" s="2" t="s">
        <v>14869</v>
      </c>
      <c r="D3140" s="2" t="s">
        <v>20</v>
      </c>
      <c r="E3140" s="2">
        <v>142</v>
      </c>
      <c r="F3140" s="2">
        <v>3022.85</v>
      </c>
    </row>
    <row r="3141" spans="3:6" x14ac:dyDescent="0.25">
      <c r="C3141" s="2" t="s">
        <v>14870</v>
      </c>
      <c r="D3141" s="2" t="s">
        <v>20</v>
      </c>
      <c r="E3141" s="2">
        <v>142</v>
      </c>
      <c r="F3141" s="2">
        <v>3068.049</v>
      </c>
    </row>
    <row r="3142" spans="3:6" x14ac:dyDescent="0.25">
      <c r="C3142" s="2" t="s">
        <v>14871</v>
      </c>
      <c r="D3142" s="2" t="s">
        <v>20</v>
      </c>
      <c r="E3142" s="2">
        <v>142</v>
      </c>
      <c r="F3142" s="2">
        <v>2946.27</v>
      </c>
    </row>
    <row r="3143" spans="3:6" x14ac:dyDescent="0.25">
      <c r="C3143" s="2" t="s">
        <v>14872</v>
      </c>
      <c r="D3143" s="2" t="s">
        <v>20</v>
      </c>
      <c r="E3143" s="2">
        <v>149</v>
      </c>
      <c r="F3143" s="2">
        <v>2852.38</v>
      </c>
    </row>
    <row r="3144" spans="3:6" x14ac:dyDescent="0.25">
      <c r="C3144" s="2" t="s">
        <v>14873</v>
      </c>
      <c r="D3144" s="2" t="s">
        <v>20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14874</v>
      </c>
      <c r="C3146" s="2" t="s">
        <v>14875</v>
      </c>
      <c r="D3146" s="2" t="s">
        <v>204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1434</v>
      </c>
      <c r="C3148" s="2" t="s">
        <v>14876</v>
      </c>
      <c r="D3148" s="2" t="s">
        <v>122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14877</v>
      </c>
      <c r="D3149" s="2" t="s">
        <v>122</v>
      </c>
      <c r="E3149" s="2">
        <v>101</v>
      </c>
      <c r="F3149" s="2">
        <v>2023.86</v>
      </c>
    </row>
    <row r="3150" spans="3:6" x14ac:dyDescent="0.25">
      <c r="C3150" s="2" t="s">
        <v>14878</v>
      </c>
      <c r="D3150" s="2" t="s">
        <v>122</v>
      </c>
      <c r="E3150" s="2">
        <v>73</v>
      </c>
      <c r="F3150" s="2">
        <v>1446.4</v>
      </c>
    </row>
    <row r="3151" spans="3:6" x14ac:dyDescent="0.25">
      <c r="C3151" s="2" t="s">
        <v>14879</v>
      </c>
      <c r="D3151" s="2" t="s">
        <v>122</v>
      </c>
      <c r="E3151" s="2">
        <v>28</v>
      </c>
      <c r="F3151" s="2">
        <v>553.09</v>
      </c>
    </row>
    <row r="3152" spans="3:6" x14ac:dyDescent="0.25">
      <c r="C3152" s="2" t="s">
        <v>14880</v>
      </c>
      <c r="D3152" s="2" t="s">
        <v>122</v>
      </c>
      <c r="E3152" s="2">
        <v>101</v>
      </c>
      <c r="F3152" s="2">
        <v>2194.43</v>
      </c>
    </row>
    <row r="3153" spans="3:6" x14ac:dyDescent="0.25">
      <c r="C3153" s="2" t="s">
        <v>14881</v>
      </c>
      <c r="D3153" s="2" t="s">
        <v>122</v>
      </c>
      <c r="E3153" s="2">
        <v>91</v>
      </c>
      <c r="F3153" s="2">
        <v>1787.78</v>
      </c>
    </row>
    <row r="3154" spans="3:6" x14ac:dyDescent="0.25">
      <c r="C3154" s="2" t="s">
        <v>14882</v>
      </c>
      <c r="D3154" s="2" t="s">
        <v>122</v>
      </c>
      <c r="E3154" s="2">
        <v>10</v>
      </c>
      <c r="F3154" s="2">
        <v>198.12</v>
      </c>
    </row>
    <row r="3155" spans="3:6" x14ac:dyDescent="0.25">
      <c r="C3155" s="2" t="s">
        <v>14883</v>
      </c>
      <c r="D3155" s="2" t="s">
        <v>122</v>
      </c>
      <c r="E3155" s="2">
        <v>74</v>
      </c>
      <c r="F3155" s="2">
        <v>1522.63</v>
      </c>
    </row>
    <row r="3156" spans="3:6" x14ac:dyDescent="0.25">
      <c r="C3156" s="2" t="s">
        <v>14884</v>
      </c>
      <c r="D3156" s="2" t="s">
        <v>122</v>
      </c>
      <c r="E3156" s="2">
        <v>27</v>
      </c>
      <c r="F3156" s="2">
        <v>533.03</v>
      </c>
    </row>
    <row r="3157" spans="3:6" x14ac:dyDescent="0.25">
      <c r="C3157" s="2" t="s">
        <v>14885</v>
      </c>
      <c r="D3157" s="2" t="s">
        <v>122</v>
      </c>
      <c r="E3157" s="2">
        <v>121</v>
      </c>
      <c r="F3157" s="2">
        <v>2436.649</v>
      </c>
    </row>
    <row r="3158" spans="3:6" x14ac:dyDescent="0.25">
      <c r="C3158" s="2" t="s">
        <v>14886</v>
      </c>
      <c r="D3158" s="2" t="s">
        <v>122</v>
      </c>
      <c r="E3158" s="2">
        <v>121</v>
      </c>
      <c r="F3158" s="2">
        <v>2492.1</v>
      </c>
    </row>
    <row r="3159" spans="3:6" x14ac:dyDescent="0.25">
      <c r="C3159" s="2" t="s">
        <v>14887</v>
      </c>
      <c r="D3159" s="2" t="s">
        <v>122</v>
      </c>
      <c r="E3159" s="2">
        <v>141</v>
      </c>
      <c r="F3159" s="2">
        <v>2928.47</v>
      </c>
    </row>
    <row r="3160" spans="3:6" x14ac:dyDescent="0.25">
      <c r="C3160" s="2" t="s">
        <v>14888</v>
      </c>
      <c r="D3160" s="2" t="s">
        <v>122</v>
      </c>
      <c r="E3160" s="2">
        <v>141</v>
      </c>
      <c r="F3160" s="2">
        <v>2879.83</v>
      </c>
    </row>
    <row r="3161" spans="3:6" x14ac:dyDescent="0.25">
      <c r="C3161" s="2" t="s">
        <v>14889</v>
      </c>
      <c r="D3161" s="2" t="s">
        <v>122</v>
      </c>
      <c r="E3161" s="2">
        <v>141</v>
      </c>
      <c r="F3161" s="2">
        <v>2810.7</v>
      </c>
    </row>
    <row r="3162" spans="3:6" x14ac:dyDescent="0.25">
      <c r="C3162" s="2" t="s">
        <v>14890</v>
      </c>
      <c r="D3162" s="2" t="s">
        <v>122</v>
      </c>
      <c r="E3162" s="2">
        <v>141</v>
      </c>
      <c r="F3162" s="2">
        <v>2846.53</v>
      </c>
    </row>
    <row r="3163" spans="3:6" x14ac:dyDescent="0.25">
      <c r="C3163" s="2" t="s">
        <v>14891</v>
      </c>
      <c r="D3163" s="2" t="s">
        <v>122</v>
      </c>
      <c r="E3163" s="2">
        <v>141</v>
      </c>
      <c r="F3163" s="2">
        <v>2853.99</v>
      </c>
    </row>
    <row r="3164" spans="3:6" x14ac:dyDescent="0.25">
      <c r="C3164" s="2" t="s">
        <v>14892</v>
      </c>
      <c r="D3164" s="2" t="s">
        <v>122</v>
      </c>
      <c r="E3164" s="2">
        <v>141</v>
      </c>
      <c r="F3164" s="2">
        <v>2818.319</v>
      </c>
    </row>
    <row r="3165" spans="3:6" x14ac:dyDescent="0.25">
      <c r="C3165" s="2" t="s">
        <v>14893</v>
      </c>
      <c r="D3165" s="2" t="s">
        <v>122</v>
      </c>
      <c r="E3165" s="2">
        <v>142</v>
      </c>
      <c r="F3165" s="2">
        <v>2836.64</v>
      </c>
    </row>
    <row r="3166" spans="3:6" x14ac:dyDescent="0.25">
      <c r="C3166" s="2" t="s">
        <v>14894</v>
      </c>
      <c r="D3166" s="2" t="s">
        <v>122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206</v>
      </c>
      <c r="C3168" s="2" t="s">
        <v>14895</v>
      </c>
      <c r="D3168" s="2" t="s">
        <v>27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14896</v>
      </c>
      <c r="D3169" s="2" t="s">
        <v>27</v>
      </c>
      <c r="E3169" s="2">
        <v>90</v>
      </c>
      <c r="F3169" s="2">
        <v>1822.54</v>
      </c>
    </row>
    <row r="3170" spans="3:6" x14ac:dyDescent="0.25">
      <c r="C3170" s="2" t="s">
        <v>14897</v>
      </c>
      <c r="D3170" s="2" t="s">
        <v>27</v>
      </c>
      <c r="E3170" s="2">
        <v>16</v>
      </c>
      <c r="F3170" s="2">
        <v>341.649</v>
      </c>
    </row>
    <row r="3171" spans="3:6" x14ac:dyDescent="0.25">
      <c r="C3171" s="2" t="s">
        <v>14898</v>
      </c>
      <c r="D3171" s="2" t="s">
        <v>27</v>
      </c>
      <c r="E3171" s="2">
        <v>80</v>
      </c>
      <c r="F3171" s="2">
        <v>1440.43</v>
      </c>
    </row>
    <row r="3172" spans="3:6" x14ac:dyDescent="0.25">
      <c r="C3172" s="2" t="s">
        <v>14899</v>
      </c>
      <c r="D3172" s="2" t="s">
        <v>27</v>
      </c>
      <c r="E3172" s="2">
        <v>40</v>
      </c>
      <c r="F3172" s="2">
        <v>712.89</v>
      </c>
    </row>
    <row r="3173" spans="3:6" x14ac:dyDescent="0.25">
      <c r="C3173" s="2" t="s">
        <v>14900</v>
      </c>
      <c r="D3173" s="2" t="s">
        <v>27</v>
      </c>
      <c r="E3173" s="2">
        <v>88</v>
      </c>
      <c r="F3173" s="2">
        <v>1709.04</v>
      </c>
    </row>
    <row r="3174" spans="3:6" x14ac:dyDescent="0.25">
      <c r="C3174" s="2" t="s">
        <v>14901</v>
      </c>
      <c r="D3174" s="2" t="s">
        <v>27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14902</v>
      </c>
      <c r="C3176" s="2" t="s">
        <v>14903</v>
      </c>
      <c r="D3176" s="2" t="s">
        <v>204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14904</v>
      </c>
      <c r="D3177" s="2" t="s">
        <v>204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10</v>
      </c>
      <c r="C3179" s="2" t="s">
        <v>14905</v>
      </c>
      <c r="D3179" s="2" t="s">
        <v>12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14906</v>
      </c>
      <c r="D3180" s="2" t="s">
        <v>12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13396</v>
      </c>
      <c r="C3182" s="2" t="s">
        <v>14907</v>
      </c>
      <c r="D3182" s="2" t="s">
        <v>42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14908</v>
      </c>
      <c r="D3183" s="2" t="s">
        <v>1288</v>
      </c>
      <c r="E3183" s="2">
        <v>50</v>
      </c>
      <c r="F3183" s="2">
        <v>972.47</v>
      </c>
    </row>
    <row r="3184" spans="3:6" x14ac:dyDescent="0.25">
      <c r="C3184" s="2" t="s">
        <v>14909</v>
      </c>
      <c r="D3184" s="2" t="s">
        <v>1288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7022</v>
      </c>
      <c r="C3186" s="2" t="s">
        <v>14910</v>
      </c>
      <c r="D3186" s="2" t="s">
        <v>20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14911</v>
      </c>
      <c r="D3187" s="2" t="s">
        <v>20</v>
      </c>
      <c r="E3187" s="2">
        <v>105</v>
      </c>
      <c r="F3187" s="2">
        <v>2022.88</v>
      </c>
    </row>
    <row r="3188" spans="3:6" x14ac:dyDescent="0.25">
      <c r="C3188" s="2" t="s">
        <v>14912</v>
      </c>
      <c r="D3188" s="2" t="s">
        <v>20</v>
      </c>
      <c r="E3188" s="2">
        <v>210</v>
      </c>
      <c r="F3188" s="2">
        <v>4176.85</v>
      </c>
    </row>
    <row r="3189" spans="3:6" x14ac:dyDescent="0.25">
      <c r="C3189" s="2" t="s">
        <v>14913</v>
      </c>
      <c r="D3189" s="2" t="s">
        <v>20</v>
      </c>
      <c r="E3189" s="2">
        <v>163</v>
      </c>
      <c r="F3189" s="2">
        <v>3034.016</v>
      </c>
    </row>
    <row r="3190" spans="3:6" x14ac:dyDescent="0.25">
      <c r="C3190" s="2" t="s">
        <v>14914</v>
      </c>
      <c r="D3190" s="2" t="s">
        <v>20</v>
      </c>
      <c r="E3190" s="2">
        <v>105</v>
      </c>
      <c r="F3190" s="2">
        <v>2067.55</v>
      </c>
    </row>
    <row r="3191" spans="3:6" x14ac:dyDescent="0.25">
      <c r="C3191" s="2" t="s">
        <v>14915</v>
      </c>
      <c r="D3191" s="2" t="s">
        <v>20</v>
      </c>
      <c r="E3191" s="2">
        <v>252</v>
      </c>
      <c r="F3191" s="2">
        <v>5616.4</v>
      </c>
    </row>
    <row r="3192" spans="3:6" x14ac:dyDescent="0.25">
      <c r="C3192" s="2" t="s">
        <v>14916</v>
      </c>
      <c r="D3192" s="2" t="s">
        <v>20</v>
      </c>
      <c r="E3192" s="2">
        <v>311</v>
      </c>
      <c r="F3192" s="2">
        <v>5125.605</v>
      </c>
    </row>
    <row r="3193" spans="3:6" x14ac:dyDescent="0.25">
      <c r="C3193" s="2" t="s">
        <v>14917</v>
      </c>
      <c r="D3193" s="2" t="s">
        <v>20</v>
      </c>
      <c r="E3193" s="2">
        <v>105</v>
      </c>
      <c r="F3193" s="2">
        <v>2074.65</v>
      </c>
    </row>
    <row r="3194" spans="3:6" x14ac:dyDescent="0.25">
      <c r="C3194" s="2" t="s">
        <v>14715</v>
      </c>
      <c r="D3194" s="2" t="s">
        <v>20</v>
      </c>
      <c r="E3194" s="2">
        <v>224</v>
      </c>
      <c r="F3194" s="2">
        <v>5264</v>
      </c>
    </row>
    <row r="3195" spans="3:6" x14ac:dyDescent="0.25">
      <c r="C3195" s="2" t="s">
        <v>14711</v>
      </c>
      <c r="D3195" s="2" t="s">
        <v>20</v>
      </c>
      <c r="E3195" s="2">
        <v>158</v>
      </c>
      <c r="F3195" s="2">
        <v>3336</v>
      </c>
    </row>
    <row r="3196" spans="3:6" x14ac:dyDescent="0.25">
      <c r="C3196" s="2" t="s">
        <v>14412</v>
      </c>
      <c r="D3196" s="2" t="s">
        <v>20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120</v>
      </c>
      <c r="C3198" s="2" t="s">
        <v>14918</v>
      </c>
      <c r="D3198" s="2" t="s">
        <v>122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14919</v>
      </c>
      <c r="D3199" s="2" t="s">
        <v>122</v>
      </c>
      <c r="E3199" s="2">
        <v>18</v>
      </c>
      <c r="F3199" s="2">
        <v>345.15</v>
      </c>
    </row>
    <row r="3200" spans="3:6" x14ac:dyDescent="0.25">
      <c r="C3200" s="2" t="s">
        <v>14920</v>
      </c>
      <c r="D3200" s="2" t="s">
        <v>122</v>
      </c>
      <c r="E3200" s="2">
        <v>21</v>
      </c>
      <c r="F3200" s="2">
        <v>388.699</v>
      </c>
    </row>
    <row r="3201" spans="3:6" x14ac:dyDescent="0.25">
      <c r="C3201" s="2" t="s">
        <v>14921</v>
      </c>
      <c r="D3201" s="2" t="s">
        <v>122</v>
      </c>
      <c r="E3201" s="2">
        <v>33</v>
      </c>
      <c r="F3201" s="2">
        <v>635.56</v>
      </c>
    </row>
    <row r="3202" spans="3:6" x14ac:dyDescent="0.25">
      <c r="C3202" s="2" t="s">
        <v>14922</v>
      </c>
      <c r="D3202" s="2" t="s">
        <v>122</v>
      </c>
      <c r="E3202" s="2">
        <v>10</v>
      </c>
      <c r="F3202" s="2">
        <v>201.02</v>
      </c>
    </row>
    <row r="3203" spans="3:6" x14ac:dyDescent="0.25">
      <c r="C3203" s="2" t="s">
        <v>14923</v>
      </c>
      <c r="D3203" s="2" t="s">
        <v>122</v>
      </c>
      <c r="E3203" s="2">
        <v>49</v>
      </c>
      <c r="F3203" s="2">
        <v>892.953</v>
      </c>
    </row>
    <row r="3204" spans="3:6" x14ac:dyDescent="0.25">
      <c r="C3204" s="2" t="s">
        <v>14924</v>
      </c>
      <c r="D3204" s="2" t="s">
        <v>122</v>
      </c>
      <c r="E3204" s="2">
        <v>12</v>
      </c>
      <c r="F3204" s="2">
        <v>211.6</v>
      </c>
    </row>
    <row r="3205" spans="3:6" x14ac:dyDescent="0.25">
      <c r="C3205" s="2" t="s">
        <v>14925</v>
      </c>
      <c r="D3205" s="2" t="s">
        <v>122</v>
      </c>
      <c r="E3205" s="2">
        <v>25</v>
      </c>
      <c r="F3205" s="2">
        <v>474.17</v>
      </c>
    </row>
    <row r="3206" spans="3:6" x14ac:dyDescent="0.25">
      <c r="C3206" s="2" t="s">
        <v>14926</v>
      </c>
      <c r="D3206" s="2" t="s">
        <v>122</v>
      </c>
      <c r="E3206" s="2">
        <v>27</v>
      </c>
      <c r="F3206" s="2">
        <v>503.26</v>
      </c>
    </row>
    <row r="3207" spans="3:6" x14ac:dyDescent="0.25">
      <c r="C3207" s="2" t="s">
        <v>14927</v>
      </c>
      <c r="D3207" s="2" t="s">
        <v>122</v>
      </c>
      <c r="E3207" s="2">
        <v>112</v>
      </c>
      <c r="F3207" s="2">
        <v>2140.426</v>
      </c>
    </row>
    <row r="3208" spans="3:6" x14ac:dyDescent="0.25">
      <c r="C3208" s="2" t="s">
        <v>14928</v>
      </c>
      <c r="D3208" s="2" t="s">
        <v>122</v>
      </c>
      <c r="E3208" s="2">
        <v>9</v>
      </c>
      <c r="F3208" s="2">
        <v>184.01</v>
      </c>
    </row>
    <row r="3209" spans="3:6" x14ac:dyDescent="0.25">
      <c r="C3209" s="2" t="s">
        <v>14929</v>
      </c>
      <c r="D3209" s="2" t="s">
        <v>122</v>
      </c>
      <c r="E3209" s="2">
        <v>8</v>
      </c>
      <c r="F3209" s="2">
        <v>106.799</v>
      </c>
    </row>
    <row r="3210" spans="3:6" x14ac:dyDescent="0.25">
      <c r="C3210" s="2" t="s">
        <v>14930</v>
      </c>
      <c r="D3210" s="2" t="s">
        <v>122</v>
      </c>
      <c r="E3210" s="2">
        <v>65</v>
      </c>
      <c r="F3210" s="2">
        <v>1335.14</v>
      </c>
    </row>
    <row r="3211" spans="3:6" x14ac:dyDescent="0.25">
      <c r="C3211" s="2" t="s">
        <v>14931</v>
      </c>
      <c r="D3211" s="2" t="s">
        <v>122</v>
      </c>
      <c r="E3211" s="2">
        <v>48</v>
      </c>
      <c r="F3211" s="2">
        <v>976.85</v>
      </c>
    </row>
    <row r="3212" spans="3:6" x14ac:dyDescent="0.25">
      <c r="C3212" s="2" t="s">
        <v>14932</v>
      </c>
      <c r="D3212" s="2" t="s">
        <v>122</v>
      </c>
      <c r="E3212" s="2">
        <v>141</v>
      </c>
      <c r="F3212" s="2">
        <v>2857.13</v>
      </c>
    </row>
    <row r="3213" spans="3:6" x14ac:dyDescent="0.25">
      <c r="C3213" s="2" t="s">
        <v>14933</v>
      </c>
      <c r="D3213" s="2" t="s">
        <v>122</v>
      </c>
      <c r="E3213" s="2">
        <v>141</v>
      </c>
      <c r="F3213" s="2">
        <v>2918.829</v>
      </c>
    </row>
    <row r="3214" spans="3:6" x14ac:dyDescent="0.25">
      <c r="C3214" s="2" t="s">
        <v>14934</v>
      </c>
      <c r="D3214" s="2" t="s">
        <v>122</v>
      </c>
      <c r="E3214" s="2">
        <v>141</v>
      </c>
      <c r="F3214" s="2">
        <v>2800.29</v>
      </c>
    </row>
    <row r="3215" spans="3:6" x14ac:dyDescent="0.25">
      <c r="C3215" s="2" t="s">
        <v>14935</v>
      </c>
      <c r="D3215" s="2" t="s">
        <v>122</v>
      </c>
      <c r="E3215" s="2">
        <v>141</v>
      </c>
      <c r="F3215" s="2">
        <v>2782.29</v>
      </c>
    </row>
    <row r="3216" spans="3:6" x14ac:dyDescent="0.25">
      <c r="C3216" s="2" t="s">
        <v>14936</v>
      </c>
      <c r="D3216" s="2" t="s">
        <v>122</v>
      </c>
      <c r="E3216" s="2">
        <v>115</v>
      </c>
      <c r="F3216" s="2">
        <v>2209.229</v>
      </c>
    </row>
    <row r="3217" spans="3:6" x14ac:dyDescent="0.25">
      <c r="C3217" s="2" t="s">
        <v>14937</v>
      </c>
      <c r="D3217" s="2" t="s">
        <v>122</v>
      </c>
      <c r="E3217" s="2">
        <v>26</v>
      </c>
      <c r="F3217" s="2">
        <v>534.9</v>
      </c>
    </row>
    <row r="3218" spans="3:6" x14ac:dyDescent="0.25">
      <c r="C3218" s="2" t="s">
        <v>14938</v>
      </c>
      <c r="D3218" s="2" t="s">
        <v>122</v>
      </c>
      <c r="E3218" s="2">
        <v>64</v>
      </c>
      <c r="F3218" s="2">
        <v>1220.92</v>
      </c>
    </row>
    <row r="3219" spans="3:6" x14ac:dyDescent="0.25">
      <c r="C3219" s="2" t="s">
        <v>14939</v>
      </c>
      <c r="D3219" s="2" t="s">
        <v>122</v>
      </c>
      <c r="E3219" s="2">
        <v>31</v>
      </c>
      <c r="F3219" s="2">
        <v>561.52</v>
      </c>
    </row>
    <row r="3220" spans="3:6" x14ac:dyDescent="0.25">
      <c r="C3220" s="2" t="s">
        <v>14940</v>
      </c>
      <c r="D3220" s="2" t="s">
        <v>122</v>
      </c>
      <c r="E3220" s="2">
        <v>46</v>
      </c>
      <c r="F3220" s="2">
        <v>859.269</v>
      </c>
    </row>
    <row r="3221" spans="3:6" x14ac:dyDescent="0.25">
      <c r="C3221" s="2" t="s">
        <v>14941</v>
      </c>
      <c r="D3221" s="2" t="s">
        <v>122</v>
      </c>
      <c r="E3221" s="2">
        <v>65</v>
      </c>
      <c r="F3221" s="2">
        <v>1323.9</v>
      </c>
    </row>
    <row r="3222" spans="3:6" x14ac:dyDescent="0.25">
      <c r="C3222" s="2" t="s">
        <v>14942</v>
      </c>
      <c r="D3222" s="2" t="s">
        <v>122</v>
      </c>
      <c r="E3222" s="2">
        <v>37</v>
      </c>
      <c r="F3222" s="2">
        <v>700.36</v>
      </c>
    </row>
    <row r="3223" spans="3:6" x14ac:dyDescent="0.25">
      <c r="C3223" s="2" t="s">
        <v>14943</v>
      </c>
      <c r="D3223" s="2" t="s">
        <v>122</v>
      </c>
      <c r="E3223" s="2">
        <v>102</v>
      </c>
      <c r="F3223" s="2">
        <v>2130.119</v>
      </c>
    </row>
    <row r="3224" spans="3:6" x14ac:dyDescent="0.25">
      <c r="C3224" s="2" t="s">
        <v>14944</v>
      </c>
      <c r="D3224" s="2" t="s">
        <v>122</v>
      </c>
      <c r="E3224" s="2">
        <v>10</v>
      </c>
      <c r="F3224" s="2">
        <v>193.97</v>
      </c>
    </row>
    <row r="3225" spans="3:6" x14ac:dyDescent="0.25">
      <c r="C3225" s="2" t="s">
        <v>14945</v>
      </c>
      <c r="D3225" s="2" t="s">
        <v>122</v>
      </c>
      <c r="E3225" s="2">
        <v>20</v>
      </c>
      <c r="F3225" s="2">
        <v>399.22</v>
      </c>
    </row>
    <row r="3226" spans="3:6" x14ac:dyDescent="0.25">
      <c r="C3226" s="2" t="s">
        <v>14946</v>
      </c>
      <c r="D3226" s="2" t="s">
        <v>122</v>
      </c>
      <c r="E3226" s="2">
        <v>60</v>
      </c>
      <c r="F3226" s="2">
        <v>1222.12</v>
      </c>
    </row>
    <row r="3227" spans="3:6" x14ac:dyDescent="0.25">
      <c r="C3227" s="2" t="s">
        <v>14947</v>
      </c>
      <c r="D3227" s="2" t="s">
        <v>122</v>
      </c>
      <c r="E3227" s="2">
        <v>12</v>
      </c>
      <c r="F3227" s="2">
        <v>239.72</v>
      </c>
    </row>
    <row r="3228" spans="3:6" x14ac:dyDescent="0.25">
      <c r="C3228" s="2" t="s">
        <v>14948</v>
      </c>
      <c r="D3228" s="2" t="s">
        <v>122</v>
      </c>
      <c r="E3228" s="2">
        <v>88</v>
      </c>
      <c r="F3228" s="2">
        <v>1774.11</v>
      </c>
    </row>
    <row r="3229" spans="3:6" x14ac:dyDescent="0.25">
      <c r="C3229" s="2" t="s">
        <v>14949</v>
      </c>
      <c r="D3229" s="2" t="s">
        <v>122</v>
      </c>
      <c r="E3229" s="2">
        <v>14</v>
      </c>
      <c r="F3229" s="2">
        <v>277.2</v>
      </c>
    </row>
    <row r="3230" spans="3:6" x14ac:dyDescent="0.25">
      <c r="C3230" s="2" t="s">
        <v>14950</v>
      </c>
      <c r="D3230" s="2" t="s">
        <v>122</v>
      </c>
      <c r="E3230" s="2">
        <v>75</v>
      </c>
      <c r="F3230" s="2">
        <v>1539.98</v>
      </c>
    </row>
    <row r="3231" spans="3:6" x14ac:dyDescent="0.25">
      <c r="C3231" s="2" t="s">
        <v>14951</v>
      </c>
      <c r="D3231" s="2" t="s">
        <v>122</v>
      </c>
      <c r="E3231" s="2">
        <v>60</v>
      </c>
      <c r="F3231" s="2">
        <v>258.378</v>
      </c>
    </row>
    <row r="3232" spans="3:6" x14ac:dyDescent="0.25">
      <c r="C3232" s="2" t="s">
        <v>14952</v>
      </c>
      <c r="D3232" s="2" t="s">
        <v>122</v>
      </c>
      <c r="E3232" s="2">
        <v>60</v>
      </c>
      <c r="F3232" s="2">
        <v>269.869</v>
      </c>
    </row>
    <row r="3233" spans="3:6" x14ac:dyDescent="0.25">
      <c r="C3233" s="2" t="s">
        <v>14953</v>
      </c>
      <c r="D3233" s="2" t="s">
        <v>122</v>
      </c>
      <c r="E3233" s="2">
        <v>40</v>
      </c>
      <c r="F3233" s="2">
        <v>174.13</v>
      </c>
    </row>
    <row r="3234" spans="3:6" x14ac:dyDescent="0.25">
      <c r="C3234" s="2" t="s">
        <v>14954</v>
      </c>
      <c r="D3234" s="2" t="s">
        <v>122</v>
      </c>
      <c r="E3234" s="2">
        <v>121</v>
      </c>
      <c r="F3234" s="2">
        <v>2506.51</v>
      </c>
    </row>
    <row r="3235" spans="3:6" x14ac:dyDescent="0.25">
      <c r="C3235" s="2" t="s">
        <v>14955</v>
      </c>
      <c r="D3235" s="2" t="s">
        <v>122</v>
      </c>
      <c r="E3235" s="2">
        <v>13</v>
      </c>
      <c r="F3235" s="2">
        <v>272.43</v>
      </c>
    </row>
    <row r="3236" spans="3:6" x14ac:dyDescent="0.25">
      <c r="C3236" s="2" t="s">
        <v>14956</v>
      </c>
      <c r="D3236" s="2" t="s">
        <v>122</v>
      </c>
      <c r="E3236" s="2">
        <v>142</v>
      </c>
      <c r="F3236" s="2">
        <v>2784.42</v>
      </c>
    </row>
    <row r="3237" spans="3:6" x14ac:dyDescent="0.25">
      <c r="C3237" s="2" t="s">
        <v>14957</v>
      </c>
      <c r="D3237" s="2" t="s">
        <v>122</v>
      </c>
      <c r="E3237" s="2">
        <v>120</v>
      </c>
      <c r="F3237" s="2">
        <v>2438.348</v>
      </c>
    </row>
    <row r="3238" spans="3:6" x14ac:dyDescent="0.25">
      <c r="C3238" s="2" t="s">
        <v>14958</v>
      </c>
      <c r="D3238" s="2" t="s">
        <v>122</v>
      </c>
      <c r="E3238" s="2">
        <v>21</v>
      </c>
      <c r="F3238" s="2">
        <v>438.28</v>
      </c>
    </row>
    <row r="3239" spans="3:6" x14ac:dyDescent="0.25">
      <c r="C3239" s="2" t="s">
        <v>14959</v>
      </c>
      <c r="D3239" s="2" t="s">
        <v>122</v>
      </c>
      <c r="E3239" s="2">
        <v>30</v>
      </c>
      <c r="F3239" s="2">
        <v>574.86</v>
      </c>
    </row>
    <row r="3240" spans="3:6" x14ac:dyDescent="0.25">
      <c r="C3240" s="2" t="s">
        <v>14960</v>
      </c>
      <c r="D3240" s="2" t="s">
        <v>122</v>
      </c>
      <c r="E3240" s="2">
        <v>35</v>
      </c>
      <c r="F3240" s="2">
        <v>730</v>
      </c>
    </row>
    <row r="3241" spans="3:6" x14ac:dyDescent="0.25">
      <c r="C3241" s="2" t="s">
        <v>14961</v>
      </c>
      <c r="D3241" s="2" t="s">
        <v>122</v>
      </c>
      <c r="E3241" s="2">
        <v>45</v>
      </c>
      <c r="F3241" s="2">
        <v>898.4</v>
      </c>
    </row>
    <row r="3242" spans="3:6" x14ac:dyDescent="0.25">
      <c r="C3242" s="2" t="s">
        <v>14962</v>
      </c>
      <c r="D3242" s="2" t="s">
        <v>122</v>
      </c>
      <c r="E3242" s="2">
        <v>31</v>
      </c>
      <c r="F3242" s="2">
        <v>627.4</v>
      </c>
    </row>
    <row r="3243" spans="3:6" x14ac:dyDescent="0.25">
      <c r="C3243" s="2" t="s">
        <v>14963</v>
      </c>
      <c r="D3243" s="2" t="s">
        <v>122</v>
      </c>
      <c r="E3243" s="2">
        <v>141</v>
      </c>
      <c r="F3243" s="2">
        <v>2841.25</v>
      </c>
    </row>
    <row r="3244" spans="3:6" x14ac:dyDescent="0.25">
      <c r="C3244" s="2" t="s">
        <v>14964</v>
      </c>
      <c r="D3244" s="2" t="s">
        <v>122</v>
      </c>
      <c r="E3244" s="2">
        <v>70</v>
      </c>
      <c r="F3244" s="2">
        <v>1458.87</v>
      </c>
    </row>
    <row r="3245" spans="3:6" x14ac:dyDescent="0.25">
      <c r="C3245" s="2" t="s">
        <v>14965</v>
      </c>
      <c r="D3245" s="2" t="s">
        <v>122</v>
      </c>
      <c r="E3245" s="2">
        <v>71</v>
      </c>
      <c r="F3245" s="2">
        <v>1432.69</v>
      </c>
    </row>
    <row r="3246" spans="3:6" x14ac:dyDescent="0.25">
      <c r="C3246" s="2" t="s">
        <v>14966</v>
      </c>
      <c r="D3246" s="2" t="s">
        <v>122</v>
      </c>
      <c r="E3246" s="2">
        <v>44</v>
      </c>
      <c r="F3246" s="2">
        <v>848.82</v>
      </c>
    </row>
    <row r="3247" spans="3:6" x14ac:dyDescent="0.25">
      <c r="C3247" s="2" t="s">
        <v>14967</v>
      </c>
      <c r="D3247" s="2" t="s">
        <v>122</v>
      </c>
      <c r="E3247" s="2">
        <v>58</v>
      </c>
      <c r="F3247" s="2">
        <v>1177.47</v>
      </c>
    </row>
    <row r="3248" spans="3:6" x14ac:dyDescent="0.25">
      <c r="C3248" s="2" t="s">
        <v>14968</v>
      </c>
      <c r="D3248" s="2" t="s">
        <v>122</v>
      </c>
      <c r="E3248" s="2">
        <v>39</v>
      </c>
      <c r="F3248" s="2">
        <v>740.399</v>
      </c>
    </row>
    <row r="3249" spans="3:6" x14ac:dyDescent="0.25">
      <c r="C3249" s="2" t="s">
        <v>14969</v>
      </c>
      <c r="D3249" s="2" t="s">
        <v>122</v>
      </c>
      <c r="E3249" s="2">
        <v>82</v>
      </c>
      <c r="F3249" s="2">
        <v>1577.48</v>
      </c>
    </row>
    <row r="3250" spans="3:6" x14ac:dyDescent="0.25">
      <c r="C3250" s="2" t="s">
        <v>14970</v>
      </c>
      <c r="D3250" s="2" t="s">
        <v>122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40</v>
      </c>
      <c r="C3252" s="2" t="s">
        <v>14971</v>
      </c>
      <c r="D3252" s="2" t="s">
        <v>42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14972</v>
      </c>
      <c r="D3253" s="2" t="s">
        <v>42</v>
      </c>
      <c r="E3253" s="2">
        <v>102</v>
      </c>
      <c r="F3253" s="2">
        <v>2060.18</v>
      </c>
    </row>
    <row r="3254" spans="3:6" x14ac:dyDescent="0.25">
      <c r="C3254" s="2" t="s">
        <v>14973</v>
      </c>
      <c r="D3254" s="2" t="s">
        <v>42</v>
      </c>
      <c r="E3254" s="2">
        <v>102</v>
      </c>
      <c r="F3254" s="2">
        <v>2042.719</v>
      </c>
    </row>
    <row r="3255" spans="3:6" x14ac:dyDescent="0.25">
      <c r="C3255" s="2" t="s">
        <v>14974</v>
      </c>
      <c r="D3255" s="2" t="s">
        <v>42</v>
      </c>
      <c r="E3255" s="2">
        <v>141</v>
      </c>
      <c r="F3255" s="2">
        <v>2871.45</v>
      </c>
    </row>
    <row r="3256" spans="3:6" x14ac:dyDescent="0.25">
      <c r="C3256" s="2" t="s">
        <v>14975</v>
      </c>
      <c r="D3256" s="2" t="s">
        <v>42</v>
      </c>
      <c r="E3256" s="2">
        <v>141</v>
      </c>
      <c r="F3256" s="2">
        <v>2860.65</v>
      </c>
    </row>
    <row r="3257" spans="3:6" x14ac:dyDescent="0.25">
      <c r="C3257" s="2" t="s">
        <v>14976</v>
      </c>
      <c r="D3257" s="2" t="s">
        <v>42</v>
      </c>
      <c r="E3257" s="2">
        <v>102</v>
      </c>
      <c r="F3257" s="2">
        <v>1980.759</v>
      </c>
    </row>
    <row r="3258" spans="3:6" x14ac:dyDescent="0.25">
      <c r="C3258" s="2" t="s">
        <v>14977</v>
      </c>
      <c r="D3258" s="2" t="s">
        <v>42</v>
      </c>
      <c r="E3258" s="2">
        <v>102</v>
      </c>
      <c r="F3258" s="2">
        <v>1992.93</v>
      </c>
    </row>
    <row r="3259" spans="3:6" x14ac:dyDescent="0.25">
      <c r="C3259" s="2" t="s">
        <v>14978</v>
      </c>
      <c r="D3259" s="2" t="s">
        <v>42</v>
      </c>
      <c r="E3259" s="2">
        <v>34</v>
      </c>
      <c r="F3259" s="2">
        <v>717.85</v>
      </c>
    </row>
    <row r="3260" spans="3:6" x14ac:dyDescent="0.25">
      <c r="C3260" s="2" t="s">
        <v>14979</v>
      </c>
      <c r="D3260" s="2" t="s">
        <v>42</v>
      </c>
      <c r="E3260" s="2">
        <v>82</v>
      </c>
      <c r="F3260" s="2">
        <v>1682.53</v>
      </c>
    </row>
    <row r="3261" spans="3:6" x14ac:dyDescent="0.25">
      <c r="C3261" s="2" t="s">
        <v>14980</v>
      </c>
      <c r="D3261" s="2" t="s">
        <v>42</v>
      </c>
      <c r="E3261" s="2">
        <v>29</v>
      </c>
      <c r="F3261" s="2">
        <v>578.84</v>
      </c>
    </row>
    <row r="3262" spans="3:6" x14ac:dyDescent="0.25">
      <c r="C3262" s="2" t="s">
        <v>14981</v>
      </c>
      <c r="D3262" s="2" t="s">
        <v>42</v>
      </c>
      <c r="E3262" s="2">
        <v>34</v>
      </c>
      <c r="F3262" s="2">
        <v>706.82</v>
      </c>
    </row>
    <row r="3263" spans="3:6" x14ac:dyDescent="0.25">
      <c r="C3263" s="2" t="s">
        <v>14982</v>
      </c>
      <c r="D3263" s="2" t="s">
        <v>42</v>
      </c>
      <c r="E3263" s="2">
        <v>24</v>
      </c>
      <c r="F3263" s="2">
        <v>470.112</v>
      </c>
    </row>
    <row r="3264" spans="3:6" x14ac:dyDescent="0.25">
      <c r="C3264" s="2" t="s">
        <v>14983</v>
      </c>
      <c r="D3264" s="2" t="s">
        <v>42</v>
      </c>
      <c r="E3264" s="2">
        <v>9</v>
      </c>
      <c r="F3264" s="2">
        <v>145.38</v>
      </c>
    </row>
    <row r="3265" spans="3:6" x14ac:dyDescent="0.25">
      <c r="C3265" s="2" t="s">
        <v>14984</v>
      </c>
      <c r="D3265" s="2" t="s">
        <v>42</v>
      </c>
      <c r="E3265" s="2">
        <v>27</v>
      </c>
      <c r="F3265" s="2">
        <v>537.44</v>
      </c>
    </row>
    <row r="3266" spans="3:6" x14ac:dyDescent="0.25">
      <c r="C3266" s="2" t="s">
        <v>14985</v>
      </c>
      <c r="D3266" s="2" t="s">
        <v>42</v>
      </c>
      <c r="E3266" s="2">
        <v>9</v>
      </c>
      <c r="F3266" s="2">
        <v>123.22</v>
      </c>
    </row>
    <row r="3267" spans="3:6" x14ac:dyDescent="0.25">
      <c r="C3267" s="2" t="s">
        <v>14986</v>
      </c>
      <c r="D3267" s="2" t="s">
        <v>42</v>
      </c>
      <c r="E3267" s="2">
        <v>11</v>
      </c>
      <c r="F3267" s="2">
        <v>203.94</v>
      </c>
    </row>
    <row r="3268" spans="3:6" x14ac:dyDescent="0.25">
      <c r="C3268" s="2" t="s">
        <v>14987</v>
      </c>
      <c r="D3268" s="2" t="s">
        <v>42</v>
      </c>
      <c r="E3268" s="2">
        <v>90</v>
      </c>
      <c r="F3268" s="2">
        <v>1831.307</v>
      </c>
    </row>
    <row r="3269" spans="3:6" x14ac:dyDescent="0.25">
      <c r="C3269" s="2" t="s">
        <v>14988</v>
      </c>
      <c r="D3269" s="2" t="s">
        <v>42</v>
      </c>
      <c r="E3269" s="2">
        <v>91</v>
      </c>
      <c r="F3269" s="2">
        <v>1450.256</v>
      </c>
    </row>
    <row r="3270" spans="3:6" x14ac:dyDescent="0.25">
      <c r="C3270" s="2" t="s">
        <v>14989</v>
      </c>
      <c r="D3270" s="2" t="s">
        <v>42</v>
      </c>
      <c r="E3270" s="2">
        <v>123</v>
      </c>
      <c r="F3270" s="2">
        <v>2494.375</v>
      </c>
    </row>
    <row r="3271" spans="3:6" x14ac:dyDescent="0.25">
      <c r="C3271" s="2" t="s">
        <v>14990</v>
      </c>
      <c r="D3271" s="2" t="s">
        <v>42</v>
      </c>
      <c r="E3271" s="2">
        <v>66</v>
      </c>
      <c r="F3271" s="2">
        <v>1283.19</v>
      </c>
    </row>
    <row r="3272" spans="3:6" x14ac:dyDescent="0.25">
      <c r="C3272" s="2" t="s">
        <v>14991</v>
      </c>
      <c r="D3272" s="2" t="s">
        <v>42</v>
      </c>
      <c r="E3272" s="2">
        <v>55</v>
      </c>
      <c r="F3272" s="2">
        <v>1089.401</v>
      </c>
    </row>
    <row r="3273" spans="3:6" x14ac:dyDescent="0.25">
      <c r="C3273" s="2" t="s">
        <v>14992</v>
      </c>
      <c r="D3273" s="2" t="s">
        <v>42</v>
      </c>
      <c r="E3273" s="2">
        <v>107</v>
      </c>
      <c r="F3273" s="2">
        <v>2099.169</v>
      </c>
    </row>
    <row r="3274" spans="3:6" x14ac:dyDescent="0.25">
      <c r="C3274" s="2" t="s">
        <v>14993</v>
      </c>
      <c r="D3274" s="2" t="s">
        <v>42</v>
      </c>
      <c r="E3274" s="2">
        <v>107</v>
      </c>
      <c r="F3274" s="2">
        <v>2193.47</v>
      </c>
    </row>
    <row r="3275" spans="3:6" x14ac:dyDescent="0.25">
      <c r="C3275" s="2" t="s">
        <v>14994</v>
      </c>
      <c r="D3275" s="2" t="s">
        <v>42</v>
      </c>
      <c r="E3275" s="2">
        <v>104</v>
      </c>
      <c r="F3275" s="2">
        <v>2116.789</v>
      </c>
    </row>
    <row r="3276" spans="3:6" x14ac:dyDescent="0.25">
      <c r="C3276" s="2" t="s">
        <v>14995</v>
      </c>
      <c r="D3276" s="2" t="s">
        <v>42</v>
      </c>
      <c r="E3276" s="2">
        <v>59</v>
      </c>
      <c r="F3276" s="2">
        <v>1242.42</v>
      </c>
    </row>
    <row r="3277" spans="3:6" x14ac:dyDescent="0.25">
      <c r="C3277" s="2" t="s">
        <v>14996</v>
      </c>
      <c r="D3277" s="2" t="s">
        <v>42</v>
      </c>
      <c r="E3277" s="2">
        <v>128</v>
      </c>
      <c r="F3277" s="2">
        <v>1902.9</v>
      </c>
    </row>
    <row r="3278" spans="3:6" x14ac:dyDescent="0.25">
      <c r="C3278" s="2" t="s">
        <v>14997</v>
      </c>
      <c r="D3278" s="2" t="s">
        <v>42</v>
      </c>
      <c r="E3278" s="2">
        <v>47</v>
      </c>
      <c r="F3278" s="2">
        <v>936.51</v>
      </c>
    </row>
    <row r="3279" spans="3:6" x14ac:dyDescent="0.25">
      <c r="C3279" s="2" t="s">
        <v>14998</v>
      </c>
      <c r="D3279" s="2" t="s">
        <v>42</v>
      </c>
      <c r="E3279" s="2">
        <v>141</v>
      </c>
      <c r="F3279" s="2">
        <v>2878.5</v>
      </c>
    </row>
    <row r="3280" spans="3:6" x14ac:dyDescent="0.25">
      <c r="C3280" s="2" t="s">
        <v>14999</v>
      </c>
      <c r="D3280" s="2" t="s">
        <v>42</v>
      </c>
      <c r="E3280" s="2">
        <v>141</v>
      </c>
      <c r="F3280" s="2">
        <v>2732.17</v>
      </c>
    </row>
    <row r="3281" spans="3:6" x14ac:dyDescent="0.25">
      <c r="C3281" s="2" t="s">
        <v>15000</v>
      </c>
      <c r="D3281" s="2" t="s">
        <v>42</v>
      </c>
      <c r="E3281" s="2">
        <v>141</v>
      </c>
      <c r="F3281" s="2">
        <v>2947.11</v>
      </c>
    </row>
    <row r="3282" spans="3:6" x14ac:dyDescent="0.25">
      <c r="C3282" s="2" t="s">
        <v>15001</v>
      </c>
      <c r="D3282" s="2" t="s">
        <v>42</v>
      </c>
      <c r="E3282" s="2">
        <v>141</v>
      </c>
      <c r="F3282" s="2">
        <v>2779.75</v>
      </c>
    </row>
    <row r="3283" spans="3:6" x14ac:dyDescent="0.25">
      <c r="C3283" s="2" t="s">
        <v>15002</v>
      </c>
      <c r="D3283" s="2" t="s">
        <v>42</v>
      </c>
      <c r="E3283" s="2">
        <v>45</v>
      </c>
      <c r="F3283" s="2">
        <v>228.99</v>
      </c>
    </row>
    <row r="3284" spans="3:6" x14ac:dyDescent="0.25">
      <c r="C3284" s="2" t="s">
        <v>15003</v>
      </c>
      <c r="D3284" s="2" t="s">
        <v>42</v>
      </c>
      <c r="E3284" s="2">
        <v>64</v>
      </c>
      <c r="F3284" s="2">
        <v>1309.95</v>
      </c>
    </row>
    <row r="3285" spans="3:6" x14ac:dyDescent="0.25">
      <c r="C3285" s="2" t="s">
        <v>15004</v>
      </c>
      <c r="D3285" s="2" t="s">
        <v>42</v>
      </c>
      <c r="E3285" s="2">
        <v>66</v>
      </c>
      <c r="F3285" s="2">
        <v>1360.06</v>
      </c>
    </row>
    <row r="3286" spans="3:6" x14ac:dyDescent="0.25">
      <c r="C3286" s="2" t="s">
        <v>15005</v>
      </c>
      <c r="D3286" s="2" t="s">
        <v>42</v>
      </c>
      <c r="E3286" s="2">
        <v>89</v>
      </c>
      <c r="F3286" s="2">
        <v>1783.71</v>
      </c>
    </row>
    <row r="3287" spans="3:6" x14ac:dyDescent="0.25">
      <c r="C3287" s="2" t="s">
        <v>15006</v>
      </c>
      <c r="D3287" s="2" t="s">
        <v>42</v>
      </c>
      <c r="E3287" s="2">
        <v>65</v>
      </c>
      <c r="F3287" s="2">
        <v>1369.66</v>
      </c>
    </row>
    <row r="3288" spans="3:6" x14ac:dyDescent="0.25">
      <c r="C3288" s="2" t="s">
        <v>15007</v>
      </c>
      <c r="D3288" s="2" t="s">
        <v>42</v>
      </c>
      <c r="E3288" s="2">
        <v>10</v>
      </c>
      <c r="F3288" s="2">
        <v>201.36</v>
      </c>
    </row>
    <row r="3289" spans="3:6" x14ac:dyDescent="0.25">
      <c r="C3289" s="2" t="s">
        <v>15008</v>
      </c>
      <c r="D3289" s="2" t="s">
        <v>42</v>
      </c>
      <c r="E3289" s="2">
        <v>130</v>
      </c>
      <c r="F3289" s="2">
        <v>1497.068</v>
      </c>
    </row>
    <row r="3290" spans="3:6" x14ac:dyDescent="0.25">
      <c r="C3290" s="2" t="s">
        <v>15009</v>
      </c>
      <c r="D3290" s="2" t="s">
        <v>42</v>
      </c>
      <c r="E3290" s="2">
        <v>57</v>
      </c>
      <c r="F3290" s="2">
        <v>1142.367</v>
      </c>
    </row>
    <row r="3291" spans="3:6" x14ac:dyDescent="0.25">
      <c r="C3291" s="2" t="s">
        <v>15010</v>
      </c>
      <c r="D3291" s="2" t="s">
        <v>42</v>
      </c>
      <c r="E3291" s="2">
        <v>50</v>
      </c>
      <c r="F3291" s="2">
        <v>258.92</v>
      </c>
    </row>
    <row r="3292" spans="3:6" x14ac:dyDescent="0.25">
      <c r="C3292" s="2" t="s">
        <v>15011</v>
      </c>
      <c r="D3292" s="2" t="s">
        <v>42</v>
      </c>
      <c r="E3292" s="2">
        <v>45</v>
      </c>
      <c r="F3292" s="2">
        <v>233.77</v>
      </c>
    </row>
    <row r="3293" spans="3:6" x14ac:dyDescent="0.25">
      <c r="C3293" s="2" t="s">
        <v>15012</v>
      </c>
      <c r="D3293" s="2" t="s">
        <v>42</v>
      </c>
      <c r="E3293" s="2">
        <v>94</v>
      </c>
      <c r="F3293" s="2">
        <v>1862.329</v>
      </c>
    </row>
    <row r="3294" spans="3:6" x14ac:dyDescent="0.25">
      <c r="C3294" s="2" t="s">
        <v>15013</v>
      </c>
      <c r="D3294" s="2" t="s">
        <v>42</v>
      </c>
      <c r="E3294" s="2">
        <v>60</v>
      </c>
      <c r="F3294" s="2">
        <v>315.48</v>
      </c>
    </row>
    <row r="3295" spans="3:6" x14ac:dyDescent="0.25">
      <c r="C3295" s="2" t="s">
        <v>15014</v>
      </c>
      <c r="D3295" s="2" t="s">
        <v>42</v>
      </c>
      <c r="E3295" s="2">
        <v>10</v>
      </c>
      <c r="F3295" s="2">
        <v>148.11</v>
      </c>
    </row>
    <row r="3296" spans="3:6" x14ac:dyDescent="0.25">
      <c r="C3296" s="2" t="s">
        <v>15015</v>
      </c>
      <c r="D3296" s="2" t="s">
        <v>42</v>
      </c>
      <c r="E3296" s="2">
        <v>11</v>
      </c>
      <c r="F3296" s="2">
        <v>210.88</v>
      </c>
    </row>
    <row r="3297" spans="3:6" x14ac:dyDescent="0.25">
      <c r="C3297" s="2" t="s">
        <v>15016</v>
      </c>
      <c r="D3297" s="2" t="s">
        <v>42</v>
      </c>
      <c r="E3297" s="2">
        <v>59</v>
      </c>
      <c r="F3297" s="2">
        <v>1040.749</v>
      </c>
    </row>
    <row r="3298" spans="3:6" x14ac:dyDescent="0.25">
      <c r="C3298" s="2" t="s">
        <v>15017</v>
      </c>
      <c r="D3298" s="2" t="s">
        <v>42</v>
      </c>
      <c r="E3298" s="2">
        <v>43</v>
      </c>
      <c r="F3298" s="2">
        <v>729.214</v>
      </c>
    </row>
    <row r="3299" spans="3:6" x14ac:dyDescent="0.25">
      <c r="C3299" s="2" t="s">
        <v>15018</v>
      </c>
      <c r="D3299" s="2" t="s">
        <v>42</v>
      </c>
      <c r="E3299" s="2">
        <v>32</v>
      </c>
      <c r="F3299" s="2">
        <v>693.45</v>
      </c>
    </row>
    <row r="3300" spans="3:6" x14ac:dyDescent="0.25">
      <c r="C3300" s="2" t="s">
        <v>15019</v>
      </c>
      <c r="D3300" s="2" t="s">
        <v>42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90</v>
      </c>
      <c r="C3302" s="2" t="s">
        <v>15020</v>
      </c>
      <c r="D3302" s="2" t="s">
        <v>9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15021</v>
      </c>
      <c r="D3303" s="2" t="s">
        <v>9</v>
      </c>
      <c r="E3303" s="2">
        <v>94</v>
      </c>
      <c r="F3303" s="2">
        <v>1785.48</v>
      </c>
    </row>
    <row r="3304" spans="3:6" x14ac:dyDescent="0.25">
      <c r="C3304" s="2" t="s">
        <v>15022</v>
      </c>
      <c r="D3304" s="2" t="s">
        <v>9</v>
      </c>
      <c r="E3304" s="2">
        <v>47</v>
      </c>
      <c r="F3304" s="2">
        <v>910.06</v>
      </c>
    </row>
    <row r="3305" spans="3:6" x14ac:dyDescent="0.25">
      <c r="C3305" s="2" t="s">
        <v>15023</v>
      </c>
      <c r="D3305" s="2" t="s">
        <v>9</v>
      </c>
      <c r="E3305" s="2">
        <v>100</v>
      </c>
      <c r="F3305" s="2">
        <v>2100.82</v>
      </c>
    </row>
    <row r="3306" spans="3:6" x14ac:dyDescent="0.25">
      <c r="C3306" s="2" t="s">
        <v>15024</v>
      </c>
      <c r="D3306" s="2" t="s">
        <v>9</v>
      </c>
      <c r="E3306" s="2">
        <v>41</v>
      </c>
      <c r="F3306" s="2">
        <v>731.489</v>
      </c>
    </row>
    <row r="3307" spans="3:6" x14ac:dyDescent="0.25">
      <c r="C3307" s="2" t="s">
        <v>15025</v>
      </c>
      <c r="D3307" s="2" t="s">
        <v>9</v>
      </c>
      <c r="E3307" s="2">
        <v>102</v>
      </c>
      <c r="F3307" s="2">
        <v>2110.06</v>
      </c>
    </row>
    <row r="3308" spans="3:6" x14ac:dyDescent="0.25">
      <c r="C3308" s="2" t="s">
        <v>15026</v>
      </c>
      <c r="D3308" s="2" t="s">
        <v>9</v>
      </c>
      <c r="E3308" s="2">
        <v>124</v>
      </c>
      <c r="F3308" s="2">
        <v>2465.96</v>
      </c>
    </row>
    <row r="3309" spans="3:6" x14ac:dyDescent="0.25">
      <c r="C3309" s="2" t="s">
        <v>15027</v>
      </c>
      <c r="D3309" s="2" t="s">
        <v>9</v>
      </c>
      <c r="E3309" s="2">
        <v>102</v>
      </c>
      <c r="F3309" s="2">
        <v>2060.49</v>
      </c>
    </row>
    <row r="3310" spans="3:6" x14ac:dyDescent="0.25">
      <c r="C3310" s="2" t="s">
        <v>15028</v>
      </c>
      <c r="D3310" s="2" t="s">
        <v>9</v>
      </c>
      <c r="E3310" s="2">
        <v>102</v>
      </c>
      <c r="F3310" s="2">
        <v>2060.97</v>
      </c>
    </row>
    <row r="3311" spans="3:6" x14ac:dyDescent="0.25">
      <c r="C3311" s="2" t="s">
        <v>15029</v>
      </c>
      <c r="D3311" s="2" t="s">
        <v>9</v>
      </c>
      <c r="E3311" s="2">
        <v>102</v>
      </c>
      <c r="F3311" s="2">
        <v>1933.85</v>
      </c>
    </row>
    <row r="3312" spans="3:6" x14ac:dyDescent="0.25">
      <c r="C3312" s="2" t="s">
        <v>15030</v>
      </c>
      <c r="D3312" s="2" t="s">
        <v>9</v>
      </c>
      <c r="E3312" s="2">
        <v>30</v>
      </c>
      <c r="F3312" s="2">
        <v>129.79</v>
      </c>
    </row>
    <row r="3313" spans="3:6" x14ac:dyDescent="0.25">
      <c r="C3313" s="2" t="s">
        <v>15031</v>
      </c>
      <c r="D3313" s="2" t="s">
        <v>9</v>
      </c>
      <c r="E3313" s="2">
        <v>141</v>
      </c>
      <c r="F3313" s="2">
        <v>2994.22</v>
      </c>
    </row>
    <row r="3314" spans="3:6" x14ac:dyDescent="0.25">
      <c r="C3314" s="2" t="s">
        <v>15032</v>
      </c>
      <c r="D3314" s="2" t="s">
        <v>9</v>
      </c>
      <c r="E3314" s="2">
        <v>135</v>
      </c>
      <c r="F3314" s="2">
        <v>2747.75</v>
      </c>
    </row>
    <row r="3315" spans="3:6" x14ac:dyDescent="0.25">
      <c r="C3315" s="2" t="s">
        <v>15033</v>
      </c>
      <c r="D3315" s="2" t="s">
        <v>9</v>
      </c>
      <c r="E3315" s="2">
        <v>141</v>
      </c>
      <c r="F3315" s="2">
        <v>2846.64</v>
      </c>
    </row>
    <row r="3316" spans="3:6" x14ac:dyDescent="0.25">
      <c r="C3316" s="2" t="s">
        <v>15034</v>
      </c>
      <c r="D3316" s="2" t="s">
        <v>9</v>
      </c>
      <c r="E3316" s="2">
        <v>30</v>
      </c>
      <c r="F3316" s="2">
        <v>130.97</v>
      </c>
    </row>
    <row r="3317" spans="3:6" x14ac:dyDescent="0.25">
      <c r="C3317" s="2" t="s">
        <v>15035</v>
      </c>
      <c r="D3317" s="2" t="s">
        <v>9</v>
      </c>
      <c r="E3317" s="2">
        <v>123</v>
      </c>
      <c r="F3317" s="2">
        <v>2534.06</v>
      </c>
    </row>
    <row r="3318" spans="3:6" x14ac:dyDescent="0.25">
      <c r="C3318" s="2" t="s">
        <v>15036</v>
      </c>
      <c r="D3318" s="2" t="s">
        <v>9</v>
      </c>
      <c r="E3318" s="2">
        <v>102</v>
      </c>
      <c r="F3318" s="2">
        <v>1993.829</v>
      </c>
    </row>
    <row r="3319" spans="3:6" x14ac:dyDescent="0.25">
      <c r="C3319" s="2" t="s">
        <v>15037</v>
      </c>
      <c r="D3319" s="2" t="s">
        <v>9</v>
      </c>
      <c r="E3319" s="2">
        <v>141</v>
      </c>
      <c r="F3319" s="2">
        <v>3006.55</v>
      </c>
    </row>
    <row r="3320" spans="3:6" x14ac:dyDescent="0.25">
      <c r="C3320" s="2" t="s">
        <v>15038</v>
      </c>
      <c r="D3320" s="2" t="s">
        <v>9</v>
      </c>
      <c r="E3320" s="2">
        <v>141</v>
      </c>
      <c r="F3320" s="2">
        <v>2729.079</v>
      </c>
    </row>
    <row r="3321" spans="3:6" x14ac:dyDescent="0.25">
      <c r="C3321" s="2" t="s">
        <v>15039</v>
      </c>
      <c r="D3321" s="2" t="s">
        <v>9</v>
      </c>
      <c r="E3321" s="2">
        <v>123</v>
      </c>
      <c r="F3321" s="2">
        <v>2402.42</v>
      </c>
    </row>
    <row r="3322" spans="3:6" x14ac:dyDescent="0.25">
      <c r="C3322" s="2" t="s">
        <v>15040</v>
      </c>
      <c r="D3322" s="2" t="s">
        <v>9</v>
      </c>
      <c r="E3322" s="2">
        <v>124</v>
      </c>
      <c r="F3322" s="2">
        <v>2385.94</v>
      </c>
    </row>
    <row r="3323" spans="3:6" x14ac:dyDescent="0.25">
      <c r="C3323" s="2" t="s">
        <v>15041</v>
      </c>
      <c r="D3323" s="2" t="s">
        <v>9</v>
      </c>
      <c r="E3323" s="2">
        <v>67</v>
      </c>
      <c r="F3323" s="2">
        <v>1340.36</v>
      </c>
    </row>
    <row r="3324" spans="3:6" x14ac:dyDescent="0.25">
      <c r="C3324" s="2" t="s">
        <v>15042</v>
      </c>
      <c r="D3324" s="2" t="s">
        <v>9</v>
      </c>
      <c r="E3324" s="2">
        <v>48</v>
      </c>
      <c r="F3324" s="2">
        <v>959.57</v>
      </c>
    </row>
    <row r="3325" spans="3:6" x14ac:dyDescent="0.25">
      <c r="C3325" s="2" t="s">
        <v>15043</v>
      </c>
      <c r="D3325" s="2" t="s">
        <v>9</v>
      </c>
      <c r="E3325" s="2">
        <v>26</v>
      </c>
      <c r="F3325" s="2">
        <v>515.88</v>
      </c>
    </row>
    <row r="3326" spans="3:6" x14ac:dyDescent="0.25">
      <c r="C3326" s="2" t="s">
        <v>15044</v>
      </c>
      <c r="D3326" s="2" t="s">
        <v>9</v>
      </c>
      <c r="E3326" s="2">
        <v>141</v>
      </c>
      <c r="F3326" s="2">
        <v>2958.949</v>
      </c>
    </row>
    <row r="3327" spans="3:6" x14ac:dyDescent="0.25">
      <c r="C3327" s="2" t="s">
        <v>15045</v>
      </c>
      <c r="D3327" s="2" t="s">
        <v>9</v>
      </c>
      <c r="E3327" s="2">
        <v>141</v>
      </c>
      <c r="F3327" s="2">
        <v>2802.09</v>
      </c>
    </row>
    <row r="3328" spans="3:6" x14ac:dyDescent="0.25">
      <c r="C3328" s="2" t="s">
        <v>15046</v>
      </c>
      <c r="D3328" s="2" t="s">
        <v>9</v>
      </c>
      <c r="E3328" s="2">
        <v>102</v>
      </c>
      <c r="F3328" s="2">
        <v>2100.64</v>
      </c>
    </row>
    <row r="3329" spans="3:6" x14ac:dyDescent="0.25">
      <c r="C3329" s="2" t="s">
        <v>15047</v>
      </c>
      <c r="D3329" s="2" t="s">
        <v>9</v>
      </c>
      <c r="E3329" s="2">
        <v>141</v>
      </c>
      <c r="F3329" s="2">
        <v>2874.04</v>
      </c>
    </row>
    <row r="3330" spans="3:6" x14ac:dyDescent="0.25">
      <c r="C3330" s="2" t="s">
        <v>15048</v>
      </c>
      <c r="D3330" s="2" t="s">
        <v>9</v>
      </c>
      <c r="E3330" s="2">
        <v>141</v>
      </c>
      <c r="F3330" s="2">
        <v>3037.95</v>
      </c>
    </row>
    <row r="3331" spans="3:6" x14ac:dyDescent="0.25">
      <c r="C3331" s="2" t="s">
        <v>15049</v>
      </c>
      <c r="D3331" s="2" t="s">
        <v>9</v>
      </c>
      <c r="E3331" s="2">
        <v>59</v>
      </c>
      <c r="F3331" s="2">
        <v>1054.719</v>
      </c>
    </row>
    <row r="3332" spans="3:6" x14ac:dyDescent="0.25">
      <c r="C3332" s="2" t="s">
        <v>15050</v>
      </c>
      <c r="D3332" s="2" t="s">
        <v>9</v>
      </c>
      <c r="E3332" s="2">
        <v>41</v>
      </c>
      <c r="F3332" s="2">
        <v>768.69</v>
      </c>
    </row>
    <row r="3333" spans="3:6" x14ac:dyDescent="0.25">
      <c r="C3333" s="2" t="s">
        <v>15051</v>
      </c>
      <c r="D3333" s="2" t="s">
        <v>9</v>
      </c>
      <c r="E3333" s="2">
        <v>41</v>
      </c>
      <c r="F3333" s="2">
        <v>828.41</v>
      </c>
    </row>
    <row r="3334" spans="3:6" x14ac:dyDescent="0.25">
      <c r="C3334" s="2" t="s">
        <v>15052</v>
      </c>
      <c r="D3334" s="2" t="s">
        <v>9</v>
      </c>
      <c r="E3334" s="2">
        <v>141</v>
      </c>
      <c r="F3334" s="2">
        <v>2922.62</v>
      </c>
    </row>
    <row r="3335" spans="3:6" x14ac:dyDescent="0.25">
      <c r="C3335" s="2" t="s">
        <v>15053</v>
      </c>
      <c r="D3335" s="2" t="s">
        <v>9</v>
      </c>
      <c r="E3335" s="2">
        <v>102</v>
      </c>
      <c r="F3335" s="2">
        <v>2234.41</v>
      </c>
    </row>
    <row r="3336" spans="3:6" x14ac:dyDescent="0.25">
      <c r="C3336" s="2" t="s">
        <v>15054</v>
      </c>
      <c r="D3336" s="2" t="s">
        <v>9</v>
      </c>
      <c r="E3336" s="2">
        <v>13</v>
      </c>
      <c r="F3336" s="2">
        <v>79.03</v>
      </c>
    </row>
    <row r="3337" spans="3:6" x14ac:dyDescent="0.25">
      <c r="C3337" s="2" t="s">
        <v>15055</v>
      </c>
      <c r="D3337" s="2" t="s">
        <v>9</v>
      </c>
      <c r="E3337" s="2">
        <v>25</v>
      </c>
      <c r="F3337" s="2">
        <v>440.06</v>
      </c>
    </row>
    <row r="3338" spans="3:6" x14ac:dyDescent="0.25">
      <c r="C3338" s="2" t="s">
        <v>15056</v>
      </c>
      <c r="D3338" s="2" t="s">
        <v>9</v>
      </c>
      <c r="E3338" s="2">
        <v>37</v>
      </c>
      <c r="F3338" s="2">
        <v>710.199</v>
      </c>
    </row>
    <row r="3339" spans="3:6" x14ac:dyDescent="0.25">
      <c r="C3339" s="2" t="s">
        <v>15057</v>
      </c>
      <c r="D3339" s="2" t="s">
        <v>9</v>
      </c>
      <c r="E3339" s="2">
        <v>46</v>
      </c>
      <c r="F3339" s="2">
        <v>857.649</v>
      </c>
    </row>
    <row r="3340" spans="3:6" x14ac:dyDescent="0.25">
      <c r="C3340" s="2" t="s">
        <v>15058</v>
      </c>
      <c r="D3340" s="2" t="s">
        <v>9</v>
      </c>
      <c r="E3340" s="2">
        <v>95</v>
      </c>
      <c r="F3340" s="2">
        <v>1926.27</v>
      </c>
    </row>
    <row r="3341" spans="3:6" x14ac:dyDescent="0.25">
      <c r="C3341" s="2" t="s">
        <v>15059</v>
      </c>
      <c r="D3341" s="2" t="s">
        <v>9</v>
      </c>
      <c r="E3341" s="2">
        <v>84</v>
      </c>
      <c r="F3341" s="2">
        <v>1783.04</v>
      </c>
    </row>
    <row r="3342" spans="3:6" x14ac:dyDescent="0.25">
      <c r="C3342" s="2" t="s">
        <v>15060</v>
      </c>
      <c r="D3342" s="2" t="s">
        <v>9</v>
      </c>
      <c r="E3342" s="2">
        <v>57</v>
      </c>
      <c r="F3342" s="2">
        <v>1188.57</v>
      </c>
    </row>
    <row r="3343" spans="3:6" x14ac:dyDescent="0.25">
      <c r="C3343" s="2" t="s">
        <v>15061</v>
      </c>
      <c r="D3343" s="2" t="s">
        <v>9</v>
      </c>
      <c r="E3343" s="2">
        <v>6</v>
      </c>
      <c r="F3343" s="2">
        <v>119.82</v>
      </c>
    </row>
    <row r="3344" spans="3:6" x14ac:dyDescent="0.25">
      <c r="C3344" s="2" t="s">
        <v>15062</v>
      </c>
      <c r="D3344" s="2" t="s">
        <v>9</v>
      </c>
      <c r="E3344" s="2">
        <v>43</v>
      </c>
      <c r="F3344" s="2">
        <v>757.09</v>
      </c>
    </row>
    <row r="3345" spans="3:5" x14ac:dyDescent="0.25">
      <c r="C3345" s="2" t="s">
        <v>15063</v>
      </c>
      <c r="D3345" s="2" t="s">
        <v>9</v>
      </c>
      <c r="E3345" s="2">
        <v>93</v>
      </c>
    </row>
    <row r="3347" spans="1:7" x14ac:dyDescent="0.25">
      <c r="A3347" s="1">
        <v>46171</v>
      </c>
      <c r="B3347" s="2" t="s">
        <v>14</v>
      </c>
      <c r="C3347" s="2" t="s">
        <v>15064</v>
      </c>
      <c r="D3347" s="2" t="s">
        <v>12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15065</v>
      </c>
      <c r="D3348" s="2" t="s">
        <v>12</v>
      </c>
      <c r="E3348" s="2">
        <v>156</v>
      </c>
      <c r="F3348" s="2">
        <v>3198.21</v>
      </c>
    </row>
    <row r="3349" spans="3:6" x14ac:dyDescent="0.25">
      <c r="C3349" s="2" t="s">
        <v>15066</v>
      </c>
      <c r="D3349" s="2" t="s">
        <v>12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10</v>
      </c>
      <c r="C3351" s="2" t="s">
        <v>15067</v>
      </c>
      <c r="D3351" s="2" t="s">
        <v>12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15068</v>
      </c>
      <c r="D3352" s="2" t="s">
        <v>12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2738</v>
      </c>
      <c r="C3354" s="2" t="s">
        <v>15069</v>
      </c>
      <c r="D3354" s="2" t="s">
        <v>20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15070</v>
      </c>
      <c r="D3355" s="2" t="s">
        <v>20</v>
      </c>
      <c r="E3355" s="2">
        <v>142</v>
      </c>
      <c r="F3355" s="2">
        <v>2980.399</v>
      </c>
    </row>
    <row r="3356" spans="3:6" x14ac:dyDescent="0.25">
      <c r="C3356" s="2" t="s">
        <v>15071</v>
      </c>
      <c r="D3356" s="2" t="s">
        <v>20</v>
      </c>
      <c r="E3356" s="2">
        <v>142</v>
      </c>
      <c r="F3356" s="2">
        <v>3026.979</v>
      </c>
    </row>
    <row r="3357" spans="3:6" x14ac:dyDescent="0.25">
      <c r="C3357" s="2" t="s">
        <v>15072</v>
      </c>
      <c r="D3357" s="2" t="s">
        <v>20</v>
      </c>
      <c r="E3357" s="2">
        <v>142</v>
      </c>
      <c r="F3357" s="2">
        <v>3075.39</v>
      </c>
    </row>
    <row r="3358" spans="3:6" x14ac:dyDescent="0.25">
      <c r="C3358" s="2" t="s">
        <v>15073</v>
      </c>
      <c r="D3358" s="2" t="s">
        <v>20</v>
      </c>
      <c r="E3358" s="2">
        <v>142</v>
      </c>
      <c r="F3358" s="2">
        <v>3097.119</v>
      </c>
    </row>
    <row r="3359" spans="3:6" x14ac:dyDescent="0.25">
      <c r="C3359" s="2" t="s">
        <v>15074</v>
      </c>
      <c r="D3359" s="2" t="s">
        <v>20</v>
      </c>
      <c r="E3359" s="2">
        <v>142</v>
      </c>
      <c r="F3359" s="2">
        <v>3032.1</v>
      </c>
    </row>
    <row r="3360" spans="3:6" x14ac:dyDescent="0.25">
      <c r="C3360" s="2" t="s">
        <v>15075</v>
      </c>
      <c r="D3360" s="2" t="s">
        <v>20</v>
      </c>
      <c r="E3360" s="2">
        <v>149</v>
      </c>
      <c r="F3360" s="2">
        <v>2835.069</v>
      </c>
    </row>
    <row r="3361" spans="3:6" x14ac:dyDescent="0.25">
      <c r="C3361" s="2" t="s">
        <v>15076</v>
      </c>
      <c r="D3361" s="2" t="s">
        <v>20</v>
      </c>
      <c r="E3361" s="2">
        <v>132</v>
      </c>
      <c r="F3361" s="2">
        <v>3290.31</v>
      </c>
    </row>
    <row r="3362" spans="3:6" x14ac:dyDescent="0.25">
      <c r="C3362" s="2" t="s">
        <v>15077</v>
      </c>
      <c r="D3362" s="2" t="s">
        <v>20</v>
      </c>
      <c r="E3362" s="2">
        <v>150</v>
      </c>
      <c r="F3362" s="2">
        <v>2728.569</v>
      </c>
    </row>
    <row r="3363" spans="3:6" x14ac:dyDescent="0.25">
      <c r="C3363" s="2" t="s">
        <v>15078</v>
      </c>
      <c r="D3363" s="2" t="s">
        <v>20</v>
      </c>
      <c r="E3363" s="2">
        <v>149</v>
      </c>
      <c r="F3363" s="2">
        <v>2836.81</v>
      </c>
    </row>
    <row r="3364" spans="3:6" x14ac:dyDescent="0.25">
      <c r="C3364" s="2" t="s">
        <v>15079</v>
      </c>
      <c r="D3364" s="2" t="s">
        <v>20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324</v>
      </c>
      <c r="C3366" s="2" t="s">
        <v>15080</v>
      </c>
      <c r="D3366" s="2" t="s">
        <v>27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15081</v>
      </c>
      <c r="D3367" s="2" t="s">
        <v>27</v>
      </c>
      <c r="E3367" s="2">
        <v>59</v>
      </c>
      <c r="F3367" s="2">
        <v>1152.98</v>
      </c>
    </row>
    <row r="3368" spans="3:6" x14ac:dyDescent="0.25">
      <c r="C3368" s="2" t="s">
        <v>15082</v>
      </c>
      <c r="D3368" s="2" t="s">
        <v>27</v>
      </c>
      <c r="E3368" s="2">
        <v>82</v>
      </c>
      <c r="F3368" s="2">
        <v>1603.11</v>
      </c>
    </row>
    <row r="3369" spans="3:6" x14ac:dyDescent="0.25">
      <c r="C3369" s="2" t="s">
        <v>15083</v>
      </c>
      <c r="D3369" s="2" t="s">
        <v>27</v>
      </c>
      <c r="E3369" s="2">
        <v>16</v>
      </c>
      <c r="F3369" s="2">
        <v>257.16</v>
      </c>
    </row>
    <row r="3370" spans="3:6" x14ac:dyDescent="0.25">
      <c r="C3370" s="2" t="s">
        <v>15084</v>
      </c>
      <c r="D3370" s="2" t="s">
        <v>27</v>
      </c>
      <c r="E3370" s="2">
        <v>89</v>
      </c>
      <c r="F3370" s="2">
        <v>1720.079</v>
      </c>
    </row>
    <row r="3371" spans="3:6" x14ac:dyDescent="0.25">
      <c r="C3371" s="2" t="s">
        <v>15085</v>
      </c>
      <c r="D3371" s="2" t="s">
        <v>27</v>
      </c>
      <c r="E3371" s="2">
        <v>93</v>
      </c>
      <c r="F3371" s="2">
        <v>1824.88</v>
      </c>
    </row>
    <row r="3372" spans="3:6" x14ac:dyDescent="0.25">
      <c r="C3372" s="2" t="s">
        <v>15086</v>
      </c>
      <c r="D3372" s="2" t="s">
        <v>27</v>
      </c>
      <c r="E3372" s="2">
        <v>65</v>
      </c>
      <c r="F3372" s="2">
        <v>1102.39</v>
      </c>
    </row>
    <row r="3373" spans="3:6" x14ac:dyDescent="0.25">
      <c r="C3373" s="2" t="s">
        <v>15087</v>
      </c>
      <c r="D3373" s="2" t="s">
        <v>27</v>
      </c>
      <c r="E3373" s="2">
        <v>69</v>
      </c>
      <c r="F3373" s="2">
        <v>1212.13</v>
      </c>
    </row>
    <row r="3374" spans="3:6" x14ac:dyDescent="0.25">
      <c r="C3374" s="2" t="s">
        <v>15088</v>
      </c>
      <c r="D3374" s="2" t="s">
        <v>27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10</v>
      </c>
      <c r="C3376" s="2" t="s">
        <v>15089</v>
      </c>
      <c r="D3376" s="2" t="s">
        <v>12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15090</v>
      </c>
      <c r="D3377" s="2" t="s">
        <v>12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8925</v>
      </c>
      <c r="C3379" s="2" t="s">
        <v>15091</v>
      </c>
      <c r="D3379" s="2" t="s">
        <v>122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15092</v>
      </c>
      <c r="D3380" s="2" t="s">
        <v>122</v>
      </c>
      <c r="E3380" s="2">
        <v>74</v>
      </c>
      <c r="F3380" s="2">
        <v>1525.31</v>
      </c>
    </row>
    <row r="3381" spans="3:6" x14ac:dyDescent="0.25">
      <c r="C3381" s="2" t="s">
        <v>15093</v>
      </c>
      <c r="D3381" s="2" t="s">
        <v>122</v>
      </c>
      <c r="E3381" s="2">
        <v>28</v>
      </c>
      <c r="F3381" s="2">
        <v>559.46</v>
      </c>
    </row>
    <row r="3382" spans="3:6" x14ac:dyDescent="0.25">
      <c r="C3382" s="2" t="s">
        <v>15094</v>
      </c>
      <c r="D3382" s="2" t="s">
        <v>122</v>
      </c>
      <c r="E3382" s="2">
        <v>51</v>
      </c>
      <c r="F3382" s="2">
        <v>1015.6</v>
      </c>
    </row>
    <row r="3383" spans="3:6" x14ac:dyDescent="0.25">
      <c r="C3383" s="2" t="s">
        <v>15095</v>
      </c>
      <c r="D3383" s="2" t="s">
        <v>122</v>
      </c>
      <c r="E3383" s="2">
        <v>12</v>
      </c>
      <c r="F3383" s="2">
        <v>234.459</v>
      </c>
    </row>
    <row r="3384" spans="3:6" x14ac:dyDescent="0.25">
      <c r="C3384" s="2" t="s">
        <v>15096</v>
      </c>
      <c r="D3384" s="2" t="s">
        <v>122</v>
      </c>
      <c r="E3384" s="2">
        <v>24</v>
      </c>
      <c r="F3384" s="2">
        <v>504.02</v>
      </c>
    </row>
    <row r="3385" spans="3:6" x14ac:dyDescent="0.25">
      <c r="C3385" s="2" t="s">
        <v>15097</v>
      </c>
      <c r="D3385" s="2" t="s">
        <v>122</v>
      </c>
      <c r="E3385" s="2">
        <v>6</v>
      </c>
      <c r="F3385" s="2">
        <v>125.66</v>
      </c>
    </row>
    <row r="3386" spans="3:6" x14ac:dyDescent="0.25">
      <c r="C3386" s="2" t="s">
        <v>15098</v>
      </c>
      <c r="D3386" s="2" t="s">
        <v>122</v>
      </c>
      <c r="E3386" s="2">
        <v>9</v>
      </c>
      <c r="F3386" s="2">
        <v>174.97</v>
      </c>
    </row>
    <row r="3387" spans="3:6" x14ac:dyDescent="0.25">
      <c r="C3387" s="2" t="s">
        <v>15099</v>
      </c>
      <c r="D3387" s="2" t="s">
        <v>122</v>
      </c>
      <c r="E3387" s="2">
        <v>14</v>
      </c>
      <c r="F3387" s="2">
        <v>277.51</v>
      </c>
    </row>
    <row r="3388" spans="3:6" x14ac:dyDescent="0.25">
      <c r="C3388" s="2" t="s">
        <v>15100</v>
      </c>
      <c r="D3388" s="2" t="s">
        <v>122</v>
      </c>
      <c r="E3388" s="2">
        <v>74</v>
      </c>
      <c r="F3388" s="2">
        <v>1485.85</v>
      </c>
    </row>
    <row r="3389" spans="3:6" x14ac:dyDescent="0.25">
      <c r="C3389" s="2" t="s">
        <v>15101</v>
      </c>
      <c r="D3389" s="2" t="s">
        <v>122</v>
      </c>
      <c r="E3389" s="2">
        <v>14</v>
      </c>
      <c r="F3389" s="2">
        <v>295.3</v>
      </c>
    </row>
    <row r="3390" spans="3:6" x14ac:dyDescent="0.25">
      <c r="C3390" s="2" t="s">
        <v>15102</v>
      </c>
      <c r="D3390" s="2" t="s">
        <v>122</v>
      </c>
      <c r="E3390" s="2">
        <v>59</v>
      </c>
      <c r="F3390" s="2">
        <v>1247.17</v>
      </c>
    </row>
    <row r="3391" spans="3:6" x14ac:dyDescent="0.25">
      <c r="C3391" s="2" t="s">
        <v>15103</v>
      </c>
      <c r="D3391" s="2" t="s">
        <v>122</v>
      </c>
      <c r="E3391" s="2">
        <v>30</v>
      </c>
      <c r="F3391" s="2">
        <v>595.48</v>
      </c>
    </row>
    <row r="3392" spans="3:6" x14ac:dyDescent="0.25">
      <c r="C3392" s="2" t="s">
        <v>15104</v>
      </c>
      <c r="D3392" s="2" t="s">
        <v>122</v>
      </c>
      <c r="E3392" s="2">
        <v>38</v>
      </c>
      <c r="F3392" s="2">
        <v>730.54</v>
      </c>
    </row>
    <row r="3393" spans="3:6" x14ac:dyDescent="0.25">
      <c r="C3393" s="2" t="s">
        <v>15105</v>
      </c>
      <c r="D3393" s="2" t="s">
        <v>122</v>
      </c>
      <c r="E3393" s="2">
        <v>7</v>
      </c>
      <c r="F3393" s="2">
        <v>136.15</v>
      </c>
    </row>
    <row r="3394" spans="3:6" x14ac:dyDescent="0.25">
      <c r="C3394" s="2" t="s">
        <v>15106</v>
      </c>
      <c r="D3394" s="2" t="s">
        <v>122</v>
      </c>
      <c r="E3394" s="2">
        <v>27</v>
      </c>
      <c r="F3394" s="2">
        <v>519.02</v>
      </c>
    </row>
    <row r="3395" spans="3:6" x14ac:dyDescent="0.25">
      <c r="C3395" s="2" t="s">
        <v>15107</v>
      </c>
      <c r="D3395" s="2" t="s">
        <v>122</v>
      </c>
      <c r="E3395" s="2">
        <v>48</v>
      </c>
      <c r="F3395" s="2">
        <v>959.62</v>
      </c>
    </row>
    <row r="3396" spans="3:6" x14ac:dyDescent="0.25">
      <c r="C3396" s="2" t="s">
        <v>15108</v>
      </c>
      <c r="D3396" s="2" t="s">
        <v>122</v>
      </c>
      <c r="E3396" s="2">
        <v>15</v>
      </c>
      <c r="F3396" s="2">
        <v>263.91</v>
      </c>
    </row>
    <row r="3397" spans="3:6" x14ac:dyDescent="0.25">
      <c r="C3397" s="2" t="s">
        <v>15109</v>
      </c>
      <c r="D3397" s="2" t="s">
        <v>122</v>
      </c>
      <c r="E3397" s="2">
        <v>14</v>
      </c>
      <c r="F3397" s="2">
        <v>240.86</v>
      </c>
    </row>
    <row r="3398" spans="3:6" x14ac:dyDescent="0.25">
      <c r="C3398" s="2" t="s">
        <v>15110</v>
      </c>
      <c r="D3398" s="2" t="s">
        <v>122</v>
      </c>
      <c r="E3398" s="2">
        <v>10</v>
      </c>
      <c r="F3398" s="2">
        <v>182.91</v>
      </c>
    </row>
    <row r="3399" spans="3:6" x14ac:dyDescent="0.25">
      <c r="C3399" s="2" t="s">
        <v>15111</v>
      </c>
      <c r="D3399" s="2" t="s">
        <v>122</v>
      </c>
      <c r="E3399" s="2">
        <v>13</v>
      </c>
      <c r="F3399" s="2">
        <v>278.28</v>
      </c>
    </row>
    <row r="3400" spans="3:6" x14ac:dyDescent="0.25">
      <c r="C3400" s="2" t="s">
        <v>15112</v>
      </c>
      <c r="D3400" s="2" t="s">
        <v>122</v>
      </c>
      <c r="E3400" s="2">
        <v>31</v>
      </c>
      <c r="F3400" s="2">
        <v>456.384</v>
      </c>
    </row>
    <row r="3401" spans="3:6" x14ac:dyDescent="0.25">
      <c r="C3401" s="2" t="s">
        <v>15113</v>
      </c>
      <c r="D3401" s="2" t="s">
        <v>122</v>
      </c>
      <c r="E3401" s="2">
        <v>44</v>
      </c>
      <c r="F3401" s="2">
        <v>197.88</v>
      </c>
    </row>
    <row r="3402" spans="3:6" x14ac:dyDescent="0.25">
      <c r="C3402" s="2" t="s">
        <v>15114</v>
      </c>
      <c r="D3402" s="2" t="s">
        <v>122</v>
      </c>
      <c r="E3402" s="2">
        <v>8</v>
      </c>
      <c r="F3402" s="2">
        <v>118.35</v>
      </c>
    </row>
    <row r="3403" spans="3:6" x14ac:dyDescent="0.25">
      <c r="C3403" s="2" t="s">
        <v>15115</v>
      </c>
      <c r="D3403" s="2" t="s">
        <v>122</v>
      </c>
      <c r="E3403" s="2">
        <v>85</v>
      </c>
      <c r="F3403" s="2">
        <v>2564.959</v>
      </c>
    </row>
    <row r="3404" spans="3:6" x14ac:dyDescent="0.25">
      <c r="C3404" s="2" t="s">
        <v>15116</v>
      </c>
      <c r="D3404" s="2" t="s">
        <v>122</v>
      </c>
      <c r="E3404" s="2">
        <v>85</v>
      </c>
      <c r="F3404" s="2">
        <v>2573.209</v>
      </c>
    </row>
    <row r="3405" spans="3:6" x14ac:dyDescent="0.25">
      <c r="C3405" s="2" t="s">
        <v>15117</v>
      </c>
      <c r="D3405" s="2" t="s">
        <v>122</v>
      </c>
      <c r="E3405" s="2">
        <v>40</v>
      </c>
      <c r="F3405" s="2">
        <v>168.01</v>
      </c>
    </row>
    <row r="3406" spans="3:6" x14ac:dyDescent="0.25">
      <c r="C3406" s="2" t="s">
        <v>15118</v>
      </c>
      <c r="D3406" s="2" t="s">
        <v>122</v>
      </c>
      <c r="E3406" s="2">
        <v>30</v>
      </c>
      <c r="F3406" s="2">
        <v>129.4</v>
      </c>
    </row>
    <row r="3407" spans="3:6" x14ac:dyDescent="0.25">
      <c r="C3407" s="2" t="s">
        <v>15119</v>
      </c>
      <c r="D3407" s="2" t="s">
        <v>122</v>
      </c>
      <c r="E3407" s="2">
        <v>75</v>
      </c>
      <c r="F3407" s="2">
        <v>325.819</v>
      </c>
    </row>
    <row r="3408" spans="3:6" x14ac:dyDescent="0.25">
      <c r="C3408" s="2" t="s">
        <v>15120</v>
      </c>
      <c r="D3408" s="2" t="s">
        <v>122</v>
      </c>
      <c r="E3408" s="2">
        <v>72</v>
      </c>
      <c r="F3408" s="2">
        <v>1441.927</v>
      </c>
    </row>
    <row r="3409" spans="3:6" x14ac:dyDescent="0.25">
      <c r="C3409" s="2" t="s">
        <v>15121</v>
      </c>
      <c r="D3409" s="2" t="s">
        <v>122</v>
      </c>
      <c r="E3409" s="2">
        <v>7</v>
      </c>
      <c r="F3409" s="2">
        <v>140.17</v>
      </c>
    </row>
    <row r="3410" spans="3:6" x14ac:dyDescent="0.25">
      <c r="C3410" s="2" t="s">
        <v>15122</v>
      </c>
      <c r="D3410" s="2" t="s">
        <v>122</v>
      </c>
      <c r="E3410" s="2">
        <v>16</v>
      </c>
      <c r="F3410" s="2">
        <v>203.644</v>
      </c>
    </row>
    <row r="3411" spans="3:6" x14ac:dyDescent="0.25">
      <c r="C3411" s="2" t="s">
        <v>15123</v>
      </c>
      <c r="D3411" s="2" t="s">
        <v>122</v>
      </c>
      <c r="E3411" s="2">
        <v>18</v>
      </c>
      <c r="F3411" s="2">
        <v>359.96</v>
      </c>
    </row>
    <row r="3412" spans="3:6" x14ac:dyDescent="0.25">
      <c r="C3412" s="2" t="s">
        <v>15124</v>
      </c>
      <c r="D3412" s="2" t="s">
        <v>122</v>
      </c>
      <c r="E3412" s="2">
        <v>79</v>
      </c>
      <c r="F3412" s="2">
        <v>1612.76</v>
      </c>
    </row>
    <row r="3413" spans="3:6" x14ac:dyDescent="0.25">
      <c r="C3413" s="2" t="s">
        <v>15125</v>
      </c>
      <c r="D3413" s="2" t="s">
        <v>122</v>
      </c>
      <c r="E3413" s="2">
        <v>42</v>
      </c>
      <c r="F3413" s="2">
        <v>856.69</v>
      </c>
    </row>
    <row r="3414" spans="3:6" x14ac:dyDescent="0.25">
      <c r="C3414" s="2" t="s">
        <v>15126</v>
      </c>
      <c r="D3414" s="2" t="s">
        <v>122</v>
      </c>
      <c r="E3414" s="2">
        <v>66</v>
      </c>
      <c r="F3414" s="2">
        <v>1310.48</v>
      </c>
    </row>
    <row r="3415" spans="3:6" x14ac:dyDescent="0.25">
      <c r="C3415" s="2" t="s">
        <v>15127</v>
      </c>
      <c r="D3415" s="2" t="s">
        <v>122</v>
      </c>
      <c r="E3415" s="2">
        <v>55</v>
      </c>
      <c r="F3415" s="2">
        <v>1152.09</v>
      </c>
    </row>
    <row r="3416" spans="3:6" x14ac:dyDescent="0.25">
      <c r="C3416" s="2" t="s">
        <v>15128</v>
      </c>
      <c r="D3416" s="2" t="s">
        <v>122</v>
      </c>
      <c r="E3416" s="2">
        <v>37</v>
      </c>
      <c r="F3416" s="2">
        <v>721.83</v>
      </c>
    </row>
    <row r="3417" spans="3:6" x14ac:dyDescent="0.25">
      <c r="C3417" s="2" t="s">
        <v>15129</v>
      </c>
      <c r="D3417" s="2" t="s">
        <v>122</v>
      </c>
      <c r="E3417" s="2">
        <v>34</v>
      </c>
      <c r="F3417" s="2">
        <v>612.229</v>
      </c>
    </row>
    <row r="3418" spans="3:6" x14ac:dyDescent="0.25">
      <c r="C3418" s="2" t="s">
        <v>15130</v>
      </c>
      <c r="D3418" s="2" t="s">
        <v>122</v>
      </c>
      <c r="E3418" s="2">
        <v>50</v>
      </c>
      <c r="F3418" s="2">
        <v>1018.25</v>
      </c>
    </row>
    <row r="3419" spans="3:6" x14ac:dyDescent="0.25">
      <c r="C3419" s="2" t="s">
        <v>15131</v>
      </c>
      <c r="D3419" s="2" t="s">
        <v>122</v>
      </c>
      <c r="E3419" s="2">
        <v>141</v>
      </c>
      <c r="F3419" s="2">
        <v>2887.06</v>
      </c>
    </row>
    <row r="3420" spans="3:6" x14ac:dyDescent="0.25">
      <c r="C3420" s="2" t="s">
        <v>15132</v>
      </c>
      <c r="D3420" s="2" t="s">
        <v>122</v>
      </c>
      <c r="E3420" s="2">
        <v>105</v>
      </c>
      <c r="F3420" s="2">
        <v>2161.3</v>
      </c>
    </row>
    <row r="3421" spans="3:6" x14ac:dyDescent="0.25">
      <c r="C3421" s="2" t="s">
        <v>15133</v>
      </c>
      <c r="D3421" s="2" t="s">
        <v>122</v>
      </c>
      <c r="E3421" s="2">
        <v>36</v>
      </c>
      <c r="F3421" s="2">
        <v>771.149</v>
      </c>
    </row>
    <row r="3422" spans="3:6" x14ac:dyDescent="0.25">
      <c r="C3422" s="2" t="s">
        <v>15134</v>
      </c>
      <c r="D3422" s="2" t="s">
        <v>122</v>
      </c>
      <c r="E3422" s="2">
        <v>126</v>
      </c>
      <c r="F3422" s="2">
        <v>2604.11</v>
      </c>
    </row>
    <row r="3423" spans="3:6" x14ac:dyDescent="0.25">
      <c r="C3423" s="2" t="s">
        <v>15135</v>
      </c>
      <c r="D3423" s="2" t="s">
        <v>122</v>
      </c>
      <c r="E3423" s="2">
        <v>15</v>
      </c>
      <c r="F3423" s="2">
        <v>287.27</v>
      </c>
    </row>
    <row r="3424" spans="3:6" x14ac:dyDescent="0.25">
      <c r="C3424" s="2" t="s">
        <v>15136</v>
      </c>
      <c r="D3424" s="2" t="s">
        <v>122</v>
      </c>
      <c r="E3424" s="2">
        <v>141</v>
      </c>
      <c r="F3424" s="2">
        <v>2905.1</v>
      </c>
    </row>
    <row r="3425" spans="3:6" x14ac:dyDescent="0.25">
      <c r="C3425" s="2" t="s">
        <v>15137</v>
      </c>
      <c r="D3425" s="2" t="s">
        <v>122</v>
      </c>
      <c r="E3425" s="2">
        <v>141</v>
      </c>
      <c r="F3425" s="2">
        <v>2832.08</v>
      </c>
    </row>
    <row r="3426" spans="3:6" x14ac:dyDescent="0.25">
      <c r="C3426" s="2" t="s">
        <v>15138</v>
      </c>
      <c r="D3426" s="2" t="s">
        <v>122</v>
      </c>
      <c r="E3426" s="2">
        <v>141</v>
      </c>
      <c r="F3426" s="2">
        <v>2779.16</v>
      </c>
    </row>
    <row r="3427" spans="3:6" x14ac:dyDescent="0.25">
      <c r="C3427" s="2" t="s">
        <v>15139</v>
      </c>
      <c r="D3427" s="2" t="s">
        <v>122</v>
      </c>
      <c r="E3427" s="2">
        <v>83</v>
      </c>
      <c r="F3427" s="2">
        <v>1700.97</v>
      </c>
    </row>
    <row r="3428" spans="3:6" x14ac:dyDescent="0.25">
      <c r="C3428" s="2" t="s">
        <v>15140</v>
      </c>
      <c r="D3428" s="2" t="s">
        <v>122</v>
      </c>
      <c r="E3428" s="2">
        <v>32</v>
      </c>
      <c r="F3428" s="2">
        <v>701.5</v>
      </c>
    </row>
    <row r="3429" spans="3:6" x14ac:dyDescent="0.25">
      <c r="C3429" s="2" t="s">
        <v>15141</v>
      </c>
      <c r="D3429" s="2" t="s">
        <v>122</v>
      </c>
      <c r="E3429" s="2">
        <v>26</v>
      </c>
      <c r="F3429" s="2">
        <v>510.71</v>
      </c>
    </row>
    <row r="3430" spans="3:6" x14ac:dyDescent="0.25">
      <c r="C3430" s="2" t="s">
        <v>15142</v>
      </c>
      <c r="D3430" s="2" t="s">
        <v>122</v>
      </c>
      <c r="E3430" s="2">
        <v>32</v>
      </c>
      <c r="F3430" s="2">
        <v>630.16</v>
      </c>
    </row>
    <row r="3431" spans="3:6" x14ac:dyDescent="0.25">
      <c r="C3431" s="2" t="s">
        <v>15143</v>
      </c>
      <c r="D3431" s="2" t="s">
        <v>122</v>
      </c>
      <c r="E3431" s="2">
        <v>43</v>
      </c>
      <c r="F3431" s="2">
        <v>846.889</v>
      </c>
    </row>
    <row r="3432" spans="3:6" x14ac:dyDescent="0.25">
      <c r="C3432" s="2" t="s">
        <v>15144</v>
      </c>
      <c r="D3432" s="2" t="s">
        <v>122</v>
      </c>
      <c r="E3432" s="2">
        <v>46</v>
      </c>
      <c r="F3432" s="2">
        <v>923.42</v>
      </c>
    </row>
    <row r="3433" spans="3:6" x14ac:dyDescent="0.25">
      <c r="C3433" s="2" t="s">
        <v>15145</v>
      </c>
      <c r="D3433" s="2" t="s">
        <v>122</v>
      </c>
      <c r="E3433" s="2">
        <v>20</v>
      </c>
      <c r="F3433" s="2">
        <v>414.42</v>
      </c>
    </row>
    <row r="3434" spans="3:6" x14ac:dyDescent="0.25">
      <c r="C3434" s="2" t="s">
        <v>15146</v>
      </c>
      <c r="D3434" s="2" t="s">
        <v>122</v>
      </c>
      <c r="E3434" s="2">
        <v>34</v>
      </c>
      <c r="F3434" s="2">
        <v>610.03</v>
      </c>
    </row>
    <row r="3435" spans="3:6" x14ac:dyDescent="0.25">
      <c r="C3435" s="2" t="s">
        <v>15147</v>
      </c>
      <c r="D3435" s="2" t="s">
        <v>122</v>
      </c>
      <c r="E3435" s="2">
        <v>28</v>
      </c>
      <c r="F3435" s="2">
        <v>574.01</v>
      </c>
    </row>
    <row r="3436" spans="3:6" x14ac:dyDescent="0.25">
      <c r="C3436" s="2" t="s">
        <v>15148</v>
      </c>
      <c r="D3436" s="2" t="s">
        <v>122</v>
      </c>
      <c r="E3436" s="2">
        <v>24</v>
      </c>
      <c r="F3436" s="2">
        <v>481.24</v>
      </c>
    </row>
    <row r="3437" spans="3:6" x14ac:dyDescent="0.25">
      <c r="C3437" s="2" t="s">
        <v>15149</v>
      </c>
      <c r="D3437" s="2" t="s">
        <v>122</v>
      </c>
      <c r="E3437" s="2">
        <v>23</v>
      </c>
      <c r="F3437" s="2">
        <v>342.181</v>
      </c>
    </row>
    <row r="3438" spans="3:6" x14ac:dyDescent="0.25">
      <c r="C3438" s="2" t="s">
        <v>15150</v>
      </c>
      <c r="D3438" s="2" t="s">
        <v>122</v>
      </c>
      <c r="E3438" s="2">
        <v>20</v>
      </c>
      <c r="F3438" s="2">
        <v>376.74</v>
      </c>
    </row>
    <row r="3439" spans="3:6" x14ac:dyDescent="0.25">
      <c r="C3439" s="2" t="s">
        <v>15151</v>
      </c>
      <c r="D3439" s="2" t="s">
        <v>122</v>
      </c>
      <c r="E3439" s="2">
        <v>14</v>
      </c>
      <c r="F3439" s="2">
        <v>265.65</v>
      </c>
    </row>
    <row r="3440" spans="3:6" x14ac:dyDescent="0.25">
      <c r="C3440" s="2" t="s">
        <v>15152</v>
      </c>
      <c r="D3440" s="2" t="s">
        <v>122</v>
      </c>
      <c r="E3440" s="2">
        <v>31</v>
      </c>
      <c r="F3440" s="2">
        <v>589.19</v>
      </c>
    </row>
    <row r="3441" spans="3:6" x14ac:dyDescent="0.25">
      <c r="C3441" s="2" t="s">
        <v>15153</v>
      </c>
      <c r="D3441" s="2" t="s">
        <v>122</v>
      </c>
      <c r="E3441" s="2">
        <v>20</v>
      </c>
      <c r="F3441" s="2">
        <v>402.89</v>
      </c>
    </row>
    <row r="3442" spans="3:6" x14ac:dyDescent="0.25">
      <c r="C3442" s="2" t="s">
        <v>15154</v>
      </c>
      <c r="D3442" s="2" t="s">
        <v>122</v>
      </c>
      <c r="E3442" s="2">
        <v>24</v>
      </c>
      <c r="F3442" s="2">
        <v>471.53</v>
      </c>
    </row>
    <row r="3443" spans="3:6" x14ac:dyDescent="0.25">
      <c r="C3443" s="2" t="s">
        <v>15155</v>
      </c>
      <c r="D3443" s="2" t="s">
        <v>122</v>
      </c>
      <c r="E3443" s="2">
        <v>11</v>
      </c>
      <c r="F3443" s="2">
        <v>226.35</v>
      </c>
    </row>
    <row r="3444" spans="3:6" x14ac:dyDescent="0.25">
      <c r="C3444" s="2" t="s">
        <v>15156</v>
      </c>
      <c r="D3444" s="2" t="s">
        <v>122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380</v>
      </c>
      <c r="C3446" s="2" t="s">
        <v>15157</v>
      </c>
      <c r="D3446" s="2" t="s">
        <v>20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15158</v>
      </c>
      <c r="D3447" s="2" t="s">
        <v>20</v>
      </c>
      <c r="E3447" s="2">
        <v>143</v>
      </c>
      <c r="F3447" s="2">
        <v>2995.21</v>
      </c>
    </row>
    <row r="3448" spans="3:6" x14ac:dyDescent="0.25">
      <c r="C3448" s="2" t="s">
        <v>15159</v>
      </c>
      <c r="D3448" s="2" t="s">
        <v>20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7022</v>
      </c>
      <c r="C3450" s="2" t="s">
        <v>15160</v>
      </c>
      <c r="D3450" s="2" t="s">
        <v>20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8508</v>
      </c>
      <c r="D3451" s="2" t="s">
        <v>20</v>
      </c>
      <c r="E3451" s="2">
        <v>164</v>
      </c>
      <c r="F3451" s="2">
        <v>3792.13</v>
      </c>
    </row>
    <row r="3452" spans="3:6" x14ac:dyDescent="0.25">
      <c r="C3452" s="2" t="s">
        <v>15161</v>
      </c>
      <c r="D3452" s="2" t="s">
        <v>20</v>
      </c>
      <c r="E3452" s="2">
        <v>315</v>
      </c>
      <c r="F3452" s="2">
        <v>5073.014</v>
      </c>
    </row>
    <row r="3453" spans="3:6" x14ac:dyDescent="0.25">
      <c r="C3453" s="2" t="s">
        <v>15162</v>
      </c>
      <c r="D3453" s="2" t="s">
        <v>20</v>
      </c>
      <c r="E3453" s="2">
        <v>268</v>
      </c>
      <c r="F3453" s="2">
        <v>5166.88</v>
      </c>
    </row>
    <row r="3454" spans="3:6" x14ac:dyDescent="0.25">
      <c r="C3454" s="2" t="s">
        <v>15163</v>
      </c>
      <c r="D3454" s="2" t="s">
        <v>20</v>
      </c>
      <c r="E3454" s="2">
        <v>163</v>
      </c>
      <c r="F3454" s="2">
        <v>2994.989</v>
      </c>
    </row>
    <row r="3455" spans="3:6" x14ac:dyDescent="0.25">
      <c r="C3455" s="2" t="s">
        <v>15164</v>
      </c>
      <c r="D3455" s="2" t="s">
        <v>20</v>
      </c>
      <c r="E3455" s="2">
        <v>268</v>
      </c>
      <c r="F3455" s="2">
        <v>4977.37</v>
      </c>
    </row>
    <row r="3456" spans="3:6" x14ac:dyDescent="0.25">
      <c r="C3456" s="2" t="s">
        <v>15165</v>
      </c>
      <c r="D3456" s="2" t="s">
        <v>20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4182</v>
      </c>
      <c r="C3458" s="2" t="s">
        <v>15166</v>
      </c>
      <c r="D3458" s="2" t="s">
        <v>122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15167</v>
      </c>
      <c r="D3459" s="2" t="s">
        <v>122</v>
      </c>
      <c r="E3459" s="2">
        <v>82</v>
      </c>
      <c r="F3459" s="2">
        <v>2479.676</v>
      </c>
    </row>
    <row r="3460" spans="3:6" x14ac:dyDescent="0.25">
      <c r="C3460" s="2" t="s">
        <v>15168</v>
      </c>
      <c r="D3460" s="2" t="s">
        <v>122</v>
      </c>
      <c r="E3460" s="2">
        <v>121</v>
      </c>
      <c r="F3460" s="2">
        <v>2438.06</v>
      </c>
    </row>
    <row r="3461" spans="3:6" x14ac:dyDescent="0.25">
      <c r="C3461" s="2" t="s">
        <v>15169</v>
      </c>
      <c r="D3461" s="2" t="s">
        <v>122</v>
      </c>
      <c r="E3461" s="2">
        <v>17</v>
      </c>
      <c r="F3461" s="2">
        <v>138.386</v>
      </c>
    </row>
    <row r="3462" spans="3:6" x14ac:dyDescent="0.25">
      <c r="C3462" s="2" t="s">
        <v>15170</v>
      </c>
      <c r="D3462" s="2" t="s">
        <v>122</v>
      </c>
      <c r="E3462" s="2">
        <v>41</v>
      </c>
      <c r="F3462" s="2">
        <v>818.19</v>
      </c>
    </row>
    <row r="3463" spans="3:6" x14ac:dyDescent="0.25">
      <c r="C3463" s="2" t="s">
        <v>15171</v>
      </c>
      <c r="D3463" s="2" t="s">
        <v>122</v>
      </c>
      <c r="E3463" s="2">
        <v>59</v>
      </c>
      <c r="F3463" s="2">
        <v>1195.509</v>
      </c>
    </row>
    <row r="3464" spans="3:6" x14ac:dyDescent="0.25">
      <c r="C3464" s="2" t="s">
        <v>15172</v>
      </c>
      <c r="D3464" s="2" t="s">
        <v>122</v>
      </c>
      <c r="E3464" s="2">
        <v>46</v>
      </c>
      <c r="F3464" s="2">
        <v>896.14</v>
      </c>
    </row>
    <row r="3465" spans="3:6" x14ac:dyDescent="0.25">
      <c r="C3465" s="2" t="s">
        <v>15173</v>
      </c>
      <c r="D3465" s="2" t="s">
        <v>122</v>
      </c>
      <c r="E3465" s="2">
        <v>96</v>
      </c>
      <c r="F3465" s="2">
        <v>1907.69</v>
      </c>
    </row>
    <row r="3466" spans="3:6" x14ac:dyDescent="0.25">
      <c r="C3466" s="2" t="s">
        <v>15174</v>
      </c>
      <c r="D3466" s="2" t="s">
        <v>122</v>
      </c>
      <c r="E3466" s="2">
        <v>141</v>
      </c>
      <c r="F3466" s="2">
        <v>2850.2</v>
      </c>
    </row>
    <row r="3467" spans="3:6" x14ac:dyDescent="0.25">
      <c r="C3467" s="2" t="s">
        <v>15175</v>
      </c>
      <c r="D3467" s="2" t="s">
        <v>122</v>
      </c>
      <c r="E3467" s="2">
        <v>101</v>
      </c>
      <c r="F3467" s="2">
        <v>2093.439</v>
      </c>
    </row>
    <row r="3468" spans="3:6" x14ac:dyDescent="0.25">
      <c r="C3468" s="2" t="s">
        <v>15176</v>
      </c>
      <c r="D3468" s="2" t="s">
        <v>122</v>
      </c>
      <c r="E3468" s="2">
        <v>101</v>
      </c>
      <c r="F3468" s="2">
        <v>1987.808</v>
      </c>
    </row>
    <row r="3469" spans="3:6" x14ac:dyDescent="0.25">
      <c r="C3469" s="2" t="s">
        <v>15177</v>
      </c>
      <c r="D3469" s="2" t="s">
        <v>122</v>
      </c>
      <c r="E3469" s="2">
        <v>101</v>
      </c>
      <c r="F3469" s="2">
        <v>2052.749</v>
      </c>
    </row>
    <row r="3470" spans="3:6" x14ac:dyDescent="0.25">
      <c r="C3470" s="2" t="s">
        <v>15178</v>
      </c>
      <c r="D3470" s="2" t="s">
        <v>122</v>
      </c>
      <c r="E3470" s="2">
        <v>48</v>
      </c>
      <c r="F3470" s="2">
        <v>977.5</v>
      </c>
    </row>
    <row r="3471" spans="3:6" x14ac:dyDescent="0.25">
      <c r="C3471" s="2" t="s">
        <v>15179</v>
      </c>
      <c r="D3471" s="2" t="s">
        <v>122</v>
      </c>
      <c r="E3471" s="2">
        <v>51</v>
      </c>
      <c r="F3471" s="2">
        <v>984.12</v>
      </c>
    </row>
    <row r="3472" spans="3:6" x14ac:dyDescent="0.25">
      <c r="C3472" s="2" t="s">
        <v>15180</v>
      </c>
      <c r="D3472" s="2" t="s">
        <v>122</v>
      </c>
      <c r="E3472" s="2">
        <v>42</v>
      </c>
      <c r="F3472" s="2">
        <v>785.92</v>
      </c>
    </row>
    <row r="3473" spans="3:6" x14ac:dyDescent="0.25">
      <c r="C3473" s="2" t="s">
        <v>15181</v>
      </c>
      <c r="D3473" s="2" t="s">
        <v>122</v>
      </c>
      <c r="E3473" s="2">
        <v>77</v>
      </c>
      <c r="F3473" s="2">
        <v>2411.231</v>
      </c>
    </row>
    <row r="3474" spans="3:6" x14ac:dyDescent="0.25">
      <c r="C3474" s="2" t="s">
        <v>15182</v>
      </c>
      <c r="D3474" s="2" t="s">
        <v>122</v>
      </c>
      <c r="E3474" s="2">
        <v>141</v>
      </c>
      <c r="F3474" s="2">
        <v>2854.18</v>
      </c>
    </row>
    <row r="3475" spans="3:6" x14ac:dyDescent="0.25">
      <c r="C3475" s="2" t="s">
        <v>15183</v>
      </c>
      <c r="D3475" s="2" t="s">
        <v>122</v>
      </c>
      <c r="E3475" s="2">
        <v>49</v>
      </c>
      <c r="F3475" s="2">
        <v>970.139</v>
      </c>
    </row>
    <row r="3476" spans="3:6" x14ac:dyDescent="0.25">
      <c r="C3476" s="2" t="s">
        <v>15184</v>
      </c>
      <c r="D3476" s="2" t="s">
        <v>122</v>
      </c>
      <c r="E3476" s="2">
        <v>52</v>
      </c>
      <c r="F3476" s="2">
        <v>1031.28</v>
      </c>
    </row>
    <row r="3477" spans="3:6" x14ac:dyDescent="0.25">
      <c r="C3477" s="2" t="s">
        <v>15185</v>
      </c>
      <c r="D3477" s="2" t="s">
        <v>122</v>
      </c>
      <c r="E3477" s="2">
        <v>40</v>
      </c>
      <c r="F3477" s="2">
        <v>833.63</v>
      </c>
    </row>
    <row r="3478" spans="3:6" x14ac:dyDescent="0.25">
      <c r="C3478" s="2" t="s">
        <v>15186</v>
      </c>
      <c r="D3478" s="2" t="s">
        <v>122</v>
      </c>
      <c r="E3478" s="2">
        <v>101</v>
      </c>
      <c r="F3478" s="2">
        <v>1959.289</v>
      </c>
    </row>
    <row r="3479" spans="3:6" x14ac:dyDescent="0.25">
      <c r="C3479" s="2" t="s">
        <v>15187</v>
      </c>
      <c r="D3479" s="2" t="s">
        <v>122</v>
      </c>
      <c r="E3479" s="2">
        <v>80</v>
      </c>
      <c r="F3479" s="2">
        <v>1579.96</v>
      </c>
    </row>
    <row r="3480" spans="3:6" x14ac:dyDescent="0.25">
      <c r="C3480" s="2" t="s">
        <v>15188</v>
      </c>
      <c r="D3480" s="2" t="s">
        <v>122</v>
      </c>
      <c r="E3480" s="2">
        <v>17</v>
      </c>
      <c r="F3480" s="2">
        <v>306.96</v>
      </c>
    </row>
    <row r="3481" spans="3:6" x14ac:dyDescent="0.25">
      <c r="C3481" s="2" t="s">
        <v>15189</v>
      </c>
      <c r="D3481" s="2" t="s">
        <v>122</v>
      </c>
      <c r="E3481" s="2">
        <v>31</v>
      </c>
      <c r="F3481" s="2">
        <v>637.59</v>
      </c>
    </row>
    <row r="3482" spans="3:6" x14ac:dyDescent="0.25">
      <c r="C3482" s="2" t="s">
        <v>15190</v>
      </c>
      <c r="D3482" s="2" t="s">
        <v>122</v>
      </c>
      <c r="E3482" s="2">
        <v>29</v>
      </c>
      <c r="F3482" s="2">
        <v>615.69</v>
      </c>
    </row>
    <row r="3483" spans="3:6" x14ac:dyDescent="0.25">
      <c r="C3483" s="2" t="s">
        <v>15191</v>
      </c>
      <c r="D3483" s="2" t="s">
        <v>122</v>
      </c>
      <c r="E3483" s="2">
        <v>27</v>
      </c>
      <c r="F3483" s="2">
        <v>533.21</v>
      </c>
    </row>
    <row r="3484" spans="3:6" x14ac:dyDescent="0.25">
      <c r="C3484" s="2" t="s">
        <v>15192</v>
      </c>
      <c r="D3484" s="2" t="s">
        <v>122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2097</v>
      </c>
      <c r="C3486" s="2" t="s">
        <v>15193</v>
      </c>
      <c r="D3486" s="2" t="s">
        <v>27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15194</v>
      </c>
      <c r="D3487" s="2" t="s">
        <v>27</v>
      </c>
      <c r="E3487" s="2">
        <v>40</v>
      </c>
      <c r="F3487" s="2">
        <v>713.418</v>
      </c>
    </row>
    <row r="3488" spans="3:6" x14ac:dyDescent="0.25">
      <c r="C3488" s="2" t="s">
        <v>15195</v>
      </c>
      <c r="D3488" s="2" t="s">
        <v>27</v>
      </c>
      <c r="E3488" s="2">
        <v>106</v>
      </c>
      <c r="F3488" s="2">
        <v>2068.389</v>
      </c>
    </row>
    <row r="3489" spans="3:6" x14ac:dyDescent="0.25">
      <c r="C3489" s="2" t="s">
        <v>15196</v>
      </c>
      <c r="D3489" s="2" t="s">
        <v>27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183</v>
      </c>
      <c r="C3492" s="2" t="s">
        <v>15197</v>
      </c>
      <c r="D3492" s="2" t="s">
        <v>122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15198</v>
      </c>
      <c r="D3493" s="2" t="s">
        <v>122</v>
      </c>
      <c r="E3493" s="2">
        <v>109</v>
      </c>
      <c r="F3493" s="2">
        <v>2450.762</v>
      </c>
    </row>
    <row r="3494" spans="3:6" x14ac:dyDescent="0.25">
      <c r="C3494" s="2" t="s">
        <v>15199</v>
      </c>
      <c r="D3494" s="2" t="s">
        <v>122</v>
      </c>
      <c r="E3494" s="2">
        <v>79</v>
      </c>
      <c r="F3494" s="2">
        <v>2174.72</v>
      </c>
    </row>
    <row r="3495" spans="3:6" x14ac:dyDescent="0.25">
      <c r="C3495" s="2" t="s">
        <v>15200</v>
      </c>
      <c r="D3495" s="2" t="s">
        <v>122</v>
      </c>
      <c r="E3495" s="2">
        <v>102</v>
      </c>
      <c r="F3495" s="2">
        <v>1857.14</v>
      </c>
    </row>
    <row r="3496" spans="3:6" x14ac:dyDescent="0.25">
      <c r="C3496" s="2" t="s">
        <v>15201</v>
      </c>
      <c r="D3496" s="2" t="s">
        <v>122</v>
      </c>
      <c r="E3496" s="2">
        <v>81</v>
      </c>
      <c r="F3496" s="2">
        <v>1537.059</v>
      </c>
    </row>
    <row r="3497" spans="3:6" x14ac:dyDescent="0.25">
      <c r="C3497" s="2" t="s">
        <v>15202</v>
      </c>
      <c r="D3497" s="2" t="s">
        <v>122</v>
      </c>
      <c r="E3497" s="2">
        <v>21</v>
      </c>
      <c r="F3497" s="2">
        <v>421.66</v>
      </c>
    </row>
    <row r="3498" spans="3:6" x14ac:dyDescent="0.25">
      <c r="C3498" s="2" t="s">
        <v>14950</v>
      </c>
      <c r="D3498" s="2" t="s">
        <v>122</v>
      </c>
      <c r="E3498" s="2">
        <v>75</v>
      </c>
      <c r="F3498" s="2">
        <v>1530</v>
      </c>
    </row>
    <row r="3499" spans="3:6" x14ac:dyDescent="0.25">
      <c r="C3499" s="2" t="s">
        <v>15203</v>
      </c>
      <c r="D3499" s="2" t="s">
        <v>122</v>
      </c>
      <c r="E3499" s="2">
        <v>75</v>
      </c>
      <c r="F3499" s="2">
        <v>1452.71</v>
      </c>
    </row>
    <row r="3500" spans="3:6" x14ac:dyDescent="0.25">
      <c r="C3500" s="2" t="s">
        <v>15204</v>
      </c>
      <c r="D3500" s="2" t="s">
        <v>122</v>
      </c>
      <c r="E3500" s="2">
        <v>67</v>
      </c>
      <c r="F3500" s="2">
        <v>1330.35</v>
      </c>
    </row>
    <row r="3501" spans="3:6" x14ac:dyDescent="0.25">
      <c r="C3501" s="2" t="s">
        <v>15205</v>
      </c>
      <c r="D3501" s="2" t="s">
        <v>122</v>
      </c>
      <c r="E3501" s="2">
        <v>38</v>
      </c>
      <c r="F3501" s="2">
        <v>753.65</v>
      </c>
    </row>
    <row r="3502" spans="3:6" x14ac:dyDescent="0.25">
      <c r="C3502" s="2" t="s">
        <v>15206</v>
      </c>
      <c r="D3502" s="2" t="s">
        <v>122</v>
      </c>
      <c r="E3502" s="2">
        <v>29</v>
      </c>
      <c r="F3502" s="2">
        <v>587.45</v>
      </c>
    </row>
    <row r="3503" spans="3:6" x14ac:dyDescent="0.25">
      <c r="C3503" s="2" t="s">
        <v>15207</v>
      </c>
      <c r="D3503" s="2" t="s">
        <v>122</v>
      </c>
      <c r="E3503" s="2">
        <v>71</v>
      </c>
      <c r="F3503" s="2">
        <v>1412.05</v>
      </c>
    </row>
    <row r="3504" spans="3:6" x14ac:dyDescent="0.25">
      <c r="C3504" s="2" t="s">
        <v>15208</v>
      </c>
      <c r="D3504" s="2" t="s">
        <v>122</v>
      </c>
      <c r="E3504" s="2">
        <v>31</v>
      </c>
      <c r="F3504" s="2">
        <v>629.3</v>
      </c>
    </row>
    <row r="3505" spans="3:6" x14ac:dyDescent="0.25">
      <c r="C3505" s="2" t="s">
        <v>15209</v>
      </c>
      <c r="D3505" s="2" t="s">
        <v>122</v>
      </c>
      <c r="E3505" s="2">
        <v>67</v>
      </c>
      <c r="F3505" s="2">
        <v>1284.63</v>
      </c>
    </row>
    <row r="3506" spans="3:6" x14ac:dyDescent="0.25">
      <c r="C3506" s="2" t="s">
        <v>15210</v>
      </c>
      <c r="D3506" s="2" t="s">
        <v>122</v>
      </c>
      <c r="E3506" s="2">
        <v>74</v>
      </c>
      <c r="F3506" s="2">
        <v>1480.628</v>
      </c>
    </row>
    <row r="3507" spans="3:6" x14ac:dyDescent="0.25">
      <c r="C3507" s="2" t="s">
        <v>15211</v>
      </c>
      <c r="D3507" s="2" t="s">
        <v>122</v>
      </c>
      <c r="E3507" s="2">
        <v>14</v>
      </c>
      <c r="F3507" s="2">
        <v>271.2</v>
      </c>
    </row>
    <row r="3508" spans="3:6" x14ac:dyDescent="0.25">
      <c r="C3508" s="2" t="s">
        <v>15212</v>
      </c>
      <c r="D3508" s="2" t="s">
        <v>122</v>
      </c>
      <c r="E3508" s="2">
        <v>74</v>
      </c>
      <c r="F3508" s="2">
        <v>1538.55</v>
      </c>
    </row>
    <row r="3509" spans="3:6" x14ac:dyDescent="0.25">
      <c r="C3509" s="2" t="s">
        <v>15213</v>
      </c>
      <c r="D3509" s="2" t="s">
        <v>122</v>
      </c>
      <c r="E3509" s="2">
        <v>15</v>
      </c>
      <c r="F3509" s="2">
        <v>309.71</v>
      </c>
    </row>
    <row r="3510" spans="3:6" x14ac:dyDescent="0.25">
      <c r="C3510" s="2" t="s">
        <v>15214</v>
      </c>
      <c r="D3510" s="2" t="s">
        <v>122</v>
      </c>
      <c r="E3510" s="2">
        <v>75</v>
      </c>
      <c r="F3510" s="2">
        <v>330.71</v>
      </c>
    </row>
    <row r="3511" spans="3:6" x14ac:dyDescent="0.25">
      <c r="C3511" s="2" t="s">
        <v>15215</v>
      </c>
      <c r="D3511" s="2" t="s">
        <v>122</v>
      </c>
      <c r="E3511" s="2">
        <v>50</v>
      </c>
      <c r="F3511" s="2">
        <v>211.19</v>
      </c>
    </row>
    <row r="3512" spans="3:6" x14ac:dyDescent="0.25">
      <c r="C3512" s="2" t="s">
        <v>15216</v>
      </c>
      <c r="D3512" s="2" t="s">
        <v>122</v>
      </c>
      <c r="E3512" s="2">
        <v>77</v>
      </c>
      <c r="F3512" s="2">
        <v>1517.579</v>
      </c>
    </row>
    <row r="3513" spans="3:6" x14ac:dyDescent="0.25">
      <c r="C3513" s="2" t="s">
        <v>15217</v>
      </c>
      <c r="D3513" s="2" t="s">
        <v>122</v>
      </c>
      <c r="E3513" s="2">
        <v>44</v>
      </c>
      <c r="F3513" s="2">
        <v>860.04</v>
      </c>
    </row>
    <row r="3514" spans="3:6" x14ac:dyDescent="0.25">
      <c r="C3514" s="2" t="s">
        <v>15218</v>
      </c>
      <c r="D3514" s="2" t="s">
        <v>122</v>
      </c>
      <c r="E3514" s="2">
        <v>58</v>
      </c>
      <c r="F3514" s="2">
        <v>1157.79</v>
      </c>
    </row>
    <row r="3515" spans="3:6" x14ac:dyDescent="0.25">
      <c r="C3515" s="2" t="s">
        <v>15219</v>
      </c>
      <c r="D3515" s="2" t="s">
        <v>122</v>
      </c>
      <c r="E3515" s="2">
        <v>46</v>
      </c>
      <c r="F3515" s="2">
        <v>955.9</v>
      </c>
    </row>
    <row r="3516" spans="3:6" x14ac:dyDescent="0.25">
      <c r="C3516" s="2" t="s">
        <v>15220</v>
      </c>
      <c r="D3516" s="2" t="s">
        <v>122</v>
      </c>
      <c r="E3516" s="2">
        <v>18</v>
      </c>
      <c r="F3516" s="2">
        <v>347.57</v>
      </c>
    </row>
    <row r="3517" spans="3:6" x14ac:dyDescent="0.25">
      <c r="C3517" s="2" t="s">
        <v>15221</v>
      </c>
      <c r="D3517" s="2" t="s">
        <v>122</v>
      </c>
      <c r="E3517" s="2">
        <v>36</v>
      </c>
      <c r="F3517" s="2">
        <v>781.92</v>
      </c>
    </row>
    <row r="3518" spans="3:6" x14ac:dyDescent="0.25">
      <c r="C3518" s="2" t="s">
        <v>15222</v>
      </c>
      <c r="D3518" s="2" t="s">
        <v>122</v>
      </c>
      <c r="E3518" s="2">
        <v>28</v>
      </c>
      <c r="F3518" s="2">
        <v>567.28</v>
      </c>
    </row>
    <row r="3519" spans="3:6" x14ac:dyDescent="0.25">
      <c r="C3519" s="2" t="s">
        <v>15223</v>
      </c>
      <c r="D3519" s="2" t="s">
        <v>122</v>
      </c>
      <c r="E3519" s="2">
        <v>15</v>
      </c>
      <c r="F3519" s="2">
        <v>296.39</v>
      </c>
    </row>
    <row r="3520" spans="3:6" x14ac:dyDescent="0.25">
      <c r="C3520" s="2" t="s">
        <v>15224</v>
      </c>
      <c r="D3520" s="2" t="s">
        <v>122</v>
      </c>
      <c r="E3520" s="2">
        <v>42</v>
      </c>
      <c r="F3520" s="2">
        <v>827.55</v>
      </c>
    </row>
    <row r="3521" spans="3:6" x14ac:dyDescent="0.25">
      <c r="C3521" s="2" t="s">
        <v>15225</v>
      </c>
      <c r="D3521" s="2" t="s">
        <v>122</v>
      </c>
      <c r="E3521" s="2">
        <v>71</v>
      </c>
      <c r="F3521" s="2">
        <v>1467.64</v>
      </c>
    </row>
    <row r="3522" spans="3:6" x14ac:dyDescent="0.25">
      <c r="C3522" s="2" t="s">
        <v>15226</v>
      </c>
      <c r="D3522" s="2" t="s">
        <v>122</v>
      </c>
      <c r="E3522" s="2">
        <v>50</v>
      </c>
      <c r="F3522" s="2">
        <v>1011.28</v>
      </c>
    </row>
    <row r="3523" spans="3:6" x14ac:dyDescent="0.25">
      <c r="C3523" s="2" t="s">
        <v>15227</v>
      </c>
      <c r="D3523" s="2" t="s">
        <v>122</v>
      </c>
      <c r="E3523" s="2">
        <v>141</v>
      </c>
      <c r="F3523" s="2">
        <v>2895.149</v>
      </c>
    </row>
    <row r="3524" spans="3:6" x14ac:dyDescent="0.25">
      <c r="C3524" s="2" t="s">
        <v>15228</v>
      </c>
      <c r="D3524" s="2" t="s">
        <v>122</v>
      </c>
      <c r="E3524" s="2">
        <v>141</v>
      </c>
      <c r="F3524" s="2">
        <v>2901.039</v>
      </c>
    </row>
    <row r="3525" spans="3:6" x14ac:dyDescent="0.25">
      <c r="C3525" s="2" t="s">
        <v>15229</v>
      </c>
      <c r="D3525" s="2" t="s">
        <v>122</v>
      </c>
      <c r="E3525" s="2">
        <v>40</v>
      </c>
      <c r="F3525" s="2">
        <v>810.48</v>
      </c>
    </row>
    <row r="3526" spans="3:6" x14ac:dyDescent="0.25">
      <c r="C3526" s="2" t="s">
        <v>15230</v>
      </c>
      <c r="D3526" s="2" t="s">
        <v>122</v>
      </c>
      <c r="E3526" s="2">
        <v>42</v>
      </c>
      <c r="F3526" s="2">
        <v>852.42</v>
      </c>
    </row>
    <row r="3527" spans="3:6" x14ac:dyDescent="0.25">
      <c r="C3527" s="2" t="s">
        <v>15231</v>
      </c>
      <c r="D3527" s="2" t="s">
        <v>122</v>
      </c>
      <c r="E3527" s="2">
        <v>35</v>
      </c>
      <c r="F3527" s="2">
        <v>689.55</v>
      </c>
    </row>
    <row r="3528" spans="3:6" x14ac:dyDescent="0.25">
      <c r="C3528" s="2" t="s">
        <v>15232</v>
      </c>
      <c r="D3528" s="2" t="s">
        <v>122</v>
      </c>
      <c r="E3528" s="2">
        <v>24</v>
      </c>
      <c r="F3528" s="2">
        <v>412.6</v>
      </c>
    </row>
    <row r="3529" spans="3:6" x14ac:dyDescent="0.25">
      <c r="C3529" s="2" t="s">
        <v>15233</v>
      </c>
      <c r="D3529" s="2" t="s">
        <v>122</v>
      </c>
      <c r="E3529" s="2">
        <v>67</v>
      </c>
      <c r="F3529" s="2">
        <v>1293.578</v>
      </c>
    </row>
    <row r="3530" spans="3:6" x14ac:dyDescent="0.25">
      <c r="C3530" s="2" t="s">
        <v>15234</v>
      </c>
      <c r="D3530" s="2" t="s">
        <v>122</v>
      </c>
      <c r="E3530" s="2">
        <v>56</v>
      </c>
      <c r="F3530" s="2">
        <v>1143.71</v>
      </c>
    </row>
    <row r="3531" spans="3:6" x14ac:dyDescent="0.25">
      <c r="C3531" s="2" t="s">
        <v>15235</v>
      </c>
      <c r="D3531" s="2" t="s">
        <v>122</v>
      </c>
      <c r="E3531" s="2">
        <v>18</v>
      </c>
      <c r="F3531" s="2">
        <v>353.14</v>
      </c>
    </row>
    <row r="3532" spans="3:6" x14ac:dyDescent="0.25">
      <c r="C3532" s="2" t="s">
        <v>15236</v>
      </c>
      <c r="D3532" s="2" t="s">
        <v>122</v>
      </c>
      <c r="E3532" s="2">
        <v>34</v>
      </c>
      <c r="F3532" s="2">
        <v>701.38</v>
      </c>
    </row>
    <row r="3533" spans="3:6" x14ac:dyDescent="0.25">
      <c r="C3533" s="2" t="s">
        <v>15237</v>
      </c>
      <c r="D3533" s="2" t="s">
        <v>122</v>
      </c>
      <c r="E3533" s="2">
        <v>55</v>
      </c>
      <c r="F3533" s="2">
        <v>1118.309</v>
      </c>
    </row>
    <row r="3534" spans="3:6" x14ac:dyDescent="0.25">
      <c r="C3534" s="2" t="s">
        <v>15238</v>
      </c>
      <c r="D3534" s="2" t="s">
        <v>122</v>
      </c>
      <c r="E3534" s="2">
        <v>41</v>
      </c>
      <c r="F3534" s="2">
        <v>826.3</v>
      </c>
    </row>
    <row r="3535" spans="3:6" x14ac:dyDescent="0.25">
      <c r="C3535" s="2" t="s">
        <v>15239</v>
      </c>
      <c r="D3535" s="2" t="s">
        <v>122</v>
      </c>
      <c r="E3535" s="2">
        <v>11</v>
      </c>
      <c r="F3535" s="2">
        <v>210.6</v>
      </c>
    </row>
    <row r="3536" spans="3:6" x14ac:dyDescent="0.25">
      <c r="C3536" s="2" t="s">
        <v>15240</v>
      </c>
      <c r="D3536" s="2" t="s">
        <v>122</v>
      </c>
      <c r="E3536" s="2">
        <v>20</v>
      </c>
      <c r="F3536" s="2">
        <v>427.01</v>
      </c>
    </row>
    <row r="3537" spans="3:6" x14ac:dyDescent="0.25">
      <c r="C3537" s="2" t="s">
        <v>15241</v>
      </c>
      <c r="D3537" s="2" t="s">
        <v>122</v>
      </c>
      <c r="E3537" s="2">
        <v>27</v>
      </c>
      <c r="F3537" s="2">
        <v>540.13</v>
      </c>
    </row>
    <row r="3538" spans="3:6" x14ac:dyDescent="0.25">
      <c r="C3538" s="2" t="s">
        <v>15242</v>
      </c>
      <c r="D3538" s="2" t="s">
        <v>122</v>
      </c>
      <c r="E3538" s="2">
        <v>39</v>
      </c>
      <c r="F3538" s="2">
        <v>772.4</v>
      </c>
    </row>
    <row r="3539" spans="3:6" x14ac:dyDescent="0.25">
      <c r="C3539" s="2" t="s">
        <v>15243</v>
      </c>
      <c r="D3539" s="2" t="s">
        <v>122</v>
      </c>
      <c r="E3539" s="2">
        <v>42</v>
      </c>
      <c r="F3539" s="2">
        <v>866.88</v>
      </c>
    </row>
    <row r="3540" spans="3:6" x14ac:dyDescent="0.25">
      <c r="C3540" s="2" t="s">
        <v>15244</v>
      </c>
      <c r="D3540" s="2" t="s">
        <v>122</v>
      </c>
      <c r="E3540" s="2">
        <v>13</v>
      </c>
      <c r="F3540" s="2">
        <v>252.6</v>
      </c>
    </row>
    <row r="3541" spans="3:6" x14ac:dyDescent="0.25">
      <c r="C3541" s="2" t="s">
        <v>15245</v>
      </c>
      <c r="D3541" s="2" t="s">
        <v>122</v>
      </c>
      <c r="E3541" s="2">
        <v>102</v>
      </c>
      <c r="F3541" s="2">
        <v>2072.1</v>
      </c>
    </row>
    <row r="3542" spans="3:6" x14ac:dyDescent="0.25">
      <c r="C3542" s="2" t="s">
        <v>15246</v>
      </c>
      <c r="D3542" s="2" t="s">
        <v>122</v>
      </c>
      <c r="E3542" s="2">
        <v>64</v>
      </c>
      <c r="F3542" s="2">
        <v>1337.22</v>
      </c>
    </row>
    <row r="3543" spans="3:6" x14ac:dyDescent="0.25">
      <c r="C3543" s="2" t="s">
        <v>15247</v>
      </c>
      <c r="D3543" s="2" t="s">
        <v>122</v>
      </c>
      <c r="E3543" s="2">
        <v>20</v>
      </c>
      <c r="F3543" s="2">
        <v>103.962</v>
      </c>
    </row>
    <row r="3544" spans="3:6" x14ac:dyDescent="0.25">
      <c r="C3544" s="2" t="s">
        <v>15248</v>
      </c>
      <c r="D3544" s="2" t="s">
        <v>122</v>
      </c>
      <c r="E3544" s="2">
        <v>17</v>
      </c>
      <c r="F3544" s="2">
        <v>351.34</v>
      </c>
    </row>
    <row r="3545" spans="3:6" x14ac:dyDescent="0.25">
      <c r="C3545" s="2" t="s">
        <v>15249</v>
      </c>
      <c r="D3545" s="2" t="s">
        <v>122</v>
      </c>
      <c r="E3545" s="2">
        <v>21</v>
      </c>
      <c r="F3545" s="2">
        <v>429.3</v>
      </c>
    </row>
    <row r="3546" spans="3:6" x14ac:dyDescent="0.25">
      <c r="C3546" s="2" t="s">
        <v>15250</v>
      </c>
      <c r="D3546" s="2" t="s">
        <v>122</v>
      </c>
      <c r="E3546" s="2">
        <v>15</v>
      </c>
      <c r="F3546" s="2">
        <v>292.4</v>
      </c>
    </row>
    <row r="3547" spans="3:6" x14ac:dyDescent="0.25">
      <c r="C3547" s="2" t="s">
        <v>15251</v>
      </c>
      <c r="D3547" s="2" t="s">
        <v>122</v>
      </c>
      <c r="E3547" s="2">
        <v>22</v>
      </c>
      <c r="F3547" s="2">
        <v>439.97</v>
      </c>
    </row>
    <row r="3548" spans="3:6" x14ac:dyDescent="0.25">
      <c r="C3548" s="2" t="s">
        <v>15252</v>
      </c>
      <c r="D3548" s="2" t="s">
        <v>122</v>
      </c>
      <c r="E3548" s="2">
        <v>25</v>
      </c>
      <c r="F3548" s="2">
        <v>516.2</v>
      </c>
    </row>
    <row r="3549" spans="3:6" x14ac:dyDescent="0.25">
      <c r="C3549" s="2" t="s">
        <v>15253</v>
      </c>
      <c r="D3549" s="2" t="s">
        <v>122</v>
      </c>
      <c r="E3549" s="2">
        <v>22</v>
      </c>
      <c r="F3549" s="2">
        <v>440.59</v>
      </c>
    </row>
    <row r="3550" spans="3:6" x14ac:dyDescent="0.25">
      <c r="C3550" s="2" t="s">
        <v>15254</v>
      </c>
      <c r="D3550" s="2" t="s">
        <v>122</v>
      </c>
      <c r="E3550" s="2">
        <v>25</v>
      </c>
      <c r="F3550" s="2">
        <v>494.11</v>
      </c>
    </row>
    <row r="3551" spans="3:6" x14ac:dyDescent="0.25">
      <c r="C3551" s="2" t="s">
        <v>15255</v>
      </c>
      <c r="D3551" s="2" t="s">
        <v>122</v>
      </c>
      <c r="E3551" s="2">
        <v>21</v>
      </c>
      <c r="F3551" s="2">
        <v>417.49</v>
      </c>
    </row>
    <row r="3552" spans="3:6" x14ac:dyDescent="0.25">
      <c r="C3552" s="2" t="s">
        <v>15256</v>
      </c>
      <c r="D3552" s="2" t="s">
        <v>122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12270</v>
      </c>
      <c r="C3554" s="2" t="s">
        <v>15257</v>
      </c>
      <c r="D3554" s="2" t="s">
        <v>12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15258</v>
      </c>
      <c r="D3555" s="2" t="s">
        <v>12</v>
      </c>
      <c r="E3555" s="2">
        <v>140</v>
      </c>
      <c r="F3555" s="2">
        <v>2868.21</v>
      </c>
    </row>
    <row r="3556" spans="3:6" x14ac:dyDescent="0.25">
      <c r="C3556" s="2" t="s">
        <v>15259</v>
      </c>
      <c r="D3556" s="2" t="s">
        <v>12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18</v>
      </c>
      <c r="C3558" s="2" t="s">
        <v>15260</v>
      </c>
      <c r="D3558" s="2" t="s">
        <v>20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15261</v>
      </c>
      <c r="D3559" s="2" t="s">
        <v>20</v>
      </c>
      <c r="E3559" s="2">
        <v>313</v>
      </c>
      <c r="F3559" s="2">
        <v>5863.052</v>
      </c>
    </row>
    <row r="3560" spans="3:6" x14ac:dyDescent="0.25">
      <c r="C3560" s="2" t="s">
        <v>15262</v>
      </c>
      <c r="D3560" s="2" t="s">
        <v>20</v>
      </c>
      <c r="E3560" s="2">
        <v>247</v>
      </c>
      <c r="F3560" s="2">
        <v>5016.544</v>
      </c>
    </row>
    <row r="3561" spans="3:6" x14ac:dyDescent="0.25">
      <c r="C3561" s="2" t="s">
        <v>15263</v>
      </c>
      <c r="D3561" s="2" t="s">
        <v>20</v>
      </c>
      <c r="E3561" s="2">
        <v>149</v>
      </c>
      <c r="F3561" s="2">
        <v>2841.56</v>
      </c>
    </row>
    <row r="3562" spans="3:6" x14ac:dyDescent="0.25">
      <c r="C3562" s="2" t="s">
        <v>15264</v>
      </c>
      <c r="D3562" s="2" t="s">
        <v>20</v>
      </c>
      <c r="E3562" s="2">
        <v>102</v>
      </c>
      <c r="F3562" s="2">
        <v>1971.34</v>
      </c>
    </row>
    <row r="3563" spans="3:6" x14ac:dyDescent="0.25">
      <c r="C3563" s="2" t="s">
        <v>15265</v>
      </c>
      <c r="D3563" s="2" t="s">
        <v>20</v>
      </c>
      <c r="E3563" s="2">
        <v>102</v>
      </c>
      <c r="F3563" s="2">
        <v>1908.139</v>
      </c>
    </row>
    <row r="3564" spans="3:6" x14ac:dyDescent="0.25">
      <c r="C3564" s="2" t="s">
        <v>15266</v>
      </c>
      <c r="D3564" s="2" t="s">
        <v>20</v>
      </c>
      <c r="E3564" s="2">
        <v>102</v>
      </c>
      <c r="F3564" s="2">
        <v>2029.611</v>
      </c>
    </row>
    <row r="3565" spans="3:6" x14ac:dyDescent="0.25">
      <c r="C3565" s="2" t="s">
        <v>15267</v>
      </c>
      <c r="D3565" s="2" t="s">
        <v>20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2037</v>
      </c>
      <c r="C3569" s="12">
        <f>COUNTA(C3:C3568)</f>
        <v>3348</v>
      </c>
      <c r="E3569" s="11" t="s">
        <v>2038</v>
      </c>
      <c r="F3569" s="13">
        <f>SUM(F3:F3568)</f>
        <v>5796874.6609999845</v>
      </c>
      <c r="G3569" s="1" t="s">
        <v>2039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15268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5633</v>
      </c>
      <c r="C6" s="2" t="s">
        <v>8263</v>
      </c>
      <c r="D6" s="2" t="s">
        <v>27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8264</v>
      </c>
      <c r="D7" s="2" t="s">
        <v>27</v>
      </c>
      <c r="E7" s="2">
        <v>39</v>
      </c>
      <c r="F7" s="2">
        <v>607.919</v>
      </c>
    </row>
    <row r="8" spans="3:6" x14ac:dyDescent="0.25">
      <c r="C8" s="2" t="s">
        <v>8265</v>
      </c>
      <c r="D8" s="2" t="s">
        <v>27</v>
      </c>
      <c r="E8" s="2">
        <v>44</v>
      </c>
      <c r="F8" s="2">
        <v>758.64</v>
      </c>
    </row>
    <row r="9" spans="3:6" x14ac:dyDescent="0.25">
      <c r="C9" s="2" t="s">
        <v>8266</v>
      </c>
      <c r="D9" s="2" t="s">
        <v>27</v>
      </c>
      <c r="E9" s="2">
        <v>18</v>
      </c>
      <c r="F9" s="2">
        <v>332.22</v>
      </c>
    </row>
    <row r="10" spans="3:6" x14ac:dyDescent="0.25">
      <c r="C10" s="2" t="s">
        <v>8267</v>
      </c>
      <c r="D10" s="2" t="s">
        <v>27</v>
      </c>
      <c r="E10" s="2">
        <v>26</v>
      </c>
      <c r="F10" s="2">
        <v>468.75</v>
      </c>
    </row>
    <row r="11" spans="3:6" x14ac:dyDescent="0.25">
      <c r="C11" s="2" t="s">
        <v>8268</v>
      </c>
      <c r="D11" s="2" t="s">
        <v>27</v>
      </c>
      <c r="E11" s="2">
        <v>15</v>
      </c>
      <c r="F11" s="2">
        <v>257.49</v>
      </c>
    </row>
    <row r="12" spans="3:6" x14ac:dyDescent="0.25">
      <c r="C12" s="2" t="s">
        <v>8269</v>
      </c>
      <c r="D12" s="2" t="s">
        <v>27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324</v>
      </c>
      <c r="C14" s="2" t="s">
        <v>8270</v>
      </c>
      <c r="D14" s="2" t="s">
        <v>122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8271</v>
      </c>
      <c r="D15" s="2" t="s">
        <v>122</v>
      </c>
      <c r="E15" s="2">
        <v>32</v>
      </c>
      <c r="F15" s="2">
        <v>639.519</v>
      </c>
    </row>
    <row r="16" spans="3:6" x14ac:dyDescent="0.25">
      <c r="C16" s="2" t="s">
        <v>8272</v>
      </c>
      <c r="D16" s="2" t="s">
        <v>122</v>
      </c>
      <c r="E16" s="2">
        <v>41</v>
      </c>
      <c r="F16" s="2">
        <v>855.32</v>
      </c>
    </row>
    <row r="17" spans="3:6" x14ac:dyDescent="0.25">
      <c r="C17" s="2" t="s">
        <v>8273</v>
      </c>
      <c r="D17" s="2" t="s">
        <v>122</v>
      </c>
      <c r="E17" s="2">
        <v>121</v>
      </c>
      <c r="F17" s="2">
        <v>2510.04</v>
      </c>
    </row>
    <row r="18" spans="3:6" x14ac:dyDescent="0.25">
      <c r="C18" s="2" t="s">
        <v>8274</v>
      </c>
      <c r="D18" s="2" t="s">
        <v>122</v>
      </c>
      <c r="E18" s="2">
        <v>141</v>
      </c>
      <c r="F18" s="2">
        <v>2916.64</v>
      </c>
    </row>
    <row r="19" spans="3:6" x14ac:dyDescent="0.25">
      <c r="C19" s="2" t="s">
        <v>8275</v>
      </c>
      <c r="D19" s="2" t="s">
        <v>122</v>
      </c>
      <c r="E19" s="2">
        <v>49</v>
      </c>
      <c r="F19" s="2">
        <v>933.35</v>
      </c>
    </row>
    <row r="20" spans="3:6" x14ac:dyDescent="0.25">
      <c r="C20" s="2" t="s">
        <v>8276</v>
      </c>
      <c r="D20" s="2" t="s">
        <v>122</v>
      </c>
      <c r="E20" s="2">
        <v>52</v>
      </c>
      <c r="F20" s="2">
        <v>1095.71</v>
      </c>
    </row>
    <row r="21" spans="3:6" x14ac:dyDescent="0.25">
      <c r="C21" s="2" t="s">
        <v>8277</v>
      </c>
      <c r="D21" s="2" t="s">
        <v>122</v>
      </c>
      <c r="E21" s="2">
        <v>78</v>
      </c>
      <c r="F21" s="2">
        <v>1589.83</v>
      </c>
    </row>
    <row r="22" spans="3:6" x14ac:dyDescent="0.25">
      <c r="C22" s="2" t="s">
        <v>8278</v>
      </c>
      <c r="D22" s="2" t="s">
        <v>122</v>
      </c>
      <c r="E22" s="2">
        <v>63</v>
      </c>
      <c r="F22" s="2">
        <v>1263.609</v>
      </c>
    </row>
    <row r="23" spans="3:6" x14ac:dyDescent="0.25">
      <c r="C23" s="2" t="s">
        <v>8279</v>
      </c>
      <c r="D23" s="2" t="s">
        <v>122</v>
      </c>
      <c r="E23" s="2">
        <v>86</v>
      </c>
      <c r="F23" s="2">
        <v>1748.93</v>
      </c>
    </row>
    <row r="24" spans="3:6" x14ac:dyDescent="0.25">
      <c r="C24" s="2" t="s">
        <v>8280</v>
      </c>
      <c r="D24" s="2" t="s">
        <v>122</v>
      </c>
      <c r="E24" s="2">
        <v>36</v>
      </c>
      <c r="F24" s="2">
        <v>729.76</v>
      </c>
    </row>
    <row r="25" spans="3:6" x14ac:dyDescent="0.25">
      <c r="C25" s="2" t="s">
        <v>8281</v>
      </c>
      <c r="D25" s="2" t="s">
        <v>122</v>
      </c>
      <c r="E25" s="2">
        <v>19</v>
      </c>
      <c r="F25" s="2">
        <v>390.62</v>
      </c>
    </row>
    <row r="26" spans="3:6" x14ac:dyDescent="0.25">
      <c r="C26" s="2" t="s">
        <v>8282</v>
      </c>
      <c r="D26" s="2" t="s">
        <v>122</v>
      </c>
      <c r="E26" s="2">
        <v>72</v>
      </c>
      <c r="F26" s="2">
        <v>1476.999</v>
      </c>
    </row>
    <row r="27" spans="3:6" x14ac:dyDescent="0.25">
      <c r="C27" s="2" t="s">
        <v>8283</v>
      </c>
      <c r="D27" s="2" t="s">
        <v>122</v>
      </c>
      <c r="E27" s="2">
        <v>32</v>
      </c>
      <c r="F27" s="2">
        <v>629.66</v>
      </c>
    </row>
    <row r="28" spans="3:6" x14ac:dyDescent="0.25">
      <c r="C28" s="2" t="s">
        <v>8284</v>
      </c>
      <c r="D28" s="2" t="s">
        <v>122</v>
      </c>
      <c r="E28" s="2">
        <v>17</v>
      </c>
      <c r="F28" s="2">
        <v>353.13</v>
      </c>
    </row>
    <row r="29" spans="3:6" x14ac:dyDescent="0.25">
      <c r="C29" s="2" t="s">
        <v>8285</v>
      </c>
      <c r="D29" s="2" t="s">
        <v>122</v>
      </c>
      <c r="E29" s="2">
        <v>34</v>
      </c>
      <c r="F29" s="2">
        <v>677.92</v>
      </c>
    </row>
    <row r="30" spans="3:6" x14ac:dyDescent="0.25">
      <c r="C30" s="2" t="s">
        <v>8286</v>
      </c>
      <c r="D30" s="2" t="s">
        <v>122</v>
      </c>
      <c r="E30" s="2">
        <v>34</v>
      </c>
      <c r="F30" s="2">
        <v>677.49</v>
      </c>
    </row>
    <row r="31" spans="3:6" x14ac:dyDescent="0.25">
      <c r="C31" s="2" t="s">
        <v>8287</v>
      </c>
      <c r="D31" s="2" t="s">
        <v>122</v>
      </c>
      <c r="E31" s="2">
        <v>29</v>
      </c>
      <c r="F31" s="2">
        <v>582.46</v>
      </c>
    </row>
    <row r="32" spans="3:6" x14ac:dyDescent="0.25">
      <c r="C32" s="2" t="s">
        <v>8288</v>
      </c>
      <c r="D32" s="2" t="s">
        <v>122</v>
      </c>
      <c r="E32" s="2">
        <v>44</v>
      </c>
      <c r="F32" s="2">
        <v>888.86</v>
      </c>
    </row>
    <row r="33" spans="3:6" x14ac:dyDescent="0.25">
      <c r="C33" s="2" t="s">
        <v>8289</v>
      </c>
      <c r="D33" s="2" t="s">
        <v>122</v>
      </c>
      <c r="E33" s="2">
        <v>141</v>
      </c>
      <c r="F33" s="2">
        <v>2940.49</v>
      </c>
    </row>
    <row r="34" spans="3:6" x14ac:dyDescent="0.25">
      <c r="C34" s="2" t="s">
        <v>8290</v>
      </c>
      <c r="D34" s="2" t="s">
        <v>122</v>
      </c>
      <c r="E34" s="2">
        <v>100</v>
      </c>
      <c r="F34" s="2">
        <v>2049.88</v>
      </c>
    </row>
    <row r="35" spans="3:6" x14ac:dyDescent="0.25">
      <c r="C35" s="2" t="s">
        <v>8291</v>
      </c>
      <c r="D35" s="2" t="s">
        <v>122</v>
      </c>
      <c r="E35" s="2">
        <v>41</v>
      </c>
      <c r="F35" s="2">
        <v>846.44</v>
      </c>
    </row>
    <row r="36" spans="3:6" x14ac:dyDescent="0.25">
      <c r="C36" s="2" t="s">
        <v>8292</v>
      </c>
      <c r="D36" s="2" t="s">
        <v>122</v>
      </c>
      <c r="E36" s="2">
        <v>25</v>
      </c>
      <c r="F36" s="2">
        <v>516.17</v>
      </c>
    </row>
    <row r="37" spans="3:6" x14ac:dyDescent="0.25">
      <c r="C37" s="2" t="s">
        <v>8293</v>
      </c>
      <c r="D37" s="2" t="s">
        <v>122</v>
      </c>
      <c r="E37" s="2">
        <v>80</v>
      </c>
      <c r="F37" s="2">
        <v>1450</v>
      </c>
    </row>
    <row r="38" spans="3:6" x14ac:dyDescent="0.25">
      <c r="C38" s="2" t="s">
        <v>8294</v>
      </c>
      <c r="D38" s="2" t="s">
        <v>122</v>
      </c>
      <c r="E38" s="2">
        <v>36</v>
      </c>
      <c r="F38" s="2">
        <v>727.27</v>
      </c>
    </row>
    <row r="39" spans="3:6" x14ac:dyDescent="0.25">
      <c r="C39" s="2" t="s">
        <v>8295</v>
      </c>
      <c r="D39" s="2" t="s">
        <v>122</v>
      </c>
      <c r="E39" s="2">
        <v>101</v>
      </c>
      <c r="F39" s="2">
        <v>2085.92</v>
      </c>
    </row>
    <row r="40" spans="3:6" x14ac:dyDescent="0.25">
      <c r="C40" s="2" t="s">
        <v>8296</v>
      </c>
      <c r="D40" s="2" t="s">
        <v>122</v>
      </c>
      <c r="E40" s="2">
        <v>39</v>
      </c>
      <c r="F40" s="2">
        <v>781.99</v>
      </c>
    </row>
    <row r="41" spans="3:6" x14ac:dyDescent="0.25">
      <c r="C41" s="2" t="s">
        <v>8297</v>
      </c>
      <c r="D41" s="2" t="s">
        <v>122</v>
      </c>
      <c r="E41" s="2">
        <v>33</v>
      </c>
      <c r="F41" s="2">
        <v>673.91</v>
      </c>
    </row>
    <row r="42" spans="3:6" x14ac:dyDescent="0.25">
      <c r="C42" s="2" t="s">
        <v>8298</v>
      </c>
      <c r="D42" s="2" t="s">
        <v>122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2196</v>
      </c>
      <c r="C44" s="2" t="s">
        <v>8299</v>
      </c>
      <c r="D44" s="2" t="s">
        <v>9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8300</v>
      </c>
      <c r="D45" s="2" t="s">
        <v>9</v>
      </c>
      <c r="E45" s="2">
        <v>102</v>
      </c>
      <c r="F45" s="2">
        <v>1986.049</v>
      </c>
    </row>
    <row r="46" spans="3:6" x14ac:dyDescent="0.25">
      <c r="C46" s="2" t="s">
        <v>8301</v>
      </c>
      <c r="D46" s="2" t="s">
        <v>9</v>
      </c>
      <c r="E46" s="2">
        <v>102</v>
      </c>
      <c r="F46" s="2">
        <v>1953.92</v>
      </c>
    </row>
    <row r="47" spans="3:6" x14ac:dyDescent="0.25">
      <c r="C47" s="2" t="s">
        <v>8302</v>
      </c>
      <c r="D47" s="2" t="s">
        <v>9</v>
      </c>
      <c r="E47" s="2">
        <v>103</v>
      </c>
      <c r="F47" s="2">
        <v>2106.109</v>
      </c>
    </row>
    <row r="48" spans="3:6" x14ac:dyDescent="0.25">
      <c r="C48" s="2" t="s">
        <v>8303</v>
      </c>
      <c r="D48" s="2" t="s">
        <v>9</v>
      </c>
      <c r="E48" s="2">
        <v>102</v>
      </c>
      <c r="F48" s="2">
        <v>1892.199</v>
      </c>
    </row>
    <row r="49" spans="3:6" x14ac:dyDescent="0.25">
      <c r="C49" s="2" t="s">
        <v>8304</v>
      </c>
      <c r="D49" s="2" t="s">
        <v>9</v>
      </c>
      <c r="E49" s="2">
        <v>141</v>
      </c>
      <c r="F49" s="2">
        <v>2969.73</v>
      </c>
    </row>
    <row r="50" spans="3:6" x14ac:dyDescent="0.25">
      <c r="C50" s="2" t="s">
        <v>8305</v>
      </c>
      <c r="D50" s="2" t="s">
        <v>9</v>
      </c>
      <c r="E50" s="2">
        <v>141</v>
      </c>
      <c r="F50" s="2">
        <v>3011.33</v>
      </c>
    </row>
    <row r="51" spans="3:6" x14ac:dyDescent="0.25">
      <c r="C51" s="2" t="s">
        <v>8306</v>
      </c>
      <c r="D51" s="2" t="s">
        <v>9</v>
      </c>
      <c r="E51" s="2">
        <v>141</v>
      </c>
      <c r="F51" s="2">
        <v>3000.35</v>
      </c>
    </row>
    <row r="52" spans="3:6" x14ac:dyDescent="0.25">
      <c r="C52" s="2" t="s">
        <v>8307</v>
      </c>
      <c r="D52" s="2" t="s">
        <v>9</v>
      </c>
      <c r="E52" s="2">
        <v>102</v>
      </c>
      <c r="F52" s="2">
        <v>2090.32</v>
      </c>
    </row>
    <row r="53" spans="3:6" x14ac:dyDescent="0.25">
      <c r="C53" s="2" t="s">
        <v>8308</v>
      </c>
      <c r="D53" s="2" t="s">
        <v>9</v>
      </c>
      <c r="E53" s="2">
        <v>123</v>
      </c>
      <c r="F53" s="2">
        <v>2347.06</v>
      </c>
    </row>
    <row r="54" spans="3:6" x14ac:dyDescent="0.25">
      <c r="C54" s="2" t="s">
        <v>8309</v>
      </c>
      <c r="D54" s="2" t="s">
        <v>9</v>
      </c>
      <c r="E54" s="2">
        <v>134</v>
      </c>
      <c r="F54" s="2">
        <v>2555.869</v>
      </c>
    </row>
    <row r="55" spans="3:6" x14ac:dyDescent="0.25">
      <c r="C55" s="2" t="s">
        <v>8310</v>
      </c>
      <c r="D55" s="2" t="s">
        <v>9</v>
      </c>
      <c r="E55" s="2">
        <v>243</v>
      </c>
      <c r="F55" s="2">
        <v>4893.1</v>
      </c>
    </row>
    <row r="56" spans="3:6" x14ac:dyDescent="0.25">
      <c r="C56" s="2" t="s">
        <v>8311</v>
      </c>
      <c r="D56" s="2" t="s">
        <v>9</v>
      </c>
      <c r="E56" s="2">
        <v>75</v>
      </c>
      <c r="F56" s="2">
        <v>321.13</v>
      </c>
    </row>
    <row r="57" spans="3:6" x14ac:dyDescent="0.25">
      <c r="C57" s="2" t="s">
        <v>8312</v>
      </c>
      <c r="D57" s="2" t="s">
        <v>9</v>
      </c>
      <c r="E57" s="2">
        <v>123</v>
      </c>
      <c r="F57" s="2">
        <v>2426.95</v>
      </c>
    </row>
    <row r="58" spans="3:6" x14ac:dyDescent="0.25">
      <c r="C58" s="2" t="s">
        <v>8313</v>
      </c>
      <c r="D58" s="2" t="s">
        <v>9</v>
      </c>
      <c r="E58" s="2">
        <v>123</v>
      </c>
      <c r="F58" s="2">
        <v>2365.2</v>
      </c>
    </row>
    <row r="59" spans="3:6" x14ac:dyDescent="0.25">
      <c r="C59" s="2" t="s">
        <v>8314</v>
      </c>
      <c r="D59" s="2" t="s">
        <v>9</v>
      </c>
      <c r="E59" s="2">
        <v>141</v>
      </c>
      <c r="F59" s="2">
        <v>2708.529</v>
      </c>
    </row>
    <row r="60" spans="3:6" x14ac:dyDescent="0.25">
      <c r="C60" s="2" t="s">
        <v>8315</v>
      </c>
      <c r="D60" s="2" t="s">
        <v>9</v>
      </c>
      <c r="E60" s="2">
        <v>141</v>
      </c>
      <c r="F60" s="2">
        <v>2701.7</v>
      </c>
    </row>
    <row r="61" spans="3:6" x14ac:dyDescent="0.25">
      <c r="C61" s="2" t="s">
        <v>8316</v>
      </c>
      <c r="D61" s="2" t="s">
        <v>9</v>
      </c>
      <c r="E61" s="2">
        <v>141</v>
      </c>
      <c r="F61" s="2">
        <v>2874.95</v>
      </c>
    </row>
    <row r="62" spans="3:6" x14ac:dyDescent="0.25">
      <c r="C62" s="2" t="s">
        <v>8317</v>
      </c>
      <c r="D62" s="2" t="s">
        <v>9</v>
      </c>
      <c r="E62" s="2">
        <v>141</v>
      </c>
      <c r="F62" s="2">
        <v>3017.89</v>
      </c>
    </row>
    <row r="63" spans="3:6" x14ac:dyDescent="0.25">
      <c r="C63" s="2" t="s">
        <v>8318</v>
      </c>
      <c r="D63" s="2" t="s">
        <v>9</v>
      </c>
      <c r="E63" s="2">
        <v>141</v>
      </c>
      <c r="F63" s="2">
        <v>2964.58</v>
      </c>
    </row>
    <row r="64" spans="3:6" x14ac:dyDescent="0.25">
      <c r="C64" s="2" t="s">
        <v>8319</v>
      </c>
      <c r="D64" s="2" t="s">
        <v>9</v>
      </c>
      <c r="E64" s="2">
        <v>141</v>
      </c>
      <c r="F64" s="2">
        <v>2966.05</v>
      </c>
    </row>
    <row r="65" spans="3:6" x14ac:dyDescent="0.25">
      <c r="C65" s="2" t="s">
        <v>8320</v>
      </c>
      <c r="D65" s="2" t="s">
        <v>9</v>
      </c>
      <c r="E65" s="2">
        <v>16</v>
      </c>
      <c r="F65" s="2">
        <v>204.94</v>
      </c>
    </row>
    <row r="66" spans="3:6" x14ac:dyDescent="0.25">
      <c r="C66" s="2" t="s">
        <v>8321</v>
      </c>
      <c r="D66" s="2" t="s">
        <v>9</v>
      </c>
      <c r="E66" s="2">
        <v>12</v>
      </c>
      <c r="F66" s="2">
        <v>263.69</v>
      </c>
    </row>
    <row r="67" spans="3:6" x14ac:dyDescent="0.25">
      <c r="C67" s="2" t="s">
        <v>8322</v>
      </c>
      <c r="D67" s="2" t="s">
        <v>9</v>
      </c>
      <c r="E67" s="2">
        <v>30</v>
      </c>
      <c r="F67" s="2">
        <v>550.19</v>
      </c>
    </row>
    <row r="68" spans="3:6" x14ac:dyDescent="0.25">
      <c r="C68" s="2" t="s">
        <v>8323</v>
      </c>
      <c r="D68" s="2" t="s">
        <v>9</v>
      </c>
      <c r="E68" s="2">
        <v>19</v>
      </c>
      <c r="F68" s="2">
        <v>415.29</v>
      </c>
    </row>
    <row r="69" spans="3:6" x14ac:dyDescent="0.25">
      <c r="C69" s="2" t="s">
        <v>8324</v>
      </c>
      <c r="D69" s="2" t="s">
        <v>9</v>
      </c>
      <c r="E69" s="2">
        <v>141</v>
      </c>
      <c r="F69" s="2">
        <v>2828.72</v>
      </c>
    </row>
    <row r="70" spans="3:6" x14ac:dyDescent="0.25">
      <c r="C70" s="2" t="s">
        <v>8325</v>
      </c>
      <c r="D70" s="2" t="s">
        <v>9</v>
      </c>
      <c r="E70" s="2">
        <v>102</v>
      </c>
      <c r="F70" s="2">
        <v>2009.75</v>
      </c>
    </row>
    <row r="71" spans="3:6" x14ac:dyDescent="0.25">
      <c r="C71" s="2" t="s">
        <v>8326</v>
      </c>
      <c r="D71" s="2" t="s">
        <v>9</v>
      </c>
      <c r="E71" s="2">
        <v>141</v>
      </c>
      <c r="F71" s="2">
        <v>2921.239</v>
      </c>
    </row>
    <row r="72" spans="3:6" x14ac:dyDescent="0.25">
      <c r="C72" s="2" t="s">
        <v>8327</v>
      </c>
      <c r="D72" s="2" t="s">
        <v>9</v>
      </c>
      <c r="E72" s="2">
        <v>82</v>
      </c>
      <c r="F72" s="2">
        <v>1691.15</v>
      </c>
    </row>
    <row r="73" spans="3:6" x14ac:dyDescent="0.25">
      <c r="C73" s="2" t="s">
        <v>8328</v>
      </c>
      <c r="D73" s="2" t="s">
        <v>9</v>
      </c>
      <c r="E73" s="2">
        <v>59</v>
      </c>
      <c r="F73" s="2">
        <v>1226.91</v>
      </c>
    </row>
    <row r="74" spans="3:6" x14ac:dyDescent="0.25">
      <c r="C74" s="2" t="s">
        <v>8329</v>
      </c>
      <c r="D74" s="2" t="s">
        <v>9</v>
      </c>
      <c r="E74" s="2">
        <v>64</v>
      </c>
      <c r="F74" s="2">
        <v>1254.99</v>
      </c>
    </row>
    <row r="75" spans="3:6" x14ac:dyDescent="0.25">
      <c r="C75" s="2" t="s">
        <v>8330</v>
      </c>
      <c r="D75" s="2" t="s">
        <v>9</v>
      </c>
      <c r="E75" s="2">
        <v>33</v>
      </c>
      <c r="F75" s="2">
        <v>684.63</v>
      </c>
    </row>
    <row r="76" spans="3:6" x14ac:dyDescent="0.25">
      <c r="C76" s="2" t="s">
        <v>8331</v>
      </c>
      <c r="D76" s="2" t="s">
        <v>9</v>
      </c>
      <c r="E76" s="2">
        <v>44</v>
      </c>
      <c r="F76" s="2">
        <v>850.99</v>
      </c>
    </row>
    <row r="77" spans="3:6" x14ac:dyDescent="0.25">
      <c r="C77" s="2" t="s">
        <v>8332</v>
      </c>
      <c r="D77" s="2" t="s">
        <v>9</v>
      </c>
      <c r="E77" s="2">
        <v>26</v>
      </c>
      <c r="F77" s="2">
        <v>518.01</v>
      </c>
    </row>
    <row r="78" spans="3:6" x14ac:dyDescent="0.25">
      <c r="C78" s="2" t="s">
        <v>8333</v>
      </c>
      <c r="D78" s="2" t="s">
        <v>9</v>
      </c>
      <c r="E78" s="2">
        <v>21</v>
      </c>
      <c r="F78" s="2">
        <v>378.69</v>
      </c>
    </row>
    <row r="79" spans="3:6" x14ac:dyDescent="0.25">
      <c r="C79" s="2" t="s">
        <v>8334</v>
      </c>
      <c r="D79" s="2" t="s">
        <v>9</v>
      </c>
      <c r="E79" s="2">
        <v>65</v>
      </c>
      <c r="F79" s="2">
        <v>1284.939</v>
      </c>
    </row>
    <row r="80" spans="3:6" x14ac:dyDescent="0.25">
      <c r="C80" s="2" t="s">
        <v>8335</v>
      </c>
      <c r="D80" s="2" t="s">
        <v>9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120</v>
      </c>
      <c r="C82" s="2" t="s">
        <v>8336</v>
      </c>
      <c r="D82" s="2" t="s">
        <v>122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8337</v>
      </c>
      <c r="D83" s="2" t="s">
        <v>122</v>
      </c>
      <c r="E83" s="2">
        <v>102</v>
      </c>
      <c r="F83" s="2">
        <v>2091.4</v>
      </c>
    </row>
    <row r="84" spans="3:6" x14ac:dyDescent="0.25">
      <c r="C84" s="2" t="s">
        <v>8338</v>
      </c>
      <c r="D84" s="2" t="s">
        <v>122</v>
      </c>
      <c r="E84" s="2">
        <v>102</v>
      </c>
      <c r="F84" s="2">
        <v>2087.2</v>
      </c>
    </row>
    <row r="85" spans="3:6" x14ac:dyDescent="0.25">
      <c r="C85" s="2" t="s">
        <v>8339</v>
      </c>
      <c r="D85" s="2" t="s">
        <v>122</v>
      </c>
      <c r="E85" s="2">
        <v>102</v>
      </c>
      <c r="F85" s="2">
        <v>2089.04</v>
      </c>
    </row>
    <row r="86" spans="3:6" x14ac:dyDescent="0.25">
      <c r="C86" s="2" t="s">
        <v>8340</v>
      </c>
      <c r="D86" s="2" t="s">
        <v>122</v>
      </c>
      <c r="E86" s="2">
        <v>121</v>
      </c>
      <c r="F86" s="2">
        <v>2485.049</v>
      </c>
    </row>
    <row r="87" spans="3:6" x14ac:dyDescent="0.25">
      <c r="C87" s="2" t="s">
        <v>8341</v>
      </c>
      <c r="D87" s="2" t="s">
        <v>122</v>
      </c>
      <c r="E87" s="2">
        <v>121</v>
      </c>
      <c r="F87" s="2">
        <v>2406.385</v>
      </c>
    </row>
    <row r="88" spans="3:6" x14ac:dyDescent="0.25">
      <c r="C88" s="2" t="s">
        <v>8342</v>
      </c>
      <c r="D88" s="2" t="s">
        <v>122</v>
      </c>
      <c r="E88" s="2">
        <v>134</v>
      </c>
      <c r="F88" s="2">
        <v>2658.679</v>
      </c>
    </row>
    <row r="89" spans="3:6" x14ac:dyDescent="0.25">
      <c r="C89" s="2" t="s">
        <v>8343</v>
      </c>
      <c r="D89" s="2" t="s">
        <v>122</v>
      </c>
      <c r="E89" s="2">
        <v>38</v>
      </c>
      <c r="F89" s="2">
        <v>685.74</v>
      </c>
    </row>
    <row r="90" spans="3:6" x14ac:dyDescent="0.25">
      <c r="C90" s="2" t="s">
        <v>8344</v>
      </c>
      <c r="D90" s="2" t="s">
        <v>122</v>
      </c>
      <c r="E90" s="2">
        <v>27</v>
      </c>
      <c r="F90" s="2">
        <v>546.2</v>
      </c>
    </row>
    <row r="91" spans="3:6" x14ac:dyDescent="0.25">
      <c r="C91" s="2" t="s">
        <v>8345</v>
      </c>
      <c r="D91" s="2" t="s">
        <v>122</v>
      </c>
      <c r="E91" s="2">
        <v>25</v>
      </c>
      <c r="F91" s="2">
        <v>487.23</v>
      </c>
    </row>
    <row r="92" spans="3:6" x14ac:dyDescent="0.25">
      <c r="C92" s="2" t="s">
        <v>8346</v>
      </c>
      <c r="D92" s="2" t="s">
        <v>122</v>
      </c>
      <c r="E92" s="2">
        <v>51</v>
      </c>
      <c r="F92" s="2">
        <v>1031.899</v>
      </c>
    </row>
    <row r="93" spans="3:6" x14ac:dyDescent="0.25">
      <c r="C93" s="2" t="s">
        <v>8347</v>
      </c>
      <c r="D93" s="2" t="s">
        <v>122</v>
      </c>
      <c r="E93" s="2">
        <v>41</v>
      </c>
      <c r="F93" s="2">
        <v>870.969</v>
      </c>
    </row>
    <row r="94" spans="3:6" x14ac:dyDescent="0.25">
      <c r="C94" s="2" t="s">
        <v>8348</v>
      </c>
      <c r="D94" s="2" t="s">
        <v>122</v>
      </c>
      <c r="E94" s="2">
        <v>24</v>
      </c>
      <c r="F94" s="2">
        <v>481.13</v>
      </c>
    </row>
    <row r="95" spans="3:6" x14ac:dyDescent="0.25">
      <c r="C95" s="2" t="s">
        <v>8349</v>
      </c>
      <c r="D95" s="2" t="s">
        <v>122</v>
      </c>
      <c r="E95" s="2">
        <v>54</v>
      </c>
      <c r="F95" s="2">
        <v>1114.51</v>
      </c>
    </row>
    <row r="96" spans="3:6" x14ac:dyDescent="0.25">
      <c r="C96" s="2" t="s">
        <v>8350</v>
      </c>
      <c r="D96" s="2" t="s">
        <v>122</v>
      </c>
      <c r="E96" s="2">
        <v>22</v>
      </c>
      <c r="F96" s="2">
        <v>441.59</v>
      </c>
    </row>
    <row r="97" spans="3:6" x14ac:dyDescent="0.25">
      <c r="C97" s="2" t="s">
        <v>8351</v>
      </c>
      <c r="D97" s="2" t="s">
        <v>122</v>
      </c>
      <c r="E97" s="2">
        <v>58</v>
      </c>
      <c r="F97" s="2">
        <v>1190.78</v>
      </c>
    </row>
    <row r="98" spans="3:6" x14ac:dyDescent="0.25">
      <c r="C98" s="2" t="s">
        <v>8352</v>
      </c>
      <c r="D98" s="2" t="s">
        <v>122</v>
      </c>
      <c r="E98" s="2">
        <v>83</v>
      </c>
      <c r="F98" s="2">
        <v>1701.94</v>
      </c>
    </row>
    <row r="99" spans="3:6" x14ac:dyDescent="0.25">
      <c r="C99" s="2" t="s">
        <v>8353</v>
      </c>
      <c r="D99" s="2" t="s">
        <v>122</v>
      </c>
      <c r="E99" s="2">
        <v>141</v>
      </c>
      <c r="F99" s="2">
        <v>2300.22</v>
      </c>
    </row>
    <row r="100" spans="3:6" x14ac:dyDescent="0.25">
      <c r="C100" s="2" t="s">
        <v>8354</v>
      </c>
      <c r="D100" s="2" t="s">
        <v>122</v>
      </c>
      <c r="E100" s="2">
        <v>141</v>
      </c>
      <c r="F100" s="2">
        <v>1732.823</v>
      </c>
    </row>
    <row r="101" spans="3:6" x14ac:dyDescent="0.25">
      <c r="C101" s="2" t="s">
        <v>8355</v>
      </c>
      <c r="D101" s="2" t="s">
        <v>122</v>
      </c>
      <c r="E101" s="2">
        <v>75</v>
      </c>
      <c r="F101" s="2">
        <v>325.179</v>
      </c>
    </row>
    <row r="102" spans="3:6" x14ac:dyDescent="0.25">
      <c r="C102" s="2" t="s">
        <v>8356</v>
      </c>
      <c r="D102" s="2" t="s">
        <v>122</v>
      </c>
      <c r="E102" s="2">
        <v>72</v>
      </c>
      <c r="F102" s="2">
        <v>1430.719</v>
      </c>
    </row>
    <row r="103" spans="3:6" x14ac:dyDescent="0.25">
      <c r="C103" s="2" t="s">
        <v>8357</v>
      </c>
      <c r="D103" s="2" t="s">
        <v>122</v>
      </c>
      <c r="E103" s="2">
        <v>52</v>
      </c>
      <c r="F103" s="2">
        <v>1059.38</v>
      </c>
    </row>
    <row r="104" spans="3:6" x14ac:dyDescent="0.25">
      <c r="C104" s="2" t="s">
        <v>8358</v>
      </c>
      <c r="D104" s="2" t="s">
        <v>122</v>
      </c>
      <c r="E104" s="2">
        <v>17</v>
      </c>
      <c r="F104" s="2">
        <v>327.19</v>
      </c>
    </row>
    <row r="105" spans="3:6" x14ac:dyDescent="0.25">
      <c r="C105" s="2" t="s">
        <v>8359</v>
      </c>
      <c r="D105" s="2" t="s">
        <v>122</v>
      </c>
      <c r="E105" s="2">
        <v>41</v>
      </c>
      <c r="F105" s="2">
        <v>709.83</v>
      </c>
    </row>
    <row r="106" spans="3:6" x14ac:dyDescent="0.25">
      <c r="C106" s="2" t="s">
        <v>8360</v>
      </c>
      <c r="D106" s="2" t="s">
        <v>122</v>
      </c>
      <c r="E106" s="2">
        <v>18</v>
      </c>
      <c r="F106" s="2">
        <v>369.17</v>
      </c>
    </row>
    <row r="107" spans="3:6" x14ac:dyDescent="0.25">
      <c r="C107" s="2" t="s">
        <v>8361</v>
      </c>
      <c r="D107" s="2" t="s">
        <v>122</v>
      </c>
      <c r="E107" s="2">
        <v>16</v>
      </c>
      <c r="F107" s="2">
        <v>338.45</v>
      </c>
    </row>
    <row r="108" spans="3:6" x14ac:dyDescent="0.25">
      <c r="C108" s="2" t="s">
        <v>8362</v>
      </c>
      <c r="D108" s="2" t="s">
        <v>122</v>
      </c>
      <c r="E108" s="2">
        <v>40</v>
      </c>
      <c r="F108" s="2">
        <v>170.8</v>
      </c>
    </row>
    <row r="109" spans="3:6" x14ac:dyDescent="0.25">
      <c r="C109" s="2" t="s">
        <v>8363</v>
      </c>
      <c r="D109" s="2" t="s">
        <v>122</v>
      </c>
      <c r="E109" s="2">
        <v>92</v>
      </c>
      <c r="F109" s="2">
        <v>1784</v>
      </c>
    </row>
    <row r="110" spans="3:6" x14ac:dyDescent="0.25">
      <c r="C110" s="2" t="s">
        <v>8364</v>
      </c>
      <c r="D110" s="2" t="s">
        <v>122</v>
      </c>
      <c r="E110" s="2">
        <v>49</v>
      </c>
      <c r="F110" s="2">
        <v>868.01</v>
      </c>
    </row>
    <row r="111" spans="3:6" x14ac:dyDescent="0.25">
      <c r="C111" s="2" t="s">
        <v>8365</v>
      </c>
      <c r="D111" s="2" t="s">
        <v>122</v>
      </c>
      <c r="E111" s="2">
        <v>35</v>
      </c>
      <c r="F111" s="2">
        <v>706.45</v>
      </c>
    </row>
    <row r="112" spans="3:6" x14ac:dyDescent="0.25">
      <c r="C112" s="2" t="s">
        <v>8366</v>
      </c>
      <c r="D112" s="2" t="s">
        <v>122</v>
      </c>
      <c r="E112" s="2">
        <v>106</v>
      </c>
      <c r="F112" s="2">
        <v>2215.49</v>
      </c>
    </row>
    <row r="113" spans="3:6" x14ac:dyDescent="0.25">
      <c r="C113" s="2" t="s">
        <v>8367</v>
      </c>
      <c r="D113" s="2" t="s">
        <v>122</v>
      </c>
      <c r="E113" s="2">
        <v>16</v>
      </c>
      <c r="F113" s="2">
        <v>300.33</v>
      </c>
    </row>
    <row r="114" spans="3:6" x14ac:dyDescent="0.25">
      <c r="C114" s="2" t="s">
        <v>8368</v>
      </c>
      <c r="D114" s="2" t="s">
        <v>122</v>
      </c>
      <c r="E114" s="2">
        <v>13</v>
      </c>
      <c r="F114" s="2">
        <v>232.7</v>
      </c>
    </row>
    <row r="115" spans="3:6" x14ac:dyDescent="0.25">
      <c r="C115" s="2" t="s">
        <v>8369</v>
      </c>
      <c r="D115" s="2" t="s">
        <v>122</v>
      </c>
      <c r="E115" s="2">
        <v>9</v>
      </c>
      <c r="F115" s="2">
        <v>179.98</v>
      </c>
    </row>
    <row r="116" spans="3:6" x14ac:dyDescent="0.25">
      <c r="C116" s="2" t="s">
        <v>8370</v>
      </c>
      <c r="D116" s="2" t="s">
        <v>122</v>
      </c>
      <c r="E116" s="2">
        <v>17</v>
      </c>
      <c r="F116" s="2">
        <v>335.14</v>
      </c>
    </row>
    <row r="117" spans="3:6" x14ac:dyDescent="0.25">
      <c r="C117" s="2" t="s">
        <v>8371</v>
      </c>
      <c r="D117" s="2" t="s">
        <v>122</v>
      </c>
      <c r="E117" s="2">
        <v>26</v>
      </c>
      <c r="F117" s="2">
        <v>524.76</v>
      </c>
    </row>
    <row r="118" spans="3:6" x14ac:dyDescent="0.25">
      <c r="C118" s="2" t="s">
        <v>8372</v>
      </c>
      <c r="D118" s="2" t="s">
        <v>122</v>
      </c>
      <c r="E118" s="2">
        <v>60</v>
      </c>
      <c r="F118" s="2">
        <v>1214.97</v>
      </c>
    </row>
    <row r="119" spans="3:6" x14ac:dyDescent="0.25">
      <c r="C119" s="2" t="s">
        <v>8373</v>
      </c>
      <c r="D119" s="2" t="s">
        <v>122</v>
      </c>
      <c r="E119" s="2">
        <v>102</v>
      </c>
      <c r="F119" s="2">
        <v>1658.52</v>
      </c>
    </row>
    <row r="120" spans="3:6" x14ac:dyDescent="0.25">
      <c r="C120" s="2" t="s">
        <v>8374</v>
      </c>
      <c r="D120" s="2" t="s">
        <v>122</v>
      </c>
      <c r="E120" s="2">
        <v>22</v>
      </c>
      <c r="F120" s="2">
        <v>428.23</v>
      </c>
    </row>
    <row r="121" spans="3:6" x14ac:dyDescent="0.25">
      <c r="C121" s="2" t="s">
        <v>8375</v>
      </c>
      <c r="D121" s="2" t="s">
        <v>122</v>
      </c>
      <c r="E121" s="2">
        <v>79</v>
      </c>
      <c r="F121" s="2">
        <v>1535.55</v>
      </c>
    </row>
    <row r="122" spans="3:6" x14ac:dyDescent="0.25">
      <c r="C122" s="2" t="s">
        <v>8376</v>
      </c>
      <c r="D122" s="2" t="s">
        <v>122</v>
      </c>
      <c r="E122" s="2">
        <v>42</v>
      </c>
      <c r="F122" s="2">
        <v>811.82</v>
      </c>
    </row>
    <row r="123" spans="3:6" x14ac:dyDescent="0.25">
      <c r="C123" s="2" t="s">
        <v>8377</v>
      </c>
      <c r="D123" s="2" t="s">
        <v>122</v>
      </c>
      <c r="E123" s="2">
        <v>40</v>
      </c>
      <c r="F123" s="2">
        <v>668.719</v>
      </c>
    </row>
    <row r="124" spans="3:6" x14ac:dyDescent="0.25">
      <c r="C124" s="2" t="s">
        <v>8378</v>
      </c>
      <c r="D124" s="2" t="s">
        <v>122</v>
      </c>
      <c r="E124" s="2">
        <v>22</v>
      </c>
      <c r="F124" s="2">
        <v>384.08</v>
      </c>
    </row>
    <row r="125" spans="3:6" x14ac:dyDescent="0.25">
      <c r="C125" s="2" t="s">
        <v>8379</v>
      </c>
      <c r="D125" s="2" t="s">
        <v>122</v>
      </c>
      <c r="E125" s="2">
        <v>22</v>
      </c>
      <c r="F125" s="2">
        <v>431.9</v>
      </c>
    </row>
    <row r="126" spans="3:6" x14ac:dyDescent="0.25">
      <c r="C126" s="2" t="s">
        <v>8380</v>
      </c>
      <c r="D126" s="2" t="s">
        <v>122</v>
      </c>
      <c r="E126" s="2">
        <v>37</v>
      </c>
      <c r="F126" s="2">
        <v>767.26</v>
      </c>
    </row>
    <row r="127" spans="3:6" x14ac:dyDescent="0.25">
      <c r="C127" s="2" t="s">
        <v>8381</v>
      </c>
      <c r="D127" s="2" t="s">
        <v>122</v>
      </c>
      <c r="E127" s="2">
        <v>28</v>
      </c>
      <c r="F127" s="2">
        <v>610.41</v>
      </c>
    </row>
    <row r="128" spans="3:6" x14ac:dyDescent="0.25">
      <c r="C128" s="2" t="s">
        <v>8382</v>
      </c>
      <c r="D128" s="2" t="s">
        <v>122</v>
      </c>
      <c r="E128" s="2">
        <v>17</v>
      </c>
      <c r="F128" s="2">
        <v>373.7</v>
      </c>
    </row>
    <row r="129" spans="3:6" x14ac:dyDescent="0.25">
      <c r="C129" s="2" t="s">
        <v>8383</v>
      </c>
      <c r="D129" s="2" t="s">
        <v>122</v>
      </c>
      <c r="E129" s="2">
        <v>96</v>
      </c>
      <c r="F129" s="2">
        <v>1993.659</v>
      </c>
    </row>
    <row r="130" spans="3:6" x14ac:dyDescent="0.25">
      <c r="C130" s="2" t="s">
        <v>8384</v>
      </c>
      <c r="D130" s="2" t="s">
        <v>122</v>
      </c>
      <c r="E130" s="2">
        <v>141</v>
      </c>
      <c r="F130" s="2">
        <v>2911.229</v>
      </c>
    </row>
    <row r="131" spans="3:6" x14ac:dyDescent="0.25">
      <c r="C131" s="2" t="s">
        <v>8385</v>
      </c>
      <c r="D131" s="2" t="s">
        <v>122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90</v>
      </c>
      <c r="C133" s="2" t="s">
        <v>8386</v>
      </c>
      <c r="D133" s="2" t="s">
        <v>42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8387</v>
      </c>
      <c r="D134" s="2" t="s">
        <v>42</v>
      </c>
      <c r="E134" s="2">
        <v>6</v>
      </c>
      <c r="F134" s="2">
        <v>142.991</v>
      </c>
    </row>
    <row r="135" spans="3:6" x14ac:dyDescent="0.25">
      <c r="C135" s="2" t="s">
        <v>8388</v>
      </c>
      <c r="D135" s="2" t="s">
        <v>42</v>
      </c>
      <c r="E135" s="2">
        <v>81</v>
      </c>
      <c r="F135" s="2">
        <v>1672.56</v>
      </c>
    </row>
    <row r="136" spans="3:6" x14ac:dyDescent="0.25">
      <c r="C136" s="2" t="s">
        <v>8389</v>
      </c>
      <c r="D136" s="2" t="s">
        <v>42</v>
      </c>
      <c r="E136" s="2">
        <v>98</v>
      </c>
      <c r="F136" s="2">
        <v>1981.1</v>
      </c>
    </row>
    <row r="137" spans="3:6" x14ac:dyDescent="0.25">
      <c r="C137" s="2" t="s">
        <v>8390</v>
      </c>
      <c r="D137" s="2" t="s">
        <v>42</v>
      </c>
      <c r="E137" s="2">
        <v>123</v>
      </c>
      <c r="F137" s="2">
        <v>2502.507</v>
      </c>
    </row>
    <row r="138" spans="3:6" x14ac:dyDescent="0.25">
      <c r="C138" s="2" t="s">
        <v>8391</v>
      </c>
      <c r="D138" s="2" t="s">
        <v>42</v>
      </c>
      <c r="E138" s="2">
        <v>123</v>
      </c>
      <c r="F138" s="2">
        <v>2525.6</v>
      </c>
    </row>
    <row r="139" spans="3:6" x14ac:dyDescent="0.25">
      <c r="C139" s="2" t="s">
        <v>8392</v>
      </c>
      <c r="D139" s="2" t="s">
        <v>42</v>
      </c>
      <c r="E139" s="2">
        <v>70</v>
      </c>
      <c r="F139" s="2">
        <v>1311.64</v>
      </c>
    </row>
    <row r="140" spans="3:6" x14ac:dyDescent="0.25">
      <c r="C140" s="2" t="s">
        <v>8393</v>
      </c>
      <c r="D140" s="2" t="s">
        <v>42</v>
      </c>
      <c r="E140" s="2">
        <v>72</v>
      </c>
      <c r="F140" s="2">
        <v>651.802</v>
      </c>
    </row>
    <row r="141" spans="3:6" x14ac:dyDescent="0.25">
      <c r="C141" s="2" t="s">
        <v>8394</v>
      </c>
      <c r="D141" s="2" t="s">
        <v>42</v>
      </c>
      <c r="E141" s="2">
        <v>107</v>
      </c>
      <c r="F141" s="2">
        <v>2194.41</v>
      </c>
    </row>
    <row r="142" spans="3:6" x14ac:dyDescent="0.25">
      <c r="C142" s="2" t="s">
        <v>8395</v>
      </c>
      <c r="D142" s="2" t="s">
        <v>42</v>
      </c>
      <c r="E142" s="2">
        <v>119</v>
      </c>
      <c r="F142" s="2">
        <v>2437.32</v>
      </c>
    </row>
    <row r="143" spans="3:6" x14ac:dyDescent="0.25">
      <c r="C143" s="2" t="s">
        <v>8396</v>
      </c>
      <c r="D143" s="2" t="s">
        <v>42</v>
      </c>
      <c r="E143" s="2">
        <v>119</v>
      </c>
      <c r="F143" s="2">
        <v>2344.46</v>
      </c>
    </row>
    <row r="144" spans="3:6" x14ac:dyDescent="0.25">
      <c r="C144" s="2" t="s">
        <v>8397</v>
      </c>
      <c r="D144" s="2" t="s">
        <v>42</v>
      </c>
      <c r="E144" s="2">
        <v>99</v>
      </c>
      <c r="F144" s="2">
        <v>1999.12</v>
      </c>
    </row>
    <row r="145" spans="3:6" x14ac:dyDescent="0.25">
      <c r="C145" s="2" t="s">
        <v>8398</v>
      </c>
      <c r="D145" s="2" t="s">
        <v>42</v>
      </c>
      <c r="E145" s="2">
        <v>52</v>
      </c>
      <c r="F145" s="2">
        <v>1035.93</v>
      </c>
    </row>
    <row r="146" spans="3:6" x14ac:dyDescent="0.25">
      <c r="C146" s="2" t="s">
        <v>8399</v>
      </c>
      <c r="D146" s="2" t="s">
        <v>42</v>
      </c>
      <c r="E146" s="2">
        <v>133</v>
      </c>
      <c r="F146" s="2">
        <v>2850.84</v>
      </c>
    </row>
    <row r="147" spans="3:6" x14ac:dyDescent="0.25">
      <c r="C147" s="2" t="s">
        <v>8400</v>
      </c>
      <c r="D147" s="2" t="s">
        <v>42</v>
      </c>
      <c r="E147" s="2">
        <v>141</v>
      </c>
      <c r="F147" s="2">
        <v>2764.48</v>
      </c>
    </row>
    <row r="148" spans="3:6" x14ac:dyDescent="0.25">
      <c r="C148" s="2" t="s">
        <v>8401</v>
      </c>
      <c r="D148" s="2" t="s">
        <v>42</v>
      </c>
      <c r="E148" s="2">
        <v>94</v>
      </c>
      <c r="F148" s="2">
        <v>1840.13</v>
      </c>
    </row>
    <row r="149" spans="3:6" x14ac:dyDescent="0.25">
      <c r="C149" s="2" t="s">
        <v>8402</v>
      </c>
      <c r="D149" s="2" t="s">
        <v>42</v>
      </c>
      <c r="E149" s="2">
        <v>73</v>
      </c>
      <c r="F149" s="2">
        <v>1464.199</v>
      </c>
    </row>
    <row r="150" spans="3:6" x14ac:dyDescent="0.25">
      <c r="C150" s="2" t="s">
        <v>8403</v>
      </c>
      <c r="D150" s="2" t="s">
        <v>42</v>
      </c>
      <c r="E150" s="2">
        <v>141</v>
      </c>
      <c r="F150" s="2">
        <v>2865.953</v>
      </c>
    </row>
    <row r="151" spans="3:6" x14ac:dyDescent="0.25">
      <c r="C151" s="2" t="s">
        <v>8404</v>
      </c>
      <c r="D151" s="2" t="s">
        <v>42</v>
      </c>
      <c r="E151" s="2">
        <v>141</v>
      </c>
      <c r="F151" s="2">
        <v>2836.299</v>
      </c>
    </row>
    <row r="152" spans="3:6" x14ac:dyDescent="0.25">
      <c r="C152" s="2" t="s">
        <v>8405</v>
      </c>
      <c r="D152" s="2" t="s">
        <v>42</v>
      </c>
      <c r="E152" s="2">
        <v>123</v>
      </c>
      <c r="F152" s="2">
        <v>2105.094</v>
      </c>
    </row>
    <row r="153" spans="3:6" x14ac:dyDescent="0.25">
      <c r="C153" s="2" t="s">
        <v>8406</v>
      </c>
      <c r="D153" s="2" t="s">
        <v>42</v>
      </c>
      <c r="E153" s="2">
        <v>100</v>
      </c>
      <c r="F153" s="2">
        <v>2149.09</v>
      </c>
    </row>
    <row r="154" spans="3:6" x14ac:dyDescent="0.25">
      <c r="C154" s="2" t="s">
        <v>8407</v>
      </c>
      <c r="D154" s="2" t="s">
        <v>42</v>
      </c>
      <c r="E154" s="2">
        <v>91</v>
      </c>
      <c r="F154" s="2">
        <v>1267.483</v>
      </c>
    </row>
    <row r="155" spans="3:6" x14ac:dyDescent="0.25">
      <c r="C155" s="2" t="s">
        <v>8408</v>
      </c>
      <c r="D155" s="2" t="s">
        <v>42</v>
      </c>
      <c r="E155" s="2">
        <v>89</v>
      </c>
      <c r="F155" s="2">
        <v>1805.95</v>
      </c>
    </row>
    <row r="156" spans="3:6" x14ac:dyDescent="0.25">
      <c r="C156" s="2" t="s">
        <v>8409</v>
      </c>
      <c r="D156" s="2" t="s">
        <v>42</v>
      </c>
      <c r="E156" s="2">
        <v>89</v>
      </c>
      <c r="F156" s="2">
        <v>1816.61</v>
      </c>
    </row>
    <row r="157" spans="3:6" x14ac:dyDescent="0.25">
      <c r="C157" s="2" t="s">
        <v>8410</v>
      </c>
      <c r="D157" s="2" t="s">
        <v>42</v>
      </c>
      <c r="E157" s="2">
        <v>75</v>
      </c>
      <c r="F157" s="2">
        <v>1506.932</v>
      </c>
    </row>
    <row r="158" spans="3:6" x14ac:dyDescent="0.25">
      <c r="C158" s="2" t="s">
        <v>8411</v>
      </c>
      <c r="D158" s="2" t="s">
        <v>42</v>
      </c>
      <c r="E158" s="2">
        <v>85</v>
      </c>
      <c r="F158" s="2">
        <v>1745.012</v>
      </c>
    </row>
    <row r="159" spans="3:6" x14ac:dyDescent="0.25">
      <c r="C159" s="2" t="s">
        <v>8412</v>
      </c>
      <c r="D159" s="2" t="s">
        <v>42</v>
      </c>
      <c r="E159" s="2">
        <v>89</v>
      </c>
      <c r="F159" s="2">
        <v>1854.929</v>
      </c>
    </row>
    <row r="160" spans="3:6" x14ac:dyDescent="0.25">
      <c r="C160" s="2" t="s">
        <v>8413</v>
      </c>
      <c r="D160" s="2" t="s">
        <v>42</v>
      </c>
      <c r="E160" s="2">
        <v>65</v>
      </c>
      <c r="F160" s="2">
        <v>1376.75</v>
      </c>
    </row>
    <row r="161" spans="3:6" x14ac:dyDescent="0.25">
      <c r="C161" s="2" t="s">
        <v>8414</v>
      </c>
      <c r="D161" s="2" t="s">
        <v>42</v>
      </c>
      <c r="E161" s="2">
        <v>10</v>
      </c>
      <c r="F161" s="2">
        <v>194.21</v>
      </c>
    </row>
    <row r="162" spans="3:6" x14ac:dyDescent="0.25">
      <c r="C162" s="2" t="s">
        <v>8415</v>
      </c>
      <c r="D162" s="2" t="s">
        <v>42</v>
      </c>
      <c r="E162" s="2">
        <v>12</v>
      </c>
      <c r="F162" s="2">
        <v>263.55</v>
      </c>
    </row>
    <row r="163" spans="3:6" x14ac:dyDescent="0.25">
      <c r="C163" s="2" t="s">
        <v>8416</v>
      </c>
      <c r="D163" s="2" t="s">
        <v>42</v>
      </c>
      <c r="E163" s="2">
        <v>45</v>
      </c>
      <c r="F163" s="2">
        <v>230.24</v>
      </c>
    </row>
    <row r="164" spans="3:6" x14ac:dyDescent="0.25">
      <c r="C164" s="2" t="s">
        <v>8417</v>
      </c>
      <c r="D164" s="2" t="s">
        <v>42</v>
      </c>
      <c r="E164" s="2">
        <v>45</v>
      </c>
      <c r="F164" s="2">
        <v>219.51</v>
      </c>
    </row>
    <row r="165" spans="3:6" x14ac:dyDescent="0.25">
      <c r="C165" s="2" t="s">
        <v>8418</v>
      </c>
      <c r="D165" s="2" t="s">
        <v>42</v>
      </c>
      <c r="E165" s="2">
        <v>60</v>
      </c>
      <c r="F165" s="2">
        <v>316.99</v>
      </c>
    </row>
    <row r="166" spans="3:6" x14ac:dyDescent="0.25">
      <c r="C166" s="2" t="s">
        <v>8419</v>
      </c>
      <c r="D166" s="2" t="s">
        <v>42</v>
      </c>
      <c r="E166" s="2">
        <v>50</v>
      </c>
      <c r="F166" s="2">
        <v>257.97</v>
      </c>
    </row>
    <row r="167" spans="3:6" x14ac:dyDescent="0.25">
      <c r="C167" s="2" t="s">
        <v>8420</v>
      </c>
      <c r="D167" s="2" t="s">
        <v>42</v>
      </c>
      <c r="E167" s="2">
        <v>68</v>
      </c>
      <c r="F167" s="2">
        <v>1361.889</v>
      </c>
    </row>
    <row r="168" spans="3:6" x14ac:dyDescent="0.25">
      <c r="C168" s="2" t="s">
        <v>8421</v>
      </c>
      <c r="D168" s="2" t="s">
        <v>42</v>
      </c>
      <c r="E168" s="2">
        <v>10</v>
      </c>
      <c r="F168" s="2">
        <v>141.05</v>
      </c>
    </row>
    <row r="169" spans="3:6" x14ac:dyDescent="0.25">
      <c r="C169" s="2" t="s">
        <v>8422</v>
      </c>
      <c r="D169" s="2" t="s">
        <v>42</v>
      </c>
      <c r="E169" s="2">
        <v>84</v>
      </c>
      <c r="F169" s="2">
        <v>1084.591</v>
      </c>
    </row>
    <row r="170" spans="3:6" x14ac:dyDescent="0.25">
      <c r="C170" s="2" t="s">
        <v>8423</v>
      </c>
      <c r="D170" s="2" t="s">
        <v>42</v>
      </c>
      <c r="E170" s="2">
        <v>65</v>
      </c>
      <c r="F170" s="2">
        <v>1330</v>
      </c>
    </row>
    <row r="171" spans="3:6" x14ac:dyDescent="0.25">
      <c r="C171" s="2" t="s">
        <v>8424</v>
      </c>
      <c r="D171" s="2" t="s">
        <v>42</v>
      </c>
      <c r="E171" s="2">
        <v>69</v>
      </c>
      <c r="F171" s="2">
        <v>1310.2</v>
      </c>
    </row>
    <row r="172" spans="3:6" x14ac:dyDescent="0.25">
      <c r="C172" s="2" t="s">
        <v>8425</v>
      </c>
      <c r="D172" s="2" t="s">
        <v>42</v>
      </c>
      <c r="E172" s="2">
        <v>25</v>
      </c>
      <c r="F172" s="2">
        <v>410.71</v>
      </c>
    </row>
    <row r="173" spans="3:6" x14ac:dyDescent="0.25">
      <c r="C173" s="2" t="s">
        <v>8426</v>
      </c>
      <c r="D173" s="2" t="s">
        <v>42</v>
      </c>
      <c r="E173" s="2">
        <v>25</v>
      </c>
      <c r="F173" s="2">
        <v>427.25</v>
      </c>
    </row>
    <row r="174" spans="3:6" x14ac:dyDescent="0.25">
      <c r="C174" s="2" t="s">
        <v>8427</v>
      </c>
      <c r="D174" s="2" t="s">
        <v>42</v>
      </c>
      <c r="E174" s="2">
        <v>33</v>
      </c>
      <c r="F174" s="2">
        <v>705.65</v>
      </c>
    </row>
    <row r="175" spans="3:6" x14ac:dyDescent="0.25">
      <c r="C175" s="2" t="s">
        <v>8428</v>
      </c>
      <c r="D175" s="2" t="s">
        <v>42</v>
      </c>
      <c r="E175" s="2">
        <v>11</v>
      </c>
      <c r="F175" s="2">
        <v>207.05</v>
      </c>
    </row>
    <row r="176" spans="3:6" x14ac:dyDescent="0.25">
      <c r="C176" s="2" t="s">
        <v>8429</v>
      </c>
      <c r="D176" s="2" t="s">
        <v>42</v>
      </c>
      <c r="E176" s="2">
        <v>11</v>
      </c>
      <c r="F176" s="2">
        <v>203.21</v>
      </c>
    </row>
    <row r="177" spans="3:6" x14ac:dyDescent="0.25">
      <c r="C177" s="2" t="s">
        <v>8430</v>
      </c>
      <c r="D177" s="2" t="s">
        <v>42</v>
      </c>
      <c r="E177" s="2">
        <v>36</v>
      </c>
      <c r="F177" s="2">
        <v>802.47</v>
      </c>
    </row>
    <row r="178" spans="3:6" x14ac:dyDescent="0.25">
      <c r="C178" s="2" t="s">
        <v>8431</v>
      </c>
      <c r="D178" s="2" t="s">
        <v>42</v>
      </c>
      <c r="E178" s="2">
        <v>35</v>
      </c>
      <c r="F178" s="2">
        <v>716.44</v>
      </c>
    </row>
    <row r="179" spans="3:6" x14ac:dyDescent="0.25">
      <c r="C179" s="2" t="s">
        <v>8432</v>
      </c>
      <c r="D179" s="2" t="s">
        <v>42</v>
      </c>
      <c r="E179" s="2">
        <v>19</v>
      </c>
      <c r="F179" s="2">
        <v>452.431</v>
      </c>
    </row>
    <row r="180" spans="3:6" x14ac:dyDescent="0.25">
      <c r="C180" s="2" t="s">
        <v>8433</v>
      </c>
      <c r="D180" s="2" t="s">
        <v>42</v>
      </c>
      <c r="E180" s="2">
        <v>22</v>
      </c>
      <c r="F180" s="2">
        <v>446.36</v>
      </c>
    </row>
    <row r="181" spans="3:6" x14ac:dyDescent="0.25">
      <c r="C181" s="2" t="s">
        <v>8434</v>
      </c>
      <c r="D181" s="2" t="s">
        <v>42</v>
      </c>
      <c r="E181" s="2">
        <v>69</v>
      </c>
      <c r="F181" s="2">
        <v>1395.43</v>
      </c>
    </row>
    <row r="182" spans="3:6" x14ac:dyDescent="0.25">
      <c r="C182" s="2" t="s">
        <v>8435</v>
      </c>
      <c r="D182" s="2" t="s">
        <v>42</v>
      </c>
      <c r="E182" s="2">
        <v>15</v>
      </c>
      <c r="F182" s="2">
        <v>257.88</v>
      </c>
    </row>
    <row r="183" spans="3:6" x14ac:dyDescent="0.25">
      <c r="C183" s="2" t="s">
        <v>8436</v>
      </c>
      <c r="D183" s="2" t="s">
        <v>42</v>
      </c>
      <c r="E183" s="2">
        <v>11</v>
      </c>
      <c r="F183" s="2">
        <v>203.37</v>
      </c>
    </row>
    <row r="184" spans="3:6" x14ac:dyDescent="0.25">
      <c r="C184" s="2" t="s">
        <v>8437</v>
      </c>
      <c r="D184" s="2" t="s">
        <v>42</v>
      </c>
      <c r="E184" s="2">
        <v>35</v>
      </c>
      <c r="F184" s="2">
        <v>734.47</v>
      </c>
    </row>
    <row r="185" spans="3:6" x14ac:dyDescent="0.25">
      <c r="C185" s="2" t="s">
        <v>8438</v>
      </c>
      <c r="D185" s="2" t="s">
        <v>42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8439</v>
      </c>
      <c r="C187" s="2" t="s">
        <v>8440</v>
      </c>
      <c r="D187" s="2" t="s">
        <v>8441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375</v>
      </c>
      <c r="C189" s="2" t="s">
        <v>8442</v>
      </c>
      <c r="D189" s="2" t="s">
        <v>204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8443</v>
      </c>
      <c r="D190" s="2" t="s">
        <v>216</v>
      </c>
      <c r="E190" s="2">
        <v>39</v>
      </c>
      <c r="F190" s="2">
        <v>774.42</v>
      </c>
    </row>
    <row r="191" spans="3:6" x14ac:dyDescent="0.25">
      <c r="C191" s="2" t="s">
        <v>8444</v>
      </c>
      <c r="D191" s="2" t="s">
        <v>216</v>
      </c>
      <c r="E191" s="2">
        <v>68</v>
      </c>
      <c r="F191" s="2">
        <v>1197.2</v>
      </c>
    </row>
    <row r="192" spans="3:6" x14ac:dyDescent="0.25">
      <c r="C192" s="2" t="s">
        <v>8445</v>
      </c>
      <c r="D192" s="2" t="s">
        <v>204</v>
      </c>
      <c r="E192" s="2">
        <v>36</v>
      </c>
      <c r="F192" s="2">
        <v>687.73</v>
      </c>
    </row>
    <row r="193" spans="3:6" x14ac:dyDescent="0.25">
      <c r="C193" s="2" t="s">
        <v>8446</v>
      </c>
      <c r="D193" s="2" t="s">
        <v>236</v>
      </c>
      <c r="E193" s="2">
        <v>60</v>
      </c>
      <c r="F193" s="2">
        <v>1100.63</v>
      </c>
    </row>
    <row r="194" spans="3:6" x14ac:dyDescent="0.25">
      <c r="C194" s="2" t="s">
        <v>8447</v>
      </c>
      <c r="D194" s="2" t="s">
        <v>236</v>
      </c>
      <c r="E194" s="2">
        <v>36</v>
      </c>
      <c r="F194" s="2">
        <v>645.33</v>
      </c>
    </row>
    <row r="195" spans="3:6" x14ac:dyDescent="0.25">
      <c r="C195" s="2" t="s">
        <v>8448</v>
      </c>
      <c r="D195" s="2" t="s">
        <v>236</v>
      </c>
      <c r="E195" s="2">
        <v>60</v>
      </c>
      <c r="F195" s="2">
        <v>1060.88</v>
      </c>
    </row>
    <row r="196" spans="3:6" x14ac:dyDescent="0.25">
      <c r="C196" s="2" t="s">
        <v>8449</v>
      </c>
      <c r="D196" s="2" t="s">
        <v>204</v>
      </c>
      <c r="E196" s="2">
        <v>234</v>
      </c>
      <c r="F196" s="2">
        <v>704.632</v>
      </c>
    </row>
    <row r="197" spans="3:6" x14ac:dyDescent="0.25">
      <c r="C197" s="2" t="s">
        <v>8450</v>
      </c>
      <c r="D197" s="2" t="s">
        <v>204</v>
      </c>
      <c r="E197" s="2">
        <v>105</v>
      </c>
      <c r="F197" s="2">
        <v>2127.44</v>
      </c>
    </row>
    <row r="198" spans="3:6" x14ac:dyDescent="0.25">
      <c r="C198" s="2" t="s">
        <v>8451</v>
      </c>
      <c r="D198" s="2" t="s">
        <v>347</v>
      </c>
      <c r="E198" s="2">
        <v>52</v>
      </c>
      <c r="F198" s="2">
        <v>955.86</v>
      </c>
    </row>
    <row r="199" spans="3:6" x14ac:dyDescent="0.25">
      <c r="C199" s="2" t="s">
        <v>8452</v>
      </c>
      <c r="D199" s="2" t="s">
        <v>347</v>
      </c>
      <c r="E199" s="2">
        <v>53</v>
      </c>
      <c r="F199" s="2">
        <v>994.336</v>
      </c>
    </row>
    <row r="200" spans="3:6" x14ac:dyDescent="0.25">
      <c r="C200" s="2" t="s">
        <v>8453</v>
      </c>
      <c r="D200" s="2" t="s">
        <v>347</v>
      </c>
      <c r="E200" s="2">
        <v>100</v>
      </c>
      <c r="F200" s="2">
        <v>1902.782</v>
      </c>
    </row>
    <row r="201" spans="3:6" x14ac:dyDescent="0.25">
      <c r="C201" s="2" t="s">
        <v>8454</v>
      </c>
      <c r="D201" s="2" t="s">
        <v>347</v>
      </c>
      <c r="E201" s="2">
        <v>56</v>
      </c>
      <c r="F201" s="2">
        <v>1080.923</v>
      </c>
    </row>
    <row r="202" spans="3:6" x14ac:dyDescent="0.25">
      <c r="C202" s="2" t="s">
        <v>8455</v>
      </c>
      <c r="D202" s="2" t="s">
        <v>204</v>
      </c>
      <c r="E202" s="2">
        <v>163</v>
      </c>
      <c r="F202" s="2">
        <v>3256.47</v>
      </c>
    </row>
    <row r="203" spans="3:6" x14ac:dyDescent="0.25">
      <c r="C203" s="2" t="s">
        <v>8456</v>
      </c>
      <c r="D203" s="2" t="s">
        <v>214</v>
      </c>
      <c r="E203" s="2">
        <v>100</v>
      </c>
      <c r="F203" s="2">
        <v>1960.88</v>
      </c>
    </row>
    <row r="204" spans="3:6" x14ac:dyDescent="0.25">
      <c r="C204" s="2" t="s">
        <v>8457</v>
      </c>
      <c r="D204" s="2" t="s">
        <v>214</v>
      </c>
      <c r="E204" s="2">
        <v>56</v>
      </c>
      <c r="F204" s="2">
        <v>1154.94</v>
      </c>
    </row>
    <row r="205" spans="3:6" x14ac:dyDescent="0.25">
      <c r="C205" s="2" t="s">
        <v>8458</v>
      </c>
      <c r="D205" s="2" t="s">
        <v>214</v>
      </c>
      <c r="E205" s="2">
        <v>100</v>
      </c>
      <c r="F205" s="2">
        <v>1920.14</v>
      </c>
    </row>
    <row r="206" spans="3:6" x14ac:dyDescent="0.25">
      <c r="C206" s="2" t="s">
        <v>8459</v>
      </c>
      <c r="D206" s="2" t="s">
        <v>214</v>
      </c>
      <c r="E206" s="2">
        <v>56</v>
      </c>
      <c r="F206" s="2">
        <v>1096.1</v>
      </c>
    </row>
    <row r="207" spans="3:6" x14ac:dyDescent="0.25">
      <c r="C207" s="2" t="s">
        <v>8460</v>
      </c>
      <c r="D207" s="2" t="s">
        <v>214</v>
      </c>
      <c r="E207" s="2">
        <v>100</v>
      </c>
      <c r="F207" s="2">
        <v>2032.76</v>
      </c>
    </row>
    <row r="208" spans="3:6" x14ac:dyDescent="0.25">
      <c r="C208" s="2" t="s">
        <v>8461</v>
      </c>
      <c r="D208" s="2" t="s">
        <v>214</v>
      </c>
      <c r="E208" s="2">
        <v>100</v>
      </c>
      <c r="F208" s="2">
        <v>1844.716</v>
      </c>
    </row>
    <row r="209" spans="3:6" x14ac:dyDescent="0.25">
      <c r="C209" s="2" t="s">
        <v>8462</v>
      </c>
      <c r="D209" s="2" t="s">
        <v>214</v>
      </c>
      <c r="E209" s="2">
        <v>56</v>
      </c>
      <c r="F209" s="2">
        <v>1076.2</v>
      </c>
    </row>
    <row r="210" spans="3:6" x14ac:dyDescent="0.25">
      <c r="C210" s="2" t="s">
        <v>8463</v>
      </c>
      <c r="D210" s="2" t="s">
        <v>214</v>
      </c>
      <c r="E210" s="2">
        <v>56</v>
      </c>
      <c r="F210" s="2">
        <v>1130.88</v>
      </c>
    </row>
    <row r="211" spans="3:6" x14ac:dyDescent="0.25">
      <c r="C211" s="2" t="s">
        <v>8464</v>
      </c>
      <c r="D211" s="2" t="s">
        <v>347</v>
      </c>
      <c r="E211" s="2">
        <v>100</v>
      </c>
      <c r="F211" s="2">
        <v>1896.74</v>
      </c>
    </row>
    <row r="212" spans="3:6" x14ac:dyDescent="0.25">
      <c r="C212" s="2" t="s">
        <v>8465</v>
      </c>
      <c r="D212" s="2" t="s">
        <v>347</v>
      </c>
      <c r="E212" s="2">
        <v>56</v>
      </c>
      <c r="F212" s="2">
        <v>1043.899</v>
      </c>
    </row>
    <row r="213" spans="3:6" x14ac:dyDescent="0.25">
      <c r="C213" s="2" t="s">
        <v>8466</v>
      </c>
      <c r="D213" s="2" t="s">
        <v>214</v>
      </c>
      <c r="E213" s="2">
        <v>100</v>
      </c>
      <c r="F213" s="2">
        <v>1953.915</v>
      </c>
    </row>
    <row r="214" spans="3:6" x14ac:dyDescent="0.25">
      <c r="C214" s="2" t="s">
        <v>8467</v>
      </c>
      <c r="D214" s="2" t="s">
        <v>214</v>
      </c>
      <c r="E214" s="2">
        <v>56</v>
      </c>
      <c r="F214" s="2">
        <v>1111.557</v>
      </c>
    </row>
    <row r="215" spans="3:6" x14ac:dyDescent="0.25">
      <c r="C215" s="2" t="s">
        <v>8468</v>
      </c>
      <c r="D215" s="2" t="s">
        <v>204</v>
      </c>
      <c r="E215" s="2">
        <v>29</v>
      </c>
      <c r="F215" s="2">
        <v>588.9</v>
      </c>
    </row>
    <row r="216" spans="3:6" x14ac:dyDescent="0.25">
      <c r="C216" s="2" t="s">
        <v>8469</v>
      </c>
      <c r="D216" s="2" t="s">
        <v>216</v>
      </c>
      <c r="E216" s="2">
        <v>134</v>
      </c>
      <c r="F216" s="2">
        <v>2670.07</v>
      </c>
    </row>
    <row r="217" spans="3:6" x14ac:dyDescent="0.25">
      <c r="C217" s="2" t="s">
        <v>8470</v>
      </c>
      <c r="D217" s="2" t="s">
        <v>216</v>
      </c>
      <c r="E217" s="2">
        <v>134</v>
      </c>
      <c r="F217" s="2">
        <v>2751.399</v>
      </c>
    </row>
    <row r="218" spans="3:6" x14ac:dyDescent="0.25">
      <c r="C218" s="2" t="s">
        <v>8471</v>
      </c>
      <c r="D218" s="2" t="s">
        <v>216</v>
      </c>
      <c r="E218" s="2">
        <v>134</v>
      </c>
      <c r="F218" s="2">
        <v>2627.13</v>
      </c>
    </row>
    <row r="219" spans="3:6" x14ac:dyDescent="0.25">
      <c r="C219" s="2" t="s">
        <v>8472</v>
      </c>
      <c r="D219" s="2" t="s">
        <v>216</v>
      </c>
      <c r="E219" s="2">
        <v>134</v>
      </c>
      <c r="F219" s="2">
        <v>2806.24</v>
      </c>
    </row>
    <row r="220" spans="3:6" x14ac:dyDescent="0.25">
      <c r="C220" s="2" t="s">
        <v>8473</v>
      </c>
      <c r="D220" s="2" t="s">
        <v>216</v>
      </c>
      <c r="E220" s="2">
        <v>134</v>
      </c>
      <c r="F220" s="2">
        <v>2686.889</v>
      </c>
    </row>
    <row r="221" spans="3:6" x14ac:dyDescent="0.25">
      <c r="C221" s="2" t="s">
        <v>8474</v>
      </c>
      <c r="D221" s="2" t="s">
        <v>216</v>
      </c>
      <c r="E221" s="2">
        <v>134</v>
      </c>
      <c r="F221" s="2">
        <v>2592</v>
      </c>
    </row>
    <row r="222" spans="3:6" x14ac:dyDescent="0.25">
      <c r="C222" s="2" t="s">
        <v>8475</v>
      </c>
      <c r="D222" s="2" t="s">
        <v>204</v>
      </c>
      <c r="E222" s="2">
        <v>103</v>
      </c>
      <c r="F222" s="2">
        <v>2017.389</v>
      </c>
    </row>
    <row r="223" spans="3:6" x14ac:dyDescent="0.25">
      <c r="C223" s="2" t="s">
        <v>8476</v>
      </c>
      <c r="D223" s="2" t="s">
        <v>204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1585</v>
      </c>
      <c r="C225" s="2" t="s">
        <v>8477</v>
      </c>
      <c r="D225" s="2" t="s">
        <v>297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1434</v>
      </c>
      <c r="C227" s="2" t="s">
        <v>8478</v>
      </c>
      <c r="D227" s="2" t="s">
        <v>122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8479</v>
      </c>
      <c r="D228" s="2" t="s">
        <v>122</v>
      </c>
      <c r="E228" s="2">
        <v>40</v>
      </c>
      <c r="F228" s="2">
        <v>751.399</v>
      </c>
    </row>
    <row r="229" spans="3:6" x14ac:dyDescent="0.25">
      <c r="C229" s="2" t="s">
        <v>8272</v>
      </c>
      <c r="D229" s="2" t="s">
        <v>122</v>
      </c>
      <c r="E229" s="2">
        <v>41</v>
      </c>
      <c r="F229" s="2">
        <v>855.32</v>
      </c>
    </row>
    <row r="230" spans="3:6" x14ac:dyDescent="0.25">
      <c r="C230" s="2" t="s">
        <v>8271</v>
      </c>
      <c r="D230" s="2" t="s">
        <v>122</v>
      </c>
      <c r="E230" s="2">
        <v>32</v>
      </c>
      <c r="F230" s="2">
        <v>639.519</v>
      </c>
    </row>
    <row r="231" spans="3:6" x14ac:dyDescent="0.25">
      <c r="C231" s="2" t="s">
        <v>8270</v>
      </c>
      <c r="D231" s="2" t="s">
        <v>122</v>
      </c>
      <c r="E231" s="2">
        <v>28</v>
      </c>
      <c r="F231" s="2">
        <v>556.3</v>
      </c>
    </row>
    <row r="232" spans="3:6" x14ac:dyDescent="0.25">
      <c r="C232" s="2" t="s">
        <v>8480</v>
      </c>
      <c r="D232" s="2" t="s">
        <v>122</v>
      </c>
      <c r="E232" s="2">
        <v>40</v>
      </c>
      <c r="F232" s="2">
        <v>805.11</v>
      </c>
    </row>
    <row r="233" spans="3:6" x14ac:dyDescent="0.25">
      <c r="C233" s="2" t="s">
        <v>8275</v>
      </c>
      <c r="D233" s="2" t="s">
        <v>122</v>
      </c>
      <c r="E233" s="2">
        <v>49</v>
      </c>
      <c r="F233" s="2">
        <v>933.35</v>
      </c>
    </row>
    <row r="234" spans="3:6" x14ac:dyDescent="0.25">
      <c r="C234" s="2" t="s">
        <v>8276</v>
      </c>
      <c r="D234" s="2" t="s">
        <v>122</v>
      </c>
      <c r="E234" s="2">
        <v>52</v>
      </c>
      <c r="F234" s="2">
        <v>1095.71</v>
      </c>
    </row>
    <row r="235" spans="3:6" x14ac:dyDescent="0.25">
      <c r="C235" s="2" t="s">
        <v>8481</v>
      </c>
      <c r="D235" s="2" t="s">
        <v>122</v>
      </c>
      <c r="E235" s="2">
        <v>40</v>
      </c>
      <c r="F235" s="2">
        <v>853.35</v>
      </c>
    </row>
    <row r="236" spans="3:6" x14ac:dyDescent="0.25">
      <c r="C236" s="2" t="s">
        <v>8295</v>
      </c>
      <c r="D236" s="2" t="s">
        <v>122</v>
      </c>
      <c r="E236" s="2">
        <v>101</v>
      </c>
      <c r="F236" s="2">
        <v>2085.92</v>
      </c>
    </row>
    <row r="237" spans="3:6" x14ac:dyDescent="0.25">
      <c r="C237" s="2" t="s">
        <v>8482</v>
      </c>
      <c r="D237" s="2" t="s">
        <v>122</v>
      </c>
      <c r="E237" s="2">
        <v>42</v>
      </c>
      <c r="F237" s="2">
        <v>810.56</v>
      </c>
    </row>
    <row r="238" spans="3:6" x14ac:dyDescent="0.25">
      <c r="C238" s="2" t="s">
        <v>8483</v>
      </c>
      <c r="D238" s="2" t="s">
        <v>122</v>
      </c>
      <c r="E238" s="2">
        <v>99</v>
      </c>
      <c r="F238" s="2">
        <v>1960.12</v>
      </c>
    </row>
    <row r="239" spans="3:6" x14ac:dyDescent="0.25">
      <c r="C239" s="2" t="s">
        <v>8296</v>
      </c>
      <c r="D239" s="2" t="s">
        <v>122</v>
      </c>
      <c r="E239" s="2">
        <v>39</v>
      </c>
      <c r="F239" s="2">
        <v>781.99</v>
      </c>
    </row>
    <row r="240" spans="3:6" x14ac:dyDescent="0.25">
      <c r="C240" s="2" t="s">
        <v>8297</v>
      </c>
      <c r="D240" s="2" t="s">
        <v>122</v>
      </c>
      <c r="E240" s="2">
        <v>33</v>
      </c>
      <c r="F240" s="2">
        <v>673.91</v>
      </c>
    </row>
    <row r="241" spans="3:6" x14ac:dyDescent="0.25">
      <c r="C241" s="2" t="s">
        <v>8298</v>
      </c>
      <c r="D241" s="2" t="s">
        <v>122</v>
      </c>
      <c r="E241" s="2">
        <v>29</v>
      </c>
      <c r="F241" s="2">
        <v>569.64</v>
      </c>
    </row>
    <row r="242" spans="3:6" x14ac:dyDescent="0.25">
      <c r="C242" s="2" t="s">
        <v>8484</v>
      </c>
      <c r="D242" s="2" t="s">
        <v>122</v>
      </c>
      <c r="E242" s="2">
        <v>121</v>
      </c>
      <c r="F242" s="2">
        <v>2448.839</v>
      </c>
    </row>
    <row r="243" spans="3:6" x14ac:dyDescent="0.25">
      <c r="C243" s="2" t="s">
        <v>8485</v>
      </c>
      <c r="D243" s="2" t="s">
        <v>122</v>
      </c>
      <c r="E243" s="2">
        <v>121</v>
      </c>
      <c r="F243" s="2">
        <v>2479.04</v>
      </c>
    </row>
    <row r="244" spans="3:6" x14ac:dyDescent="0.25">
      <c r="C244" s="2" t="s">
        <v>8486</v>
      </c>
      <c r="D244" s="2" t="s">
        <v>122</v>
      </c>
      <c r="E244" s="2">
        <v>141</v>
      </c>
      <c r="F244" s="2">
        <v>2922.149</v>
      </c>
    </row>
    <row r="245" spans="3:6" x14ac:dyDescent="0.25">
      <c r="C245" s="2" t="s">
        <v>8487</v>
      </c>
      <c r="D245" s="2" t="s">
        <v>122</v>
      </c>
      <c r="E245" s="2">
        <v>142</v>
      </c>
      <c r="F245" s="2">
        <v>2780.81</v>
      </c>
    </row>
    <row r="246" spans="3:6" x14ac:dyDescent="0.25">
      <c r="C246" s="2" t="s">
        <v>8488</v>
      </c>
      <c r="D246" s="2" t="s">
        <v>122</v>
      </c>
      <c r="E246" s="2">
        <v>30</v>
      </c>
      <c r="F246" s="2">
        <v>611.219</v>
      </c>
    </row>
    <row r="247" spans="3:6" x14ac:dyDescent="0.25">
      <c r="C247" s="2" t="s">
        <v>8489</v>
      </c>
      <c r="D247" s="2" t="s">
        <v>122</v>
      </c>
      <c r="E247" s="2">
        <v>53</v>
      </c>
      <c r="F247" s="2">
        <v>1069.38</v>
      </c>
    </row>
    <row r="248" spans="3:6" x14ac:dyDescent="0.25">
      <c r="C248" s="2" t="s">
        <v>8490</v>
      </c>
      <c r="D248" s="2" t="s">
        <v>122</v>
      </c>
      <c r="E248" s="2">
        <v>58</v>
      </c>
      <c r="F248" s="2">
        <v>1087.735</v>
      </c>
    </row>
    <row r="249" spans="3:6" x14ac:dyDescent="0.25">
      <c r="C249" s="2" t="s">
        <v>8491</v>
      </c>
      <c r="D249" s="2" t="s">
        <v>122</v>
      </c>
      <c r="E249" s="2">
        <v>32</v>
      </c>
      <c r="F249" s="2">
        <v>600.37</v>
      </c>
    </row>
    <row r="250" spans="3:6" x14ac:dyDescent="0.25">
      <c r="C250" s="2" t="s">
        <v>8492</v>
      </c>
      <c r="D250" s="2" t="s">
        <v>122</v>
      </c>
      <c r="E250" s="2">
        <v>25</v>
      </c>
      <c r="F250" s="2">
        <v>477.749</v>
      </c>
    </row>
    <row r="251" spans="3:6" x14ac:dyDescent="0.25">
      <c r="C251" s="2" t="s">
        <v>8493</v>
      </c>
      <c r="D251" s="2" t="s">
        <v>122</v>
      </c>
      <c r="E251" s="2">
        <v>33</v>
      </c>
      <c r="F251" s="2">
        <v>694.38</v>
      </c>
    </row>
    <row r="252" spans="3:6" x14ac:dyDescent="0.25">
      <c r="C252" s="2" t="s">
        <v>8494</v>
      </c>
      <c r="D252" s="2" t="s">
        <v>122</v>
      </c>
      <c r="E252" s="2">
        <v>38</v>
      </c>
      <c r="F252" s="2">
        <v>739.41</v>
      </c>
    </row>
    <row r="253" spans="3:6" x14ac:dyDescent="0.25">
      <c r="C253" s="2" t="s">
        <v>8495</v>
      </c>
      <c r="D253" s="2" t="s">
        <v>122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10</v>
      </c>
      <c r="C255" s="2" t="s">
        <v>8496</v>
      </c>
      <c r="D255" s="2" t="s">
        <v>12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8497</v>
      </c>
      <c r="D256" s="2" t="s">
        <v>12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8498</v>
      </c>
      <c r="C258" s="2" t="s">
        <v>8499</v>
      </c>
      <c r="D258" s="2" t="s">
        <v>20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8500</v>
      </c>
      <c r="D259" s="2" t="s">
        <v>20</v>
      </c>
      <c r="E259" s="2">
        <v>275</v>
      </c>
      <c r="F259" s="2">
        <v>4668.694</v>
      </c>
    </row>
    <row r="260" spans="3:6" x14ac:dyDescent="0.25">
      <c r="C260" s="2" t="s">
        <v>8501</v>
      </c>
      <c r="D260" s="2" t="s">
        <v>20</v>
      </c>
      <c r="E260" s="2">
        <v>124</v>
      </c>
      <c r="F260" s="2">
        <v>2766.099</v>
      </c>
    </row>
    <row r="261" spans="3:6" x14ac:dyDescent="0.25">
      <c r="C261" s="2" t="s">
        <v>8502</v>
      </c>
      <c r="D261" s="2" t="s">
        <v>20</v>
      </c>
      <c r="E261" s="2">
        <v>105</v>
      </c>
      <c r="F261" s="2">
        <v>2012.54</v>
      </c>
    </row>
    <row r="262" spans="3:6" x14ac:dyDescent="0.25">
      <c r="C262" s="2" t="s">
        <v>8503</v>
      </c>
      <c r="D262" s="2" t="s">
        <v>20</v>
      </c>
      <c r="E262" s="2">
        <v>105</v>
      </c>
      <c r="F262" s="2">
        <v>2109.305</v>
      </c>
    </row>
    <row r="263" spans="3:6" x14ac:dyDescent="0.25">
      <c r="C263" s="2" t="s">
        <v>8504</v>
      </c>
      <c r="D263" s="2" t="s">
        <v>20</v>
      </c>
      <c r="E263" s="2">
        <v>163</v>
      </c>
      <c r="F263" s="2">
        <v>3172.77</v>
      </c>
    </row>
    <row r="264" spans="3:6" x14ac:dyDescent="0.25">
      <c r="C264" s="2" t="s">
        <v>8505</v>
      </c>
      <c r="D264" s="2" t="s">
        <v>20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380</v>
      </c>
      <c r="C266" s="2" t="s">
        <v>8506</v>
      </c>
      <c r="D266" s="2" t="s">
        <v>20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8507</v>
      </c>
      <c r="D267" s="2" t="s">
        <v>20</v>
      </c>
      <c r="E267" s="2">
        <v>295</v>
      </c>
      <c r="F267" s="2">
        <v>5612.173</v>
      </c>
    </row>
    <row r="268" spans="3:6" x14ac:dyDescent="0.25">
      <c r="C268" s="2" t="s">
        <v>8508</v>
      </c>
      <c r="D268" s="2" t="s">
        <v>20</v>
      </c>
      <c r="E268" s="2">
        <v>169</v>
      </c>
      <c r="F268" s="2">
        <v>3948</v>
      </c>
    </row>
    <row r="269" spans="3:6" x14ac:dyDescent="0.25">
      <c r="C269" s="2" t="s">
        <v>8509</v>
      </c>
      <c r="D269" s="2" t="s">
        <v>20</v>
      </c>
      <c r="E269" s="2">
        <v>251</v>
      </c>
      <c r="F269" s="2">
        <v>4726.658</v>
      </c>
    </row>
    <row r="270" spans="3:6" x14ac:dyDescent="0.25">
      <c r="C270" s="2" t="s">
        <v>8510</v>
      </c>
      <c r="D270" s="2" t="s">
        <v>20</v>
      </c>
      <c r="E270" s="2">
        <v>149</v>
      </c>
      <c r="F270" s="2">
        <v>2713.359</v>
      </c>
    </row>
    <row r="271" spans="3:6" x14ac:dyDescent="0.25">
      <c r="C271" s="2" t="s">
        <v>8511</v>
      </c>
      <c r="D271" s="2" t="s">
        <v>20</v>
      </c>
      <c r="E271" s="2">
        <v>149</v>
      </c>
      <c r="F271" s="2">
        <v>2743.03</v>
      </c>
    </row>
    <row r="272" spans="3:6" x14ac:dyDescent="0.25">
      <c r="C272" s="2" t="s">
        <v>8512</v>
      </c>
      <c r="D272" s="2" t="s">
        <v>20</v>
      </c>
      <c r="E272" s="2">
        <v>102</v>
      </c>
      <c r="F272" s="2">
        <v>2013.824</v>
      </c>
    </row>
    <row r="273" spans="3:6" x14ac:dyDescent="0.25">
      <c r="C273" s="2" t="s">
        <v>8513</v>
      </c>
      <c r="D273" s="2" t="s">
        <v>20</v>
      </c>
      <c r="E273" s="2">
        <v>102</v>
      </c>
      <c r="F273" s="2">
        <v>2017.73</v>
      </c>
    </row>
    <row r="274" spans="3:6" x14ac:dyDescent="0.25">
      <c r="C274" s="2" t="s">
        <v>8514</v>
      </c>
      <c r="D274" s="2" t="s">
        <v>20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2378</v>
      </c>
      <c r="C276" s="2" t="s">
        <v>8515</v>
      </c>
      <c r="D276" s="2" t="s">
        <v>2096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1585</v>
      </c>
      <c r="C278" s="2" t="s">
        <v>8516</v>
      </c>
      <c r="D278" s="2" t="s">
        <v>297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1434</v>
      </c>
      <c r="C280" s="2" t="s">
        <v>8517</v>
      </c>
      <c r="D280" s="2" t="s">
        <v>122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8518</v>
      </c>
      <c r="D281" s="2" t="s">
        <v>122</v>
      </c>
      <c r="E281" s="2">
        <v>121</v>
      </c>
      <c r="F281" s="2">
        <v>2509.32</v>
      </c>
    </row>
    <row r="282" spans="3:6" x14ac:dyDescent="0.25">
      <c r="C282" s="2" t="s">
        <v>8519</v>
      </c>
      <c r="D282" s="2" t="s">
        <v>122</v>
      </c>
      <c r="E282" s="2">
        <v>141</v>
      </c>
      <c r="F282" s="2">
        <v>2907.13</v>
      </c>
    </row>
    <row r="283" spans="3:6" x14ac:dyDescent="0.25">
      <c r="C283" s="2" t="s">
        <v>8520</v>
      </c>
      <c r="D283" s="2" t="s">
        <v>122</v>
      </c>
      <c r="E283" s="2">
        <v>141</v>
      </c>
      <c r="F283" s="2">
        <v>2891.59</v>
      </c>
    </row>
    <row r="284" spans="3:6" x14ac:dyDescent="0.25">
      <c r="C284" s="2" t="s">
        <v>8521</v>
      </c>
      <c r="D284" s="2" t="s">
        <v>122</v>
      </c>
      <c r="E284" s="2">
        <v>141</v>
      </c>
      <c r="F284" s="2">
        <v>2821.51</v>
      </c>
    </row>
    <row r="285" spans="3:6" x14ac:dyDescent="0.25">
      <c r="C285" s="2" t="s">
        <v>8522</v>
      </c>
      <c r="D285" s="2" t="s">
        <v>122</v>
      </c>
      <c r="E285" s="2">
        <v>143</v>
      </c>
      <c r="F285" s="2">
        <v>2680.968</v>
      </c>
    </row>
    <row r="286" spans="3:6" x14ac:dyDescent="0.25">
      <c r="C286" s="2" t="s">
        <v>8523</v>
      </c>
      <c r="D286" s="2" t="s">
        <v>122</v>
      </c>
      <c r="E286" s="2">
        <v>2</v>
      </c>
      <c r="F286" s="2">
        <v>15.25</v>
      </c>
    </row>
    <row r="287" spans="3:6" x14ac:dyDescent="0.25">
      <c r="C287" s="2" t="s">
        <v>8524</v>
      </c>
      <c r="D287" s="2" t="s">
        <v>122</v>
      </c>
      <c r="E287" s="2">
        <v>81</v>
      </c>
      <c r="F287" s="2">
        <v>1609.92</v>
      </c>
    </row>
    <row r="288" spans="3:6" x14ac:dyDescent="0.25">
      <c r="C288" s="2" t="s">
        <v>8525</v>
      </c>
      <c r="D288" s="2" t="s">
        <v>122</v>
      </c>
      <c r="E288" s="2">
        <v>59</v>
      </c>
      <c r="F288" s="2">
        <v>1138.58</v>
      </c>
    </row>
    <row r="289" spans="3:6" x14ac:dyDescent="0.25">
      <c r="C289" s="2" t="s">
        <v>8526</v>
      </c>
      <c r="D289" s="2" t="s">
        <v>122</v>
      </c>
      <c r="E289" s="2">
        <v>101</v>
      </c>
      <c r="F289" s="2">
        <v>1987.88</v>
      </c>
    </row>
    <row r="290" spans="3:6" x14ac:dyDescent="0.25">
      <c r="C290" s="2" t="s">
        <v>8527</v>
      </c>
      <c r="D290" s="2" t="s">
        <v>122</v>
      </c>
      <c r="E290" s="2">
        <v>40</v>
      </c>
      <c r="F290" s="2">
        <v>807.75</v>
      </c>
    </row>
    <row r="291" spans="3:6" x14ac:dyDescent="0.25">
      <c r="C291" s="2" t="s">
        <v>8528</v>
      </c>
      <c r="D291" s="2" t="s">
        <v>122</v>
      </c>
      <c r="E291" s="2">
        <v>23</v>
      </c>
      <c r="F291" s="2">
        <v>428.35</v>
      </c>
    </row>
    <row r="292" spans="3:6" x14ac:dyDescent="0.25">
      <c r="C292" s="2" t="s">
        <v>8529</v>
      </c>
      <c r="D292" s="2" t="s">
        <v>122</v>
      </c>
      <c r="E292" s="2">
        <v>84</v>
      </c>
      <c r="F292" s="2">
        <v>1712.8</v>
      </c>
    </row>
    <row r="293" spans="3:6" x14ac:dyDescent="0.25">
      <c r="C293" s="2" t="s">
        <v>8530</v>
      </c>
      <c r="D293" s="2" t="s">
        <v>122</v>
      </c>
      <c r="E293" s="2">
        <v>35</v>
      </c>
      <c r="F293" s="2">
        <v>747.07</v>
      </c>
    </row>
    <row r="294" spans="3:6" x14ac:dyDescent="0.25">
      <c r="C294" s="2" t="s">
        <v>8531</v>
      </c>
      <c r="D294" s="2" t="s">
        <v>122</v>
      </c>
      <c r="E294" s="2">
        <v>21</v>
      </c>
      <c r="F294" s="2">
        <v>405.589</v>
      </c>
    </row>
    <row r="295" spans="3:6" x14ac:dyDescent="0.25">
      <c r="C295" s="2" t="s">
        <v>8532</v>
      </c>
      <c r="D295" s="2" t="s">
        <v>122</v>
      </c>
      <c r="E295" s="2">
        <v>80</v>
      </c>
      <c r="F295" s="2">
        <v>1591.96</v>
      </c>
    </row>
    <row r="296" spans="3:6" x14ac:dyDescent="0.25">
      <c r="C296" s="2" t="s">
        <v>8533</v>
      </c>
      <c r="D296" s="2" t="s">
        <v>122</v>
      </c>
      <c r="E296" s="2">
        <v>28</v>
      </c>
      <c r="F296" s="2">
        <v>526.87</v>
      </c>
    </row>
    <row r="297" spans="3:6" x14ac:dyDescent="0.25">
      <c r="C297" s="2" t="s">
        <v>8534</v>
      </c>
      <c r="D297" s="2" t="s">
        <v>122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324</v>
      </c>
      <c r="C299" s="2" t="s">
        <v>8535</v>
      </c>
      <c r="D299" s="2" t="s">
        <v>27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8536</v>
      </c>
      <c r="D300" s="2" t="s">
        <v>27</v>
      </c>
      <c r="E300" s="2">
        <v>29</v>
      </c>
      <c r="F300" s="2">
        <v>480.26</v>
      </c>
    </row>
    <row r="301" spans="3:6" x14ac:dyDescent="0.25">
      <c r="C301" s="2" t="s">
        <v>8537</v>
      </c>
      <c r="D301" s="2" t="s">
        <v>27</v>
      </c>
      <c r="E301" s="2">
        <v>98</v>
      </c>
      <c r="F301" s="2">
        <v>1836.43</v>
      </c>
    </row>
    <row r="302" spans="3:6" x14ac:dyDescent="0.25">
      <c r="C302" s="2" t="s">
        <v>8538</v>
      </c>
      <c r="D302" s="2" t="s">
        <v>27</v>
      </c>
      <c r="E302" s="2">
        <v>21</v>
      </c>
      <c r="F302" s="2">
        <v>507.71</v>
      </c>
    </row>
    <row r="303" spans="3:6" x14ac:dyDescent="0.25">
      <c r="C303" s="2" t="s">
        <v>8539</v>
      </c>
      <c r="D303" s="2" t="s">
        <v>27</v>
      </c>
      <c r="E303" s="2">
        <v>65</v>
      </c>
      <c r="F303" s="2">
        <v>1159.98</v>
      </c>
    </row>
    <row r="304" spans="3:6" x14ac:dyDescent="0.25">
      <c r="C304" s="2" t="s">
        <v>8540</v>
      </c>
      <c r="D304" s="2" t="s">
        <v>27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1289</v>
      </c>
      <c r="C306" s="2" t="s">
        <v>8541</v>
      </c>
      <c r="D306" s="2" t="s">
        <v>9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8542</v>
      </c>
      <c r="D307" s="2" t="s">
        <v>9</v>
      </c>
      <c r="E307" s="2">
        <v>102</v>
      </c>
      <c r="F307" s="2">
        <v>1910.36</v>
      </c>
    </row>
    <row r="308" spans="3:6" x14ac:dyDescent="0.25">
      <c r="C308" s="2" t="s">
        <v>8543</v>
      </c>
      <c r="D308" s="2" t="s">
        <v>9</v>
      </c>
      <c r="E308" s="2">
        <v>102</v>
      </c>
      <c r="F308" s="2">
        <v>1950.88</v>
      </c>
    </row>
    <row r="309" spans="3:6" x14ac:dyDescent="0.25">
      <c r="C309" s="2" t="s">
        <v>8544</v>
      </c>
      <c r="D309" s="2" t="s">
        <v>9</v>
      </c>
      <c r="E309" s="2">
        <v>102</v>
      </c>
      <c r="F309" s="2">
        <v>2110.63</v>
      </c>
    </row>
    <row r="310" spans="3:6" x14ac:dyDescent="0.25">
      <c r="C310" s="2" t="s">
        <v>8545</v>
      </c>
      <c r="D310" s="2" t="s">
        <v>9</v>
      </c>
      <c r="E310" s="2">
        <v>258</v>
      </c>
      <c r="F310" s="2">
        <v>5269.03</v>
      </c>
    </row>
    <row r="311" spans="3:6" x14ac:dyDescent="0.25">
      <c r="C311" s="2" t="s">
        <v>8546</v>
      </c>
      <c r="D311" s="2" t="s">
        <v>9</v>
      </c>
      <c r="E311" s="2">
        <v>141</v>
      </c>
      <c r="F311" s="2">
        <v>2685.324</v>
      </c>
    </row>
    <row r="312" spans="3:6" x14ac:dyDescent="0.25">
      <c r="C312" s="2" t="s">
        <v>8547</v>
      </c>
      <c r="D312" s="2" t="s">
        <v>9</v>
      </c>
      <c r="E312" s="2">
        <v>102</v>
      </c>
      <c r="F312" s="2">
        <v>1908.86</v>
      </c>
    </row>
    <row r="313" spans="3:6" x14ac:dyDescent="0.25">
      <c r="C313" s="2" t="s">
        <v>8548</v>
      </c>
      <c r="D313" s="2" t="s">
        <v>9</v>
      </c>
      <c r="E313" s="2">
        <v>45</v>
      </c>
      <c r="F313" s="2">
        <v>212.58</v>
      </c>
    </row>
    <row r="314" spans="3:6" x14ac:dyDescent="0.25">
      <c r="C314" s="2" t="s">
        <v>8549</v>
      </c>
      <c r="D314" s="2" t="s">
        <v>9</v>
      </c>
      <c r="E314" s="2">
        <v>141</v>
      </c>
      <c r="F314" s="2">
        <v>2991.549</v>
      </c>
    </row>
    <row r="315" spans="3:6" x14ac:dyDescent="0.25">
      <c r="C315" s="2" t="s">
        <v>8550</v>
      </c>
      <c r="D315" s="2" t="s">
        <v>9</v>
      </c>
      <c r="E315" s="2">
        <v>141</v>
      </c>
      <c r="F315" s="2">
        <v>2986.91</v>
      </c>
    </row>
    <row r="316" spans="3:6" x14ac:dyDescent="0.25">
      <c r="C316" s="2" t="s">
        <v>8551</v>
      </c>
      <c r="D316" s="2" t="s">
        <v>9</v>
      </c>
      <c r="E316" s="2">
        <v>141</v>
      </c>
      <c r="F316" s="2">
        <v>2912.76</v>
      </c>
    </row>
    <row r="317" spans="3:6" x14ac:dyDescent="0.25">
      <c r="C317" s="2" t="s">
        <v>8552</v>
      </c>
      <c r="D317" s="2" t="s">
        <v>9</v>
      </c>
      <c r="E317" s="2">
        <v>102</v>
      </c>
      <c r="F317" s="2">
        <v>1996.25</v>
      </c>
    </row>
    <row r="318" spans="3:6" x14ac:dyDescent="0.25">
      <c r="C318" s="2" t="s">
        <v>8553</v>
      </c>
      <c r="D318" s="2" t="s">
        <v>9</v>
      </c>
      <c r="E318" s="2">
        <v>30</v>
      </c>
      <c r="F318" s="2">
        <v>131.12</v>
      </c>
    </row>
    <row r="319" spans="3:6" x14ac:dyDescent="0.25">
      <c r="C319" s="2" t="s">
        <v>8554</v>
      </c>
      <c r="D319" s="2" t="s">
        <v>9</v>
      </c>
      <c r="E319" s="2">
        <v>141</v>
      </c>
      <c r="F319" s="2">
        <v>2554.07</v>
      </c>
    </row>
    <row r="320" spans="3:6" x14ac:dyDescent="0.25">
      <c r="C320" s="2" t="s">
        <v>8555</v>
      </c>
      <c r="D320" s="2" t="s">
        <v>9</v>
      </c>
      <c r="E320" s="2">
        <v>141</v>
      </c>
      <c r="F320" s="2">
        <v>2809.178</v>
      </c>
    </row>
    <row r="321" spans="3:6" x14ac:dyDescent="0.25">
      <c r="C321" s="2" t="s">
        <v>8556</v>
      </c>
      <c r="D321" s="2" t="s">
        <v>9</v>
      </c>
      <c r="E321" s="2">
        <v>122</v>
      </c>
      <c r="F321" s="2">
        <v>2135.77</v>
      </c>
    </row>
    <row r="322" spans="3:6" x14ac:dyDescent="0.25">
      <c r="C322" s="2" t="s">
        <v>8557</v>
      </c>
      <c r="D322" s="2" t="s">
        <v>9</v>
      </c>
      <c r="E322" s="2">
        <v>123</v>
      </c>
      <c r="F322" s="2">
        <v>2352.06</v>
      </c>
    </row>
    <row r="323" spans="3:6" x14ac:dyDescent="0.25">
      <c r="C323" s="2" t="s">
        <v>8558</v>
      </c>
      <c r="D323" s="2" t="s">
        <v>9</v>
      </c>
      <c r="E323" s="2">
        <v>282</v>
      </c>
      <c r="F323" s="2">
        <v>5639.99</v>
      </c>
    </row>
    <row r="324" spans="3:6" x14ac:dyDescent="0.25">
      <c r="C324" s="2" t="s">
        <v>8559</v>
      </c>
      <c r="D324" s="2" t="s">
        <v>9</v>
      </c>
      <c r="E324" s="2">
        <v>243</v>
      </c>
      <c r="F324" s="2">
        <v>5073.98</v>
      </c>
    </row>
    <row r="325" spans="3:6" x14ac:dyDescent="0.25">
      <c r="C325" s="2" t="s">
        <v>8560</v>
      </c>
      <c r="D325" s="2" t="s">
        <v>9</v>
      </c>
      <c r="E325" s="2">
        <v>141</v>
      </c>
      <c r="F325" s="2">
        <v>2845.59</v>
      </c>
    </row>
    <row r="326" spans="3:6" x14ac:dyDescent="0.25">
      <c r="C326" s="2" t="s">
        <v>8561</v>
      </c>
      <c r="D326" s="2" t="s">
        <v>9</v>
      </c>
      <c r="E326" s="2">
        <v>141</v>
      </c>
      <c r="F326" s="2">
        <v>2863.359</v>
      </c>
    </row>
    <row r="327" spans="3:6" x14ac:dyDescent="0.25">
      <c r="C327" s="2" t="s">
        <v>8562</v>
      </c>
      <c r="D327" s="2" t="s">
        <v>9</v>
      </c>
      <c r="E327" s="2">
        <v>141</v>
      </c>
      <c r="F327" s="2">
        <v>2681.747</v>
      </c>
    </row>
    <row r="328" spans="3:6" x14ac:dyDescent="0.25">
      <c r="C328" s="2" t="s">
        <v>8563</v>
      </c>
      <c r="D328" s="2" t="s">
        <v>9</v>
      </c>
      <c r="E328" s="2">
        <v>59</v>
      </c>
      <c r="F328" s="2">
        <v>1093.91</v>
      </c>
    </row>
    <row r="329" spans="3:6" x14ac:dyDescent="0.25">
      <c r="C329" s="2" t="s">
        <v>8564</v>
      </c>
      <c r="D329" s="2" t="s">
        <v>9</v>
      </c>
      <c r="E329" s="2">
        <v>24</v>
      </c>
      <c r="F329" s="2">
        <v>478.89</v>
      </c>
    </row>
    <row r="330" spans="3:6" x14ac:dyDescent="0.25">
      <c r="C330" s="2" t="s">
        <v>8565</v>
      </c>
      <c r="D330" s="2" t="s">
        <v>9</v>
      </c>
      <c r="E330" s="2">
        <v>52</v>
      </c>
      <c r="F330" s="2">
        <v>1078.69</v>
      </c>
    </row>
    <row r="331" spans="3:6" x14ac:dyDescent="0.25">
      <c r="C331" s="2" t="s">
        <v>8566</v>
      </c>
      <c r="D331" s="2" t="s">
        <v>9</v>
      </c>
      <c r="E331" s="2">
        <v>6</v>
      </c>
      <c r="F331" s="2">
        <v>121.65</v>
      </c>
    </row>
    <row r="332" spans="3:6" x14ac:dyDescent="0.25">
      <c r="C332" s="2" t="s">
        <v>8567</v>
      </c>
      <c r="D332" s="2" t="s">
        <v>9</v>
      </c>
      <c r="E332" s="2">
        <v>141</v>
      </c>
      <c r="F332" s="2">
        <v>2897.76</v>
      </c>
    </row>
    <row r="333" spans="3:6" x14ac:dyDescent="0.25">
      <c r="C333" s="2" t="s">
        <v>8568</v>
      </c>
      <c r="D333" s="2" t="s">
        <v>9</v>
      </c>
      <c r="E333" s="2">
        <v>141</v>
      </c>
      <c r="F333" s="2">
        <v>2899.47</v>
      </c>
    </row>
    <row r="334" spans="3:6" x14ac:dyDescent="0.25">
      <c r="C334" s="2" t="s">
        <v>8569</v>
      </c>
      <c r="D334" s="2" t="s">
        <v>9</v>
      </c>
      <c r="E334" s="2">
        <v>84</v>
      </c>
      <c r="F334" s="2">
        <v>1634.76</v>
      </c>
    </row>
    <row r="335" spans="3:6" x14ac:dyDescent="0.25">
      <c r="C335" s="2" t="s">
        <v>8570</v>
      </c>
      <c r="D335" s="2" t="s">
        <v>9</v>
      </c>
      <c r="E335" s="2">
        <v>57</v>
      </c>
      <c r="F335" s="2">
        <v>1177.87</v>
      </c>
    </row>
    <row r="336" spans="3:6" x14ac:dyDescent="0.25">
      <c r="C336" s="2" t="s">
        <v>8571</v>
      </c>
      <c r="D336" s="2" t="s">
        <v>9</v>
      </c>
      <c r="E336" s="2">
        <v>15</v>
      </c>
      <c r="F336" s="2">
        <v>247.66</v>
      </c>
    </row>
    <row r="337" spans="3:6" x14ac:dyDescent="0.25">
      <c r="C337" s="2" t="s">
        <v>8572</v>
      </c>
      <c r="D337" s="2" t="s">
        <v>9</v>
      </c>
      <c r="E337" s="2">
        <v>38</v>
      </c>
      <c r="F337" s="2">
        <v>817.31</v>
      </c>
    </row>
    <row r="338" spans="3:6" x14ac:dyDescent="0.25">
      <c r="C338" s="2" t="s">
        <v>8573</v>
      </c>
      <c r="D338" s="2" t="s">
        <v>9</v>
      </c>
      <c r="E338" s="2">
        <v>23</v>
      </c>
      <c r="F338" s="2">
        <v>468.37</v>
      </c>
    </row>
    <row r="339" spans="3:6" x14ac:dyDescent="0.25">
      <c r="C339" s="2" t="s">
        <v>8574</v>
      </c>
      <c r="D339" s="2" t="s">
        <v>9</v>
      </c>
      <c r="E339" s="2">
        <v>80</v>
      </c>
      <c r="F339" s="2">
        <v>1627.64</v>
      </c>
    </row>
    <row r="340" spans="3:6" x14ac:dyDescent="0.25">
      <c r="C340" s="2" t="s">
        <v>8575</v>
      </c>
      <c r="D340" s="2" t="s">
        <v>9</v>
      </c>
      <c r="E340" s="2">
        <v>61</v>
      </c>
      <c r="F340" s="2">
        <v>1292.92</v>
      </c>
    </row>
    <row r="341" spans="3:6" x14ac:dyDescent="0.25">
      <c r="C341" s="2" t="s">
        <v>8576</v>
      </c>
      <c r="D341" s="2" t="s">
        <v>9</v>
      </c>
      <c r="E341" s="2">
        <v>141</v>
      </c>
      <c r="F341" s="2">
        <v>2840.619</v>
      </c>
    </row>
    <row r="342" spans="3:6" x14ac:dyDescent="0.25">
      <c r="C342" s="2" t="s">
        <v>8577</v>
      </c>
      <c r="D342" s="2" t="s">
        <v>9</v>
      </c>
      <c r="E342" s="2">
        <v>141</v>
      </c>
      <c r="F342" s="2">
        <v>2849.389</v>
      </c>
    </row>
    <row r="343" spans="3:6" x14ac:dyDescent="0.25">
      <c r="C343" s="2" t="s">
        <v>8578</v>
      </c>
      <c r="D343" s="2" t="s">
        <v>9</v>
      </c>
      <c r="E343" s="2">
        <v>30</v>
      </c>
      <c r="F343" s="2">
        <v>595.65</v>
      </c>
    </row>
    <row r="344" spans="3:6" x14ac:dyDescent="0.25">
      <c r="C344" s="2" t="s">
        <v>8579</v>
      </c>
      <c r="D344" s="2" t="s">
        <v>9</v>
      </c>
      <c r="E344" s="2">
        <v>80</v>
      </c>
      <c r="F344" s="2">
        <v>1692.19</v>
      </c>
    </row>
    <row r="345" spans="3:6" x14ac:dyDescent="0.25">
      <c r="C345" s="2" t="s">
        <v>8580</v>
      </c>
      <c r="D345" s="2" t="s">
        <v>9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120</v>
      </c>
      <c r="C347" s="2" t="s">
        <v>8581</v>
      </c>
      <c r="D347" s="2" t="s">
        <v>42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8582</v>
      </c>
      <c r="D348" s="2" t="s">
        <v>42</v>
      </c>
      <c r="E348" s="2">
        <v>102</v>
      </c>
      <c r="F348" s="2">
        <v>2023.67</v>
      </c>
    </row>
    <row r="349" spans="3:6" x14ac:dyDescent="0.25">
      <c r="C349" s="2" t="s">
        <v>8583</v>
      </c>
      <c r="D349" s="2" t="s">
        <v>42</v>
      </c>
      <c r="E349" s="2">
        <v>102</v>
      </c>
      <c r="F349" s="2">
        <v>2065.06</v>
      </c>
    </row>
    <row r="350" spans="3:6" x14ac:dyDescent="0.25">
      <c r="C350" s="2" t="s">
        <v>8584</v>
      </c>
      <c r="D350" s="2" t="s">
        <v>42</v>
      </c>
      <c r="E350" s="2">
        <v>141</v>
      </c>
      <c r="F350" s="2">
        <v>2825.88</v>
      </c>
    </row>
    <row r="351" spans="3:6" x14ac:dyDescent="0.25">
      <c r="C351" s="2" t="s">
        <v>8585</v>
      </c>
      <c r="D351" s="2" t="s">
        <v>42</v>
      </c>
      <c r="E351" s="2">
        <v>98</v>
      </c>
      <c r="F351" s="2">
        <v>1913.238</v>
      </c>
    </row>
    <row r="352" spans="3:6" x14ac:dyDescent="0.25">
      <c r="C352" s="2" t="s">
        <v>8585</v>
      </c>
      <c r="D352" s="2" t="s">
        <v>42</v>
      </c>
      <c r="E352" s="2">
        <v>98</v>
      </c>
      <c r="F352" s="2">
        <v>1913.238</v>
      </c>
    </row>
    <row r="353" spans="3:6" x14ac:dyDescent="0.25">
      <c r="C353" s="2" t="s">
        <v>8586</v>
      </c>
      <c r="D353" s="2" t="s">
        <v>42</v>
      </c>
      <c r="E353" s="2">
        <v>72</v>
      </c>
      <c r="F353" s="2">
        <v>1456.34</v>
      </c>
    </row>
    <row r="354" spans="3:6" x14ac:dyDescent="0.25">
      <c r="C354" s="2" t="s">
        <v>8587</v>
      </c>
      <c r="D354" s="2" t="s">
        <v>42</v>
      </c>
      <c r="E354" s="2">
        <v>103</v>
      </c>
      <c r="F354" s="2">
        <v>1373.077</v>
      </c>
    </row>
    <row r="355" spans="3:6" x14ac:dyDescent="0.25">
      <c r="C355" s="2" t="s">
        <v>8588</v>
      </c>
      <c r="D355" s="2" t="s">
        <v>42</v>
      </c>
      <c r="E355" s="2">
        <v>123</v>
      </c>
      <c r="F355" s="2">
        <v>2546.299</v>
      </c>
    </row>
    <row r="356" spans="3:6" x14ac:dyDescent="0.25">
      <c r="C356" s="2" t="s">
        <v>8589</v>
      </c>
      <c r="D356" s="2" t="s">
        <v>42</v>
      </c>
      <c r="E356" s="2">
        <v>111</v>
      </c>
      <c r="F356" s="2">
        <v>2339.979</v>
      </c>
    </row>
    <row r="357" spans="3:6" x14ac:dyDescent="0.25">
      <c r="C357" s="2" t="s">
        <v>8590</v>
      </c>
      <c r="D357" s="2" t="s">
        <v>42</v>
      </c>
      <c r="E357" s="2">
        <v>126</v>
      </c>
      <c r="F357" s="2">
        <v>2467.03</v>
      </c>
    </row>
    <row r="358" spans="3:6" x14ac:dyDescent="0.25">
      <c r="C358" s="2" t="s">
        <v>8591</v>
      </c>
      <c r="D358" s="2" t="s">
        <v>42</v>
      </c>
      <c r="E358" s="2">
        <v>32</v>
      </c>
      <c r="F358" s="2">
        <v>605.966</v>
      </c>
    </row>
    <row r="359" spans="3:6" x14ac:dyDescent="0.25">
      <c r="C359" s="2" t="s">
        <v>8592</v>
      </c>
      <c r="D359" s="2" t="s">
        <v>42</v>
      </c>
      <c r="E359" s="2">
        <v>125</v>
      </c>
      <c r="F359" s="2">
        <v>2444.53</v>
      </c>
    </row>
    <row r="360" spans="3:6" x14ac:dyDescent="0.25">
      <c r="C360" s="2" t="s">
        <v>8593</v>
      </c>
      <c r="D360" s="2" t="s">
        <v>42</v>
      </c>
      <c r="E360" s="2">
        <v>103</v>
      </c>
      <c r="F360" s="2">
        <v>2106.86</v>
      </c>
    </row>
    <row r="361" spans="3:6" x14ac:dyDescent="0.25">
      <c r="C361" s="2" t="s">
        <v>8594</v>
      </c>
      <c r="D361" s="2" t="s">
        <v>42</v>
      </c>
      <c r="E361" s="2">
        <v>92</v>
      </c>
      <c r="F361" s="2">
        <v>1907.66</v>
      </c>
    </row>
    <row r="362" spans="3:6" x14ac:dyDescent="0.25">
      <c r="C362" s="2" t="s">
        <v>8595</v>
      </c>
      <c r="D362" s="2" t="s">
        <v>42</v>
      </c>
      <c r="E362" s="2">
        <v>98</v>
      </c>
      <c r="F362" s="2">
        <v>1920.589</v>
      </c>
    </row>
    <row r="363" spans="3:6" x14ac:dyDescent="0.25">
      <c r="C363" s="2" t="s">
        <v>8596</v>
      </c>
      <c r="D363" s="2" t="s">
        <v>42</v>
      </c>
      <c r="E363" s="2">
        <v>141</v>
      </c>
      <c r="F363" s="2">
        <v>2829.263</v>
      </c>
    </row>
    <row r="364" spans="3:6" x14ac:dyDescent="0.25">
      <c r="C364" s="2" t="s">
        <v>8597</v>
      </c>
      <c r="D364" s="2" t="s">
        <v>42</v>
      </c>
      <c r="E364" s="2">
        <v>141</v>
      </c>
      <c r="F364" s="2">
        <v>2837.87</v>
      </c>
    </row>
    <row r="365" spans="3:6" x14ac:dyDescent="0.25">
      <c r="C365" s="2" t="s">
        <v>8598</v>
      </c>
      <c r="D365" s="2" t="s">
        <v>42</v>
      </c>
      <c r="E365" s="2">
        <v>141</v>
      </c>
      <c r="F365" s="2">
        <v>2840.029</v>
      </c>
    </row>
    <row r="366" spans="3:6" x14ac:dyDescent="0.25">
      <c r="C366" s="2" t="s">
        <v>8599</v>
      </c>
      <c r="D366" s="2" t="s">
        <v>42</v>
      </c>
      <c r="E366" s="2">
        <v>141</v>
      </c>
      <c r="F366" s="2">
        <v>2785.47</v>
      </c>
    </row>
    <row r="367" spans="3:6" x14ac:dyDescent="0.25">
      <c r="C367" s="2" t="s">
        <v>8600</v>
      </c>
      <c r="D367" s="2" t="s">
        <v>42</v>
      </c>
      <c r="E367" s="2">
        <v>121</v>
      </c>
      <c r="F367" s="2">
        <v>1992.89</v>
      </c>
    </row>
    <row r="368" spans="3:6" x14ac:dyDescent="0.25">
      <c r="C368" s="2" t="s">
        <v>8601</v>
      </c>
      <c r="D368" s="2" t="s">
        <v>42</v>
      </c>
      <c r="E368" s="2">
        <v>80</v>
      </c>
      <c r="F368" s="2">
        <v>1675.59</v>
      </c>
    </row>
    <row r="369" spans="3:6" x14ac:dyDescent="0.25">
      <c r="C369" s="2" t="s">
        <v>8602</v>
      </c>
      <c r="D369" s="2" t="s">
        <v>42</v>
      </c>
      <c r="E369" s="2">
        <v>100</v>
      </c>
      <c r="F369" s="2">
        <v>1976.89</v>
      </c>
    </row>
    <row r="370" spans="3:6" x14ac:dyDescent="0.25">
      <c r="C370" s="2" t="s">
        <v>8603</v>
      </c>
      <c r="D370" s="2" t="s">
        <v>42</v>
      </c>
      <c r="E370" s="2">
        <v>71</v>
      </c>
      <c r="F370" s="2">
        <v>1381.06</v>
      </c>
    </row>
    <row r="371" spans="3:6" x14ac:dyDescent="0.25">
      <c r="C371" s="2" t="s">
        <v>8604</v>
      </c>
      <c r="D371" s="2" t="s">
        <v>42</v>
      </c>
      <c r="E371" s="2">
        <v>82</v>
      </c>
      <c r="F371" s="2">
        <v>1561.364</v>
      </c>
    </row>
    <row r="372" spans="3:6" x14ac:dyDescent="0.25">
      <c r="C372" s="2" t="s">
        <v>8604</v>
      </c>
      <c r="D372" s="2" t="s">
        <v>42</v>
      </c>
      <c r="E372" s="2">
        <v>82</v>
      </c>
      <c r="F372" s="2">
        <v>1561.364</v>
      </c>
    </row>
    <row r="373" spans="3:6" x14ac:dyDescent="0.25">
      <c r="C373" s="2" t="s">
        <v>8605</v>
      </c>
      <c r="D373" s="2" t="s">
        <v>42</v>
      </c>
      <c r="E373" s="2">
        <v>61</v>
      </c>
      <c r="F373" s="2">
        <v>1248.428</v>
      </c>
    </row>
    <row r="374" spans="3:6" x14ac:dyDescent="0.25">
      <c r="C374" s="2" t="s">
        <v>8605</v>
      </c>
      <c r="D374" s="2" t="s">
        <v>42</v>
      </c>
      <c r="E374" s="2">
        <v>61</v>
      </c>
      <c r="F374" s="2">
        <v>1248.428</v>
      </c>
    </row>
    <row r="375" spans="3:6" x14ac:dyDescent="0.25">
      <c r="C375" s="2" t="s">
        <v>8606</v>
      </c>
      <c r="D375" s="2" t="s">
        <v>42</v>
      </c>
      <c r="E375" s="2">
        <v>10</v>
      </c>
      <c r="F375" s="2">
        <v>228.79</v>
      </c>
    </row>
    <row r="376" spans="3:6" x14ac:dyDescent="0.25">
      <c r="C376" s="2" t="s">
        <v>8607</v>
      </c>
      <c r="D376" s="2" t="s">
        <v>42</v>
      </c>
      <c r="E376" s="2">
        <v>65</v>
      </c>
      <c r="F376" s="2">
        <v>1365.11</v>
      </c>
    </row>
    <row r="377" spans="3:6" x14ac:dyDescent="0.25">
      <c r="C377" s="2" t="s">
        <v>8608</v>
      </c>
      <c r="D377" s="2" t="s">
        <v>42</v>
      </c>
      <c r="E377" s="2">
        <v>45</v>
      </c>
      <c r="F377" s="2">
        <v>228.5</v>
      </c>
    </row>
    <row r="378" spans="3:6" x14ac:dyDescent="0.25">
      <c r="C378" s="2" t="s">
        <v>8609</v>
      </c>
      <c r="D378" s="2" t="s">
        <v>42</v>
      </c>
      <c r="E378" s="2">
        <v>60</v>
      </c>
      <c r="F378" s="2">
        <v>317.12</v>
      </c>
    </row>
    <row r="379" spans="3:6" x14ac:dyDescent="0.25">
      <c r="C379" s="2" t="s">
        <v>8610</v>
      </c>
      <c r="D379" s="2" t="s">
        <v>42</v>
      </c>
      <c r="E379" s="2">
        <v>45</v>
      </c>
      <c r="F379" s="2">
        <v>235.34</v>
      </c>
    </row>
    <row r="380" spans="3:6" x14ac:dyDescent="0.25">
      <c r="C380" s="2" t="s">
        <v>8611</v>
      </c>
      <c r="D380" s="2" t="s">
        <v>42</v>
      </c>
      <c r="E380" s="2">
        <v>50</v>
      </c>
      <c r="F380" s="2">
        <v>256.12</v>
      </c>
    </row>
    <row r="381" spans="3:6" x14ac:dyDescent="0.25">
      <c r="C381" s="2" t="s">
        <v>8612</v>
      </c>
      <c r="D381" s="2" t="s">
        <v>42</v>
      </c>
      <c r="E381" s="2">
        <v>46</v>
      </c>
      <c r="F381" s="2">
        <v>644.671</v>
      </c>
    </row>
    <row r="382" spans="3:6" x14ac:dyDescent="0.25">
      <c r="C382" s="2" t="s">
        <v>8613</v>
      </c>
      <c r="D382" s="2" t="s">
        <v>42</v>
      </c>
      <c r="E382" s="2">
        <v>17</v>
      </c>
      <c r="F382" s="2">
        <v>363.46</v>
      </c>
    </row>
    <row r="383" spans="3:6" x14ac:dyDescent="0.25">
      <c r="C383" s="2" t="s">
        <v>8614</v>
      </c>
      <c r="D383" s="2" t="s">
        <v>42</v>
      </c>
      <c r="E383" s="2">
        <v>43</v>
      </c>
      <c r="F383" s="2">
        <v>870.066</v>
      </c>
    </row>
    <row r="384" spans="3:6" x14ac:dyDescent="0.25">
      <c r="C384" s="2" t="s">
        <v>8615</v>
      </c>
      <c r="D384" s="2" t="s">
        <v>42</v>
      </c>
      <c r="E384" s="2">
        <v>49</v>
      </c>
      <c r="F384" s="2">
        <v>959.03</v>
      </c>
    </row>
    <row r="385" spans="3:6" x14ac:dyDescent="0.25">
      <c r="C385" s="2" t="s">
        <v>8616</v>
      </c>
      <c r="D385" s="2" t="s">
        <v>42</v>
      </c>
      <c r="E385" s="2">
        <v>29</v>
      </c>
      <c r="F385" s="2">
        <v>561.89</v>
      </c>
    </row>
    <row r="386" spans="3:6" x14ac:dyDescent="0.25">
      <c r="C386" s="2" t="s">
        <v>8617</v>
      </c>
      <c r="D386" s="2" t="s">
        <v>42</v>
      </c>
      <c r="E386" s="2">
        <v>38</v>
      </c>
      <c r="F386" s="2">
        <v>682.25</v>
      </c>
    </row>
    <row r="387" spans="3:6" x14ac:dyDescent="0.25">
      <c r="C387" s="2" t="s">
        <v>8618</v>
      </c>
      <c r="D387" s="2" t="s">
        <v>42</v>
      </c>
      <c r="E387" s="2">
        <v>51</v>
      </c>
      <c r="F387" s="2">
        <v>1028.04</v>
      </c>
    </row>
    <row r="388" spans="3:6" x14ac:dyDescent="0.25">
      <c r="C388" s="2" t="s">
        <v>8619</v>
      </c>
      <c r="D388" s="2" t="s">
        <v>42</v>
      </c>
      <c r="E388" s="2">
        <v>16</v>
      </c>
      <c r="F388" s="2">
        <v>340.9</v>
      </c>
    </row>
    <row r="389" spans="3:6" x14ac:dyDescent="0.25">
      <c r="C389" s="2" t="s">
        <v>8620</v>
      </c>
      <c r="D389" s="2" t="s">
        <v>42</v>
      </c>
      <c r="E389" s="2">
        <v>12</v>
      </c>
      <c r="F389" s="2">
        <v>193.69</v>
      </c>
    </row>
    <row r="390" spans="3:6" x14ac:dyDescent="0.25">
      <c r="C390" s="2" t="s">
        <v>8621</v>
      </c>
      <c r="D390" s="2" t="s">
        <v>42</v>
      </c>
      <c r="E390" s="2">
        <v>15</v>
      </c>
      <c r="F390" s="2">
        <v>291.07</v>
      </c>
    </row>
    <row r="391" spans="3:6" x14ac:dyDescent="0.25">
      <c r="C391" s="2" t="s">
        <v>8622</v>
      </c>
      <c r="D391" s="2" t="s">
        <v>42</v>
      </c>
      <c r="E391" s="2">
        <v>42</v>
      </c>
      <c r="F391" s="2">
        <v>892.34</v>
      </c>
    </row>
    <row r="392" spans="3:6" x14ac:dyDescent="0.25">
      <c r="C392" s="2" t="s">
        <v>8623</v>
      </c>
      <c r="D392" s="2" t="s">
        <v>42</v>
      </c>
      <c r="E392" s="2">
        <v>60</v>
      </c>
      <c r="F392" s="2">
        <v>1348.061</v>
      </c>
    </row>
    <row r="393" spans="3:6" x14ac:dyDescent="0.25">
      <c r="C393" s="2" t="s">
        <v>8624</v>
      </c>
      <c r="D393" s="2" t="s">
        <v>42</v>
      </c>
      <c r="E393" s="2">
        <v>18</v>
      </c>
      <c r="F393" s="2">
        <v>405.59</v>
      </c>
    </row>
    <row r="394" spans="3:6" x14ac:dyDescent="0.25">
      <c r="C394" s="2" t="s">
        <v>8625</v>
      </c>
      <c r="D394" s="2" t="s">
        <v>42</v>
      </c>
      <c r="E394" s="2">
        <v>18</v>
      </c>
      <c r="F394" s="2">
        <v>388.15</v>
      </c>
    </row>
    <row r="395" spans="3:6" x14ac:dyDescent="0.25">
      <c r="C395" s="2" t="s">
        <v>8625</v>
      </c>
      <c r="D395" s="2" t="s">
        <v>42</v>
      </c>
      <c r="E395" s="2">
        <v>18</v>
      </c>
      <c r="F395" s="2">
        <v>388.15</v>
      </c>
    </row>
    <row r="396" spans="3:6" x14ac:dyDescent="0.25">
      <c r="C396" s="2" t="s">
        <v>8626</v>
      </c>
      <c r="D396" s="2" t="s">
        <v>42</v>
      </c>
      <c r="E396" s="2">
        <v>39</v>
      </c>
      <c r="F396" s="2">
        <v>917.04</v>
      </c>
    </row>
    <row r="397" spans="3:6" x14ac:dyDescent="0.25">
      <c r="C397" s="2" t="s">
        <v>8626</v>
      </c>
      <c r="D397" s="2" t="s">
        <v>42</v>
      </c>
      <c r="E397" s="2">
        <v>39</v>
      </c>
      <c r="F397" s="2">
        <v>917.04</v>
      </c>
    </row>
    <row r="398" spans="3:6" x14ac:dyDescent="0.25">
      <c r="C398" s="2" t="s">
        <v>8627</v>
      </c>
      <c r="D398" s="2" t="s">
        <v>42</v>
      </c>
      <c r="E398" s="2">
        <v>11</v>
      </c>
      <c r="F398" s="2">
        <v>157.52</v>
      </c>
    </row>
    <row r="399" spans="3:6" x14ac:dyDescent="0.25">
      <c r="C399" s="2" t="s">
        <v>8627</v>
      </c>
      <c r="D399" s="2" t="s">
        <v>42</v>
      </c>
      <c r="E399" s="2">
        <v>11</v>
      </c>
      <c r="F399" s="2">
        <v>157.52</v>
      </c>
    </row>
    <row r="400" spans="3:6" x14ac:dyDescent="0.25">
      <c r="C400" s="2" t="s">
        <v>8628</v>
      </c>
      <c r="D400" s="2" t="s">
        <v>42</v>
      </c>
      <c r="E400" s="2">
        <v>15</v>
      </c>
      <c r="F400" s="2">
        <v>261.36</v>
      </c>
    </row>
    <row r="401" spans="3:6" x14ac:dyDescent="0.25">
      <c r="C401" s="2" t="s">
        <v>8628</v>
      </c>
      <c r="D401" s="2" t="s">
        <v>42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10</v>
      </c>
      <c r="C403" s="2" t="s">
        <v>8629</v>
      </c>
      <c r="D403" s="2" t="s">
        <v>12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8630</v>
      </c>
      <c r="D404" s="2" t="s">
        <v>12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212</v>
      </c>
      <c r="C406" s="2" t="s">
        <v>8631</v>
      </c>
      <c r="D406" s="2" t="s">
        <v>204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8632</v>
      </c>
      <c r="D407" s="2" t="s">
        <v>236</v>
      </c>
      <c r="E407" s="2">
        <v>45</v>
      </c>
      <c r="F407" s="2">
        <v>798.88</v>
      </c>
    </row>
    <row r="408" spans="3:6" x14ac:dyDescent="0.25">
      <c r="C408" s="2" t="s">
        <v>8633</v>
      </c>
      <c r="D408" s="2" t="s">
        <v>236</v>
      </c>
      <c r="E408" s="2">
        <v>60</v>
      </c>
      <c r="F408" s="2">
        <v>1105.53</v>
      </c>
    </row>
    <row r="409" spans="3:6" x14ac:dyDescent="0.25">
      <c r="C409" s="2" t="s">
        <v>8634</v>
      </c>
      <c r="D409" s="2" t="s">
        <v>214</v>
      </c>
      <c r="E409" s="2">
        <v>56</v>
      </c>
      <c r="F409" s="2">
        <v>1115.24</v>
      </c>
    </row>
    <row r="410" spans="3:6" x14ac:dyDescent="0.25">
      <c r="C410" s="2" t="s">
        <v>8635</v>
      </c>
      <c r="D410" s="2" t="s">
        <v>214</v>
      </c>
      <c r="E410" s="2">
        <v>100</v>
      </c>
      <c r="F410" s="2">
        <v>1917.768</v>
      </c>
    </row>
    <row r="411" spans="3:6" x14ac:dyDescent="0.25">
      <c r="C411" s="2" t="s">
        <v>8636</v>
      </c>
      <c r="D411" s="2" t="s">
        <v>214</v>
      </c>
      <c r="E411" s="2">
        <v>56</v>
      </c>
      <c r="F411" s="2">
        <v>1044.582</v>
      </c>
    </row>
    <row r="412" spans="3:6" x14ac:dyDescent="0.25">
      <c r="C412" s="2" t="s">
        <v>8637</v>
      </c>
      <c r="D412" s="2" t="s">
        <v>214</v>
      </c>
      <c r="E412" s="2">
        <v>100</v>
      </c>
      <c r="F412" s="2">
        <v>1918.739</v>
      </c>
    </row>
    <row r="413" spans="3:6" x14ac:dyDescent="0.25">
      <c r="C413" s="2" t="s">
        <v>8638</v>
      </c>
      <c r="D413" s="2" t="s">
        <v>216</v>
      </c>
      <c r="E413" s="2">
        <v>163</v>
      </c>
      <c r="F413" s="2">
        <v>3068.71</v>
      </c>
    </row>
    <row r="414" spans="3:6" x14ac:dyDescent="0.25">
      <c r="C414" s="2" t="s">
        <v>8639</v>
      </c>
      <c r="D414" s="2" t="s">
        <v>216</v>
      </c>
      <c r="E414" s="2">
        <v>163</v>
      </c>
      <c r="F414" s="2">
        <v>3213.159</v>
      </c>
    </row>
    <row r="415" spans="3:6" x14ac:dyDescent="0.25">
      <c r="C415" s="2" t="s">
        <v>8640</v>
      </c>
      <c r="D415" s="2" t="s">
        <v>236</v>
      </c>
      <c r="E415" s="2">
        <v>80</v>
      </c>
      <c r="F415" s="2">
        <v>1577.91</v>
      </c>
    </row>
    <row r="416" spans="3:6" x14ac:dyDescent="0.25">
      <c r="C416" s="2" t="s">
        <v>8641</v>
      </c>
      <c r="D416" s="2" t="s">
        <v>236</v>
      </c>
      <c r="E416" s="2">
        <v>25</v>
      </c>
      <c r="F416" s="2">
        <v>484.52</v>
      </c>
    </row>
    <row r="417" spans="3:6" x14ac:dyDescent="0.25">
      <c r="C417" s="2" t="s">
        <v>8642</v>
      </c>
      <c r="D417" s="2" t="s">
        <v>204</v>
      </c>
      <c r="E417" s="2">
        <v>105</v>
      </c>
      <c r="F417" s="2">
        <v>2035.78</v>
      </c>
    </row>
    <row r="418" spans="3:6" x14ac:dyDescent="0.25">
      <c r="C418" s="2" t="s">
        <v>8643</v>
      </c>
      <c r="D418" s="2" t="s">
        <v>204</v>
      </c>
      <c r="E418" s="2">
        <v>105</v>
      </c>
      <c r="F418" s="2">
        <v>2011.699</v>
      </c>
    </row>
    <row r="419" spans="3:6" x14ac:dyDescent="0.25">
      <c r="C419" s="2" t="s">
        <v>8644</v>
      </c>
      <c r="D419" s="2" t="s">
        <v>204</v>
      </c>
      <c r="E419" s="2">
        <v>105</v>
      </c>
      <c r="F419" s="2">
        <v>2084.218</v>
      </c>
    </row>
    <row r="420" spans="3:6" x14ac:dyDescent="0.25">
      <c r="C420" s="2" t="s">
        <v>8645</v>
      </c>
      <c r="D420" s="2" t="s">
        <v>204</v>
      </c>
      <c r="E420" s="2">
        <v>105</v>
      </c>
      <c r="F420" s="2">
        <v>1873.39</v>
      </c>
    </row>
    <row r="421" spans="3:6" x14ac:dyDescent="0.25">
      <c r="C421" s="2" t="s">
        <v>8646</v>
      </c>
      <c r="D421" s="2" t="s">
        <v>204</v>
      </c>
      <c r="E421" s="2">
        <v>163</v>
      </c>
      <c r="F421" s="2">
        <v>3126.887</v>
      </c>
    </row>
    <row r="422" spans="3:6" x14ac:dyDescent="0.25">
      <c r="C422" s="2" t="s">
        <v>8647</v>
      </c>
      <c r="D422" s="2" t="s">
        <v>214</v>
      </c>
      <c r="E422" s="2">
        <v>56</v>
      </c>
      <c r="F422" s="2">
        <v>1120.68</v>
      </c>
    </row>
    <row r="423" spans="3:6" x14ac:dyDescent="0.25">
      <c r="C423" s="2" t="s">
        <v>8648</v>
      </c>
      <c r="D423" s="2" t="s">
        <v>204</v>
      </c>
      <c r="E423" s="2">
        <v>163</v>
      </c>
      <c r="F423" s="2">
        <v>2997.25</v>
      </c>
    </row>
    <row r="424" spans="3:6" x14ac:dyDescent="0.25">
      <c r="C424" s="2" t="s">
        <v>8649</v>
      </c>
      <c r="D424" s="2" t="s">
        <v>204</v>
      </c>
      <c r="E424" s="2">
        <v>163</v>
      </c>
      <c r="F424" s="2">
        <v>3127.8</v>
      </c>
    </row>
    <row r="425" spans="3:6" x14ac:dyDescent="0.25">
      <c r="C425" s="2" t="s">
        <v>8650</v>
      </c>
      <c r="D425" s="2" t="s">
        <v>204</v>
      </c>
      <c r="E425" s="2">
        <v>163</v>
      </c>
      <c r="F425" s="2">
        <v>3193.708</v>
      </c>
    </row>
    <row r="426" spans="3:6" x14ac:dyDescent="0.25">
      <c r="C426" s="2" t="s">
        <v>8651</v>
      </c>
      <c r="D426" s="2" t="s">
        <v>204</v>
      </c>
      <c r="E426" s="2">
        <v>163</v>
      </c>
      <c r="F426" s="2">
        <v>3167.999</v>
      </c>
    </row>
    <row r="427" spans="3:6" x14ac:dyDescent="0.25">
      <c r="C427" s="2" t="s">
        <v>8652</v>
      </c>
      <c r="D427" s="2" t="s">
        <v>204</v>
      </c>
      <c r="E427" s="2">
        <v>163</v>
      </c>
      <c r="F427" s="2">
        <v>3203.44</v>
      </c>
    </row>
    <row r="428" spans="3:6" x14ac:dyDescent="0.25">
      <c r="C428" s="2" t="s">
        <v>8653</v>
      </c>
      <c r="D428" s="2" t="s">
        <v>214</v>
      </c>
      <c r="E428" s="2">
        <v>56</v>
      </c>
      <c r="F428" s="2">
        <v>1142.403</v>
      </c>
    </row>
    <row r="429" spans="3:6" x14ac:dyDescent="0.25">
      <c r="C429" s="2" t="s">
        <v>8654</v>
      </c>
      <c r="D429" s="2" t="s">
        <v>214</v>
      </c>
      <c r="E429" s="2">
        <v>100</v>
      </c>
      <c r="F429" s="2">
        <v>1878.889</v>
      </c>
    </row>
    <row r="430" spans="3:6" x14ac:dyDescent="0.25">
      <c r="C430" s="2" t="s">
        <v>8655</v>
      </c>
      <c r="D430" s="2" t="s">
        <v>214</v>
      </c>
      <c r="E430" s="2">
        <v>56</v>
      </c>
      <c r="F430" s="2">
        <v>1087.509</v>
      </c>
    </row>
    <row r="431" spans="3:6" x14ac:dyDescent="0.25">
      <c r="C431" s="2" t="s">
        <v>8656</v>
      </c>
      <c r="D431" s="2" t="s">
        <v>214</v>
      </c>
      <c r="E431" s="2">
        <v>100</v>
      </c>
      <c r="F431" s="2">
        <v>1873.351</v>
      </c>
    </row>
    <row r="432" spans="3:6" x14ac:dyDescent="0.25">
      <c r="C432" s="2" t="s">
        <v>8657</v>
      </c>
      <c r="D432" s="2" t="s">
        <v>214</v>
      </c>
      <c r="E432" s="2">
        <v>100</v>
      </c>
      <c r="F432" s="2">
        <v>2035.538</v>
      </c>
    </row>
    <row r="433" spans="3:6" x14ac:dyDescent="0.25">
      <c r="C433" s="2" t="s">
        <v>8658</v>
      </c>
      <c r="D433" s="2" t="s">
        <v>216</v>
      </c>
      <c r="E433" s="2">
        <v>134</v>
      </c>
      <c r="F433" s="2">
        <v>2661.899</v>
      </c>
    </row>
    <row r="434" spans="3:6" x14ac:dyDescent="0.25">
      <c r="C434" s="2" t="s">
        <v>8659</v>
      </c>
      <c r="D434" s="2" t="s">
        <v>216</v>
      </c>
      <c r="E434" s="2">
        <v>134</v>
      </c>
      <c r="F434" s="2">
        <v>2614.22</v>
      </c>
    </row>
    <row r="435" spans="3:6" x14ac:dyDescent="0.25">
      <c r="C435" s="2" t="s">
        <v>8660</v>
      </c>
      <c r="D435" s="2" t="s">
        <v>216</v>
      </c>
      <c r="E435" s="2">
        <v>134</v>
      </c>
      <c r="F435" s="2">
        <v>2786.83</v>
      </c>
    </row>
    <row r="436" spans="3:6" x14ac:dyDescent="0.25">
      <c r="C436" s="2" t="s">
        <v>8661</v>
      </c>
      <c r="D436" s="2" t="s">
        <v>216</v>
      </c>
      <c r="E436" s="2">
        <v>134</v>
      </c>
      <c r="F436" s="2">
        <v>2632.16</v>
      </c>
    </row>
    <row r="437" spans="3:6" x14ac:dyDescent="0.25">
      <c r="C437" s="2" t="s">
        <v>8662</v>
      </c>
      <c r="D437" s="2" t="s">
        <v>216</v>
      </c>
      <c r="E437" s="2">
        <v>134</v>
      </c>
      <c r="F437" s="2">
        <v>2710.24</v>
      </c>
    </row>
    <row r="438" spans="3:6" x14ac:dyDescent="0.25">
      <c r="C438" s="2" t="s">
        <v>8663</v>
      </c>
      <c r="D438" s="2" t="s">
        <v>216</v>
      </c>
      <c r="E438" s="2">
        <v>134</v>
      </c>
      <c r="F438" s="2">
        <v>2732.44</v>
      </c>
    </row>
    <row r="439" spans="3:6" x14ac:dyDescent="0.25">
      <c r="C439" s="2" t="s">
        <v>8664</v>
      </c>
      <c r="D439" s="2" t="s">
        <v>204</v>
      </c>
      <c r="E439" s="2">
        <v>163</v>
      </c>
      <c r="F439" s="2">
        <v>3057.918</v>
      </c>
    </row>
    <row r="440" spans="3:6" x14ac:dyDescent="0.25">
      <c r="C440" s="2" t="s">
        <v>8665</v>
      </c>
      <c r="D440" s="2" t="s">
        <v>204</v>
      </c>
      <c r="E440" s="2">
        <v>163</v>
      </c>
      <c r="F440" s="2">
        <v>3110.23</v>
      </c>
    </row>
    <row r="441" spans="3:6" x14ac:dyDescent="0.25">
      <c r="C441" s="2" t="s">
        <v>8666</v>
      </c>
      <c r="D441" s="2" t="s">
        <v>204</v>
      </c>
      <c r="E441" s="2">
        <v>34</v>
      </c>
      <c r="F441" s="2">
        <v>644</v>
      </c>
    </row>
    <row r="443" spans="2:7" x14ac:dyDescent="0.25">
      <c r="B443" s="2" t="s">
        <v>2077</v>
      </c>
      <c r="C443" s="2" t="s">
        <v>8667</v>
      </c>
      <c r="D443" s="2" t="s">
        <v>214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8668</v>
      </c>
      <c r="D444" s="2" t="s">
        <v>216</v>
      </c>
      <c r="E444" s="2">
        <v>156</v>
      </c>
      <c r="F444" s="2">
        <v>2887.459</v>
      </c>
    </row>
    <row r="445" spans="3:6" x14ac:dyDescent="0.25">
      <c r="C445" s="2" t="s">
        <v>8669</v>
      </c>
      <c r="D445" s="2" t="s">
        <v>216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1101</v>
      </c>
      <c r="C447" s="2" t="s">
        <v>8670</v>
      </c>
      <c r="D447" s="2" t="s">
        <v>20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8671</v>
      </c>
      <c r="D448" s="2" t="s">
        <v>20</v>
      </c>
      <c r="E448" s="2">
        <v>252</v>
      </c>
      <c r="F448" s="2">
        <v>3905.748</v>
      </c>
    </row>
    <row r="449" spans="3:6" x14ac:dyDescent="0.25">
      <c r="C449" s="2" t="s">
        <v>8672</v>
      </c>
      <c r="D449" s="2" t="s">
        <v>20</v>
      </c>
      <c r="E449" s="2">
        <v>138</v>
      </c>
      <c r="F449" s="2">
        <v>2819.6</v>
      </c>
    </row>
    <row r="450" spans="3:6" x14ac:dyDescent="0.25">
      <c r="C450" s="2" t="s">
        <v>8673</v>
      </c>
      <c r="D450" s="2" t="s">
        <v>20</v>
      </c>
      <c r="E450" s="2">
        <v>163</v>
      </c>
      <c r="F450" s="2">
        <v>3082.139</v>
      </c>
    </row>
    <row r="451" spans="3:6" x14ac:dyDescent="0.25">
      <c r="C451" s="2" t="s">
        <v>8674</v>
      </c>
      <c r="D451" s="2" t="s">
        <v>20</v>
      </c>
      <c r="E451" s="2">
        <v>163</v>
      </c>
      <c r="F451" s="2">
        <v>2993.848</v>
      </c>
    </row>
    <row r="452" spans="3:6" x14ac:dyDescent="0.25">
      <c r="C452" s="2" t="s">
        <v>8675</v>
      </c>
      <c r="D452" s="2" t="s">
        <v>20</v>
      </c>
      <c r="E452" s="2">
        <v>163</v>
      </c>
      <c r="F452" s="2">
        <v>3121.366</v>
      </c>
    </row>
    <row r="453" spans="3:6" x14ac:dyDescent="0.25">
      <c r="C453" s="2" t="s">
        <v>8676</v>
      </c>
      <c r="D453" s="2" t="s">
        <v>20</v>
      </c>
      <c r="E453" s="2">
        <v>105</v>
      </c>
      <c r="F453" s="2">
        <v>2254.31</v>
      </c>
    </row>
    <row r="454" spans="3:6" x14ac:dyDescent="0.25">
      <c r="C454" s="2" t="s">
        <v>8677</v>
      </c>
      <c r="D454" s="2" t="s">
        <v>20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335</v>
      </c>
      <c r="C456" s="2" t="s">
        <v>8678</v>
      </c>
      <c r="D456" s="2" t="s">
        <v>20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8679</v>
      </c>
      <c r="D457" s="2" t="s">
        <v>20</v>
      </c>
      <c r="E457" s="2">
        <v>142</v>
      </c>
      <c r="F457" s="2">
        <v>3021.48</v>
      </c>
    </row>
    <row r="458" spans="3:6" x14ac:dyDescent="0.25">
      <c r="C458" s="2" t="s">
        <v>8680</v>
      </c>
      <c r="D458" s="2" t="s">
        <v>20</v>
      </c>
      <c r="E458" s="2">
        <v>142</v>
      </c>
      <c r="F458" s="2">
        <v>3017.04</v>
      </c>
    </row>
    <row r="459" spans="3:6" x14ac:dyDescent="0.25">
      <c r="C459" s="2" t="s">
        <v>8681</v>
      </c>
      <c r="D459" s="2" t="s">
        <v>20</v>
      </c>
      <c r="E459" s="2">
        <v>142</v>
      </c>
      <c r="F459" s="2">
        <v>2976.92</v>
      </c>
    </row>
    <row r="460" spans="3:6" x14ac:dyDescent="0.25">
      <c r="C460" s="2" t="s">
        <v>8682</v>
      </c>
      <c r="D460" s="2" t="s">
        <v>20</v>
      </c>
      <c r="E460" s="2">
        <v>149</v>
      </c>
      <c r="F460" s="2">
        <v>2752.2</v>
      </c>
    </row>
    <row r="461" spans="3:6" x14ac:dyDescent="0.25">
      <c r="C461" s="2" t="s">
        <v>8683</v>
      </c>
      <c r="D461" s="2" t="s">
        <v>20</v>
      </c>
      <c r="E461" s="2">
        <v>149</v>
      </c>
      <c r="F461" s="2">
        <v>2883.66</v>
      </c>
    </row>
    <row r="462" spans="3:6" x14ac:dyDescent="0.25">
      <c r="C462" s="2" t="s">
        <v>8684</v>
      </c>
      <c r="D462" s="2" t="s">
        <v>20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10</v>
      </c>
      <c r="C464" s="2" t="s">
        <v>8685</v>
      </c>
      <c r="D464" s="2" t="s">
        <v>12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8686</v>
      </c>
      <c r="D465" s="2" t="s">
        <v>12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1286</v>
      </c>
      <c r="C467" s="2" t="s">
        <v>8687</v>
      </c>
      <c r="D467" s="2" t="s">
        <v>1288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8688</v>
      </c>
      <c r="D468" s="2" t="s">
        <v>1288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8689</v>
      </c>
      <c r="C470" s="2" t="s">
        <v>8690</v>
      </c>
      <c r="D470" s="2" t="s">
        <v>20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8691</v>
      </c>
      <c r="D471" s="2" t="s">
        <v>20</v>
      </c>
      <c r="E471" s="2">
        <v>235</v>
      </c>
      <c r="F471" s="2">
        <v>4006.926</v>
      </c>
    </row>
    <row r="472" spans="3:6" x14ac:dyDescent="0.25">
      <c r="C472" s="2" t="s">
        <v>8692</v>
      </c>
      <c r="D472" s="2" t="s">
        <v>20</v>
      </c>
      <c r="E472" s="2">
        <v>282</v>
      </c>
      <c r="F472" s="2">
        <v>5734.731</v>
      </c>
    </row>
    <row r="473" spans="3:6" x14ac:dyDescent="0.25">
      <c r="C473" s="2" t="s">
        <v>8693</v>
      </c>
      <c r="D473" s="2" t="s">
        <v>20</v>
      </c>
      <c r="E473" s="2">
        <v>268</v>
      </c>
      <c r="F473" s="2">
        <v>5105.62</v>
      </c>
    </row>
    <row r="474" spans="3:6" x14ac:dyDescent="0.25">
      <c r="C474" s="2" t="s">
        <v>8694</v>
      </c>
      <c r="D474" s="2" t="s">
        <v>20</v>
      </c>
      <c r="E474" s="2">
        <v>105</v>
      </c>
      <c r="F474" s="2">
        <v>2049.5</v>
      </c>
    </row>
    <row r="475" spans="3:6" x14ac:dyDescent="0.25">
      <c r="C475" s="2" t="s">
        <v>8695</v>
      </c>
      <c r="D475" s="2" t="s">
        <v>20</v>
      </c>
      <c r="E475" s="2">
        <v>105</v>
      </c>
      <c r="F475" s="2">
        <v>2003.379</v>
      </c>
    </row>
    <row r="476" spans="3:6" x14ac:dyDescent="0.25">
      <c r="C476" s="2" t="s">
        <v>8696</v>
      </c>
      <c r="D476" s="2" t="s">
        <v>20</v>
      </c>
      <c r="E476" s="2">
        <v>163</v>
      </c>
      <c r="F476" s="2">
        <v>3077.841</v>
      </c>
    </row>
    <row r="477" spans="3:6" x14ac:dyDescent="0.25">
      <c r="C477" s="2" t="s">
        <v>8697</v>
      </c>
      <c r="D477" s="2" t="s">
        <v>20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324</v>
      </c>
      <c r="C479" s="2" t="s">
        <v>8698</v>
      </c>
      <c r="D479" s="2" t="s">
        <v>27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8699</v>
      </c>
      <c r="D480" s="2" t="s">
        <v>27</v>
      </c>
      <c r="E480" s="2">
        <v>101</v>
      </c>
      <c r="F480" s="2">
        <v>1976.859</v>
      </c>
    </row>
    <row r="481" spans="3:6" x14ac:dyDescent="0.25">
      <c r="C481" s="2" t="s">
        <v>8700</v>
      </c>
      <c r="D481" s="2" t="s">
        <v>27</v>
      </c>
      <c r="E481" s="2">
        <v>42</v>
      </c>
      <c r="F481" s="2">
        <v>757.129</v>
      </c>
    </row>
    <row r="482" spans="3:6" x14ac:dyDescent="0.25">
      <c r="C482" s="2" t="s">
        <v>8701</v>
      </c>
      <c r="D482" s="2" t="s">
        <v>27</v>
      </c>
      <c r="E482" s="2">
        <v>59</v>
      </c>
      <c r="F482" s="2">
        <v>1141.62</v>
      </c>
    </row>
    <row r="483" spans="3:6" x14ac:dyDescent="0.25">
      <c r="C483" s="2" t="s">
        <v>8702</v>
      </c>
      <c r="D483" s="2" t="s">
        <v>27</v>
      </c>
      <c r="E483" s="2">
        <v>32</v>
      </c>
      <c r="F483" s="2">
        <v>562.08</v>
      </c>
    </row>
    <row r="484" spans="3:6" x14ac:dyDescent="0.25">
      <c r="C484" s="2" t="s">
        <v>8703</v>
      </c>
      <c r="D484" s="2" t="s">
        <v>27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2097</v>
      </c>
      <c r="C486" s="2" t="s">
        <v>8704</v>
      </c>
      <c r="D486" s="2" t="s">
        <v>27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8705</v>
      </c>
      <c r="D487" s="2" t="s">
        <v>27</v>
      </c>
      <c r="E487" s="2">
        <v>39</v>
      </c>
      <c r="F487" s="2">
        <v>641.03</v>
      </c>
    </row>
    <row r="488" spans="3:6" x14ac:dyDescent="0.25">
      <c r="C488" s="2" t="s">
        <v>8706</v>
      </c>
      <c r="D488" s="2" t="s">
        <v>27</v>
      </c>
      <c r="E488" s="2">
        <v>90</v>
      </c>
      <c r="F488" s="2">
        <v>1759.779</v>
      </c>
    </row>
    <row r="489" spans="3:6" x14ac:dyDescent="0.25">
      <c r="C489" s="2" t="s">
        <v>8707</v>
      </c>
      <c r="D489" s="2" t="s">
        <v>27</v>
      </c>
      <c r="E489" s="2">
        <v>101</v>
      </c>
      <c r="F489" s="2">
        <v>1987.179</v>
      </c>
    </row>
    <row r="490" spans="3:6" x14ac:dyDescent="0.25">
      <c r="C490" s="2" t="s">
        <v>8708</v>
      </c>
      <c r="D490" s="2" t="s">
        <v>27</v>
      </c>
      <c r="E490" s="2">
        <v>27</v>
      </c>
      <c r="F490" s="2">
        <v>594.09</v>
      </c>
    </row>
    <row r="491" spans="3:6" x14ac:dyDescent="0.25">
      <c r="C491" s="2" t="s">
        <v>8709</v>
      </c>
      <c r="D491" s="2" t="s">
        <v>27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2097</v>
      </c>
      <c r="C493" s="2" t="s">
        <v>8710</v>
      </c>
      <c r="D493" s="2" t="s">
        <v>27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8711</v>
      </c>
      <c r="D494" s="2" t="s">
        <v>27</v>
      </c>
      <c r="E494" s="2">
        <v>97</v>
      </c>
      <c r="F494" s="2">
        <v>1825.95</v>
      </c>
    </row>
    <row r="495" spans="3:6" x14ac:dyDescent="0.25">
      <c r="C495" s="2" t="s">
        <v>8712</v>
      </c>
      <c r="D495" s="2" t="s">
        <v>27</v>
      </c>
      <c r="E495" s="2">
        <v>32</v>
      </c>
      <c r="F495" s="2">
        <v>566.8</v>
      </c>
    </row>
    <row r="496" spans="3:6" x14ac:dyDescent="0.25">
      <c r="C496" s="2" t="s">
        <v>8713</v>
      </c>
      <c r="D496" s="2" t="s">
        <v>27</v>
      </c>
      <c r="E496" s="2">
        <v>9</v>
      </c>
      <c r="F496" s="2">
        <v>184.13</v>
      </c>
    </row>
    <row r="497" spans="3:6" x14ac:dyDescent="0.25">
      <c r="C497" s="2" t="s">
        <v>8714</v>
      </c>
      <c r="D497" s="2" t="s">
        <v>27</v>
      </c>
      <c r="E497" s="2">
        <v>23</v>
      </c>
      <c r="F497" s="2">
        <v>512.6</v>
      </c>
    </row>
    <row r="498" spans="3:6" x14ac:dyDescent="0.25">
      <c r="C498" s="2" t="s">
        <v>8715</v>
      </c>
      <c r="D498" s="2" t="s">
        <v>27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1286</v>
      </c>
      <c r="C500" s="2" t="s">
        <v>8716</v>
      </c>
      <c r="D500" s="2" t="s">
        <v>1288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8717</v>
      </c>
      <c r="D501" s="2" t="s">
        <v>1288</v>
      </c>
      <c r="E501" s="2">
        <v>40</v>
      </c>
      <c r="F501" s="2">
        <v>807.3</v>
      </c>
    </row>
    <row r="502" spans="3:6" x14ac:dyDescent="0.25">
      <c r="C502" s="2" t="s">
        <v>8718</v>
      </c>
      <c r="D502" s="2" t="s">
        <v>1288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120</v>
      </c>
      <c r="C504" s="2" t="s">
        <v>8719</v>
      </c>
      <c r="D504" s="2" t="s">
        <v>122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8720</v>
      </c>
      <c r="D505" s="2" t="s">
        <v>122</v>
      </c>
      <c r="E505" s="2">
        <v>121</v>
      </c>
      <c r="F505" s="2">
        <v>2504.94</v>
      </c>
    </row>
    <row r="506" spans="3:6" x14ac:dyDescent="0.25">
      <c r="C506" s="2" t="s">
        <v>8721</v>
      </c>
      <c r="D506" s="2" t="s">
        <v>122</v>
      </c>
      <c r="E506" s="2">
        <v>121</v>
      </c>
      <c r="F506" s="2">
        <v>2442.64</v>
      </c>
    </row>
    <row r="507" spans="3:6" x14ac:dyDescent="0.25">
      <c r="C507" s="2" t="s">
        <v>8722</v>
      </c>
      <c r="D507" s="2" t="s">
        <v>122</v>
      </c>
      <c r="E507" s="2">
        <v>48</v>
      </c>
      <c r="F507" s="2">
        <v>951.8</v>
      </c>
    </row>
    <row r="508" spans="3:6" x14ac:dyDescent="0.25">
      <c r="C508" s="2" t="s">
        <v>8723</v>
      </c>
      <c r="D508" s="2" t="s">
        <v>122</v>
      </c>
      <c r="E508" s="2">
        <v>30</v>
      </c>
      <c r="F508" s="2">
        <v>576.43</v>
      </c>
    </row>
    <row r="509" spans="3:6" x14ac:dyDescent="0.25">
      <c r="C509" s="2" t="s">
        <v>8724</v>
      </c>
      <c r="D509" s="2" t="s">
        <v>122</v>
      </c>
      <c r="E509" s="2">
        <v>43</v>
      </c>
      <c r="F509" s="2">
        <v>830.05</v>
      </c>
    </row>
    <row r="510" spans="3:6" x14ac:dyDescent="0.25">
      <c r="C510" s="2" t="s">
        <v>8725</v>
      </c>
      <c r="D510" s="2" t="s">
        <v>122</v>
      </c>
      <c r="E510" s="2">
        <v>134</v>
      </c>
      <c r="F510" s="2">
        <v>2698.07</v>
      </c>
    </row>
    <row r="511" spans="3:6" x14ac:dyDescent="0.25">
      <c r="C511" s="2" t="s">
        <v>8726</v>
      </c>
      <c r="D511" s="2" t="s">
        <v>122</v>
      </c>
      <c r="E511" s="2">
        <v>141</v>
      </c>
      <c r="F511" s="2">
        <v>2941.66</v>
      </c>
    </row>
    <row r="512" spans="3:6" x14ac:dyDescent="0.25">
      <c r="C512" s="2" t="s">
        <v>8727</v>
      </c>
      <c r="D512" s="2" t="s">
        <v>122</v>
      </c>
      <c r="E512" s="2">
        <v>141</v>
      </c>
      <c r="F512" s="2">
        <v>2784.099</v>
      </c>
    </row>
    <row r="513" spans="3:6" x14ac:dyDescent="0.25">
      <c r="C513" s="2" t="s">
        <v>8728</v>
      </c>
      <c r="D513" s="2" t="s">
        <v>122</v>
      </c>
      <c r="E513" s="2">
        <v>102</v>
      </c>
      <c r="F513" s="2">
        <v>2123.52</v>
      </c>
    </row>
    <row r="514" spans="3:6" x14ac:dyDescent="0.25">
      <c r="C514" s="2" t="s">
        <v>8729</v>
      </c>
      <c r="D514" s="2" t="s">
        <v>122</v>
      </c>
      <c r="E514" s="2">
        <v>21</v>
      </c>
      <c r="F514" s="2">
        <f>306.16+70.5</f>
        <v>376.66</v>
      </c>
    </row>
    <row r="515" spans="3:6" x14ac:dyDescent="0.25">
      <c r="C515" s="2" t="s">
        <v>8730</v>
      </c>
      <c r="D515" s="2" t="s">
        <v>122</v>
      </c>
      <c r="E515" s="2">
        <v>28</v>
      </c>
      <c r="F515" s="2">
        <f>460.6+31.75</f>
        <v>492.35</v>
      </c>
    </row>
    <row r="516" spans="3:6" x14ac:dyDescent="0.25">
      <c r="C516" s="2" t="s">
        <v>8731</v>
      </c>
      <c r="D516" s="2" t="s">
        <v>122</v>
      </c>
      <c r="E516" s="2">
        <v>28</v>
      </c>
      <c r="F516" s="2">
        <f>20.59+549.15</f>
        <v>569.74</v>
      </c>
    </row>
    <row r="517" spans="3:6" x14ac:dyDescent="0.25">
      <c r="C517" s="2" t="s">
        <v>8732</v>
      </c>
      <c r="D517" s="2" t="s">
        <v>122</v>
      </c>
      <c r="E517" s="2">
        <v>60</v>
      </c>
      <c r="F517" s="2">
        <v>266.25</v>
      </c>
    </row>
    <row r="518" spans="3:6" x14ac:dyDescent="0.25">
      <c r="C518" s="2" t="s">
        <v>8733</v>
      </c>
      <c r="D518" s="2" t="s">
        <v>122</v>
      </c>
      <c r="E518" s="2">
        <v>70</v>
      </c>
      <c r="F518" s="2">
        <v>309.409</v>
      </c>
    </row>
    <row r="519" spans="3:6" x14ac:dyDescent="0.25">
      <c r="C519" s="2" t="s">
        <v>8734</v>
      </c>
      <c r="D519" s="2" t="s">
        <v>122</v>
      </c>
      <c r="E519" s="2">
        <v>48</v>
      </c>
      <c r="F519" s="2">
        <v>892.88</v>
      </c>
    </row>
    <row r="520" spans="3:6" x14ac:dyDescent="0.25">
      <c r="C520" s="2" t="s">
        <v>8735</v>
      </c>
      <c r="D520" s="2" t="s">
        <v>122</v>
      </c>
      <c r="E520" s="2">
        <v>33</v>
      </c>
      <c r="F520" s="2">
        <v>695.14</v>
      </c>
    </row>
    <row r="521" spans="3:6" x14ac:dyDescent="0.25">
      <c r="C521" s="2" t="s">
        <v>8736</v>
      </c>
      <c r="D521" s="2" t="s">
        <v>122</v>
      </c>
      <c r="E521" s="2">
        <v>16</v>
      </c>
      <c r="F521" s="2">
        <v>260.39</v>
      </c>
    </row>
    <row r="522" spans="3:6" x14ac:dyDescent="0.25">
      <c r="C522" s="2" t="s">
        <v>8737</v>
      </c>
      <c r="D522" s="2" t="s">
        <v>122</v>
      </c>
      <c r="E522" s="2">
        <v>44</v>
      </c>
      <c r="F522" s="2">
        <v>883.6</v>
      </c>
    </row>
    <row r="523" spans="3:6" x14ac:dyDescent="0.25">
      <c r="C523" s="2" t="s">
        <v>8738</v>
      </c>
      <c r="D523" s="2" t="s">
        <v>122</v>
      </c>
      <c r="E523" s="2">
        <v>81</v>
      </c>
      <c r="F523" s="2">
        <v>1678.377</v>
      </c>
    </row>
    <row r="524" spans="3:6" x14ac:dyDescent="0.25">
      <c r="C524" s="2" t="s">
        <v>8739</v>
      </c>
      <c r="D524" s="2" t="s">
        <v>122</v>
      </c>
      <c r="E524" s="2">
        <v>61</v>
      </c>
      <c r="F524" s="2">
        <v>1177.322</v>
      </c>
    </row>
    <row r="525" spans="3:6" x14ac:dyDescent="0.25">
      <c r="C525" s="2" t="s">
        <v>8740</v>
      </c>
      <c r="D525" s="2" t="s">
        <v>122</v>
      </c>
      <c r="E525" s="2">
        <v>21</v>
      </c>
      <c r="F525" s="2">
        <v>455.3</v>
      </c>
    </row>
    <row r="526" spans="3:6" x14ac:dyDescent="0.25">
      <c r="C526" s="2" t="s">
        <v>8741</v>
      </c>
      <c r="D526" s="2" t="s">
        <v>122</v>
      </c>
      <c r="E526" s="2">
        <v>81</v>
      </c>
      <c r="F526" s="2">
        <v>1476.209</v>
      </c>
    </row>
    <row r="527" spans="3:6" x14ac:dyDescent="0.25">
      <c r="C527" s="2" t="s">
        <v>8742</v>
      </c>
      <c r="D527" s="2" t="s">
        <v>122</v>
      </c>
      <c r="E527" s="2">
        <v>64</v>
      </c>
      <c r="F527" s="2">
        <v>1245.46</v>
      </c>
    </row>
    <row r="528" spans="3:6" x14ac:dyDescent="0.25">
      <c r="C528" s="2" t="s">
        <v>8743</v>
      </c>
      <c r="D528" s="2" t="s">
        <v>122</v>
      </c>
      <c r="E528" s="2">
        <v>38</v>
      </c>
      <c r="F528" s="2">
        <v>797.24</v>
      </c>
    </row>
    <row r="529" spans="3:6" x14ac:dyDescent="0.25">
      <c r="C529" s="2" t="s">
        <v>8744</v>
      </c>
      <c r="D529" s="2" t="s">
        <v>122</v>
      </c>
      <c r="E529" s="2">
        <v>141</v>
      </c>
      <c r="F529" s="2">
        <v>2808.35</v>
      </c>
    </row>
    <row r="530" spans="3:6" x14ac:dyDescent="0.25">
      <c r="C530" s="2" t="s">
        <v>8745</v>
      </c>
      <c r="D530" s="2" t="s">
        <v>122</v>
      </c>
      <c r="E530" s="2">
        <v>141</v>
      </c>
      <c r="F530" s="2">
        <v>2885.039</v>
      </c>
    </row>
    <row r="531" spans="3:6" x14ac:dyDescent="0.25">
      <c r="C531" s="2" t="s">
        <v>8746</v>
      </c>
      <c r="D531" s="2" t="s">
        <v>122</v>
      </c>
      <c r="E531" s="2">
        <v>141</v>
      </c>
      <c r="F531" s="2">
        <v>3062.72</v>
      </c>
    </row>
    <row r="532" spans="3:6" x14ac:dyDescent="0.25">
      <c r="C532" s="2" t="s">
        <v>8747</v>
      </c>
      <c r="D532" s="2" t="s">
        <v>122</v>
      </c>
      <c r="E532" s="2">
        <v>19</v>
      </c>
      <c r="F532" s="2">
        <f>364.09+39.35</f>
        <v>403.44</v>
      </c>
    </row>
    <row r="533" spans="3:6" x14ac:dyDescent="0.25">
      <c r="C533" s="2" t="s">
        <v>8748</v>
      </c>
      <c r="D533" s="2" t="s">
        <v>122</v>
      </c>
      <c r="E533" s="2">
        <v>21</v>
      </c>
      <c r="F533" s="2">
        <v>444.51</v>
      </c>
    </row>
    <row r="534" spans="3:6" x14ac:dyDescent="0.25">
      <c r="C534" s="2" t="s">
        <v>8749</v>
      </c>
      <c r="D534" s="2" t="s">
        <v>122</v>
      </c>
      <c r="E534" s="2">
        <v>37</v>
      </c>
      <c r="F534" s="2">
        <v>736.2</v>
      </c>
    </row>
    <row r="535" spans="3:6" x14ac:dyDescent="0.25">
      <c r="C535" s="2" t="s">
        <v>8750</v>
      </c>
      <c r="D535" s="2" t="s">
        <v>122</v>
      </c>
      <c r="E535" s="2">
        <v>66</v>
      </c>
      <c r="F535" s="2">
        <v>1336.999</v>
      </c>
    </row>
    <row r="536" spans="3:6" x14ac:dyDescent="0.25">
      <c r="C536" s="2" t="s">
        <v>8751</v>
      </c>
      <c r="D536" s="2" t="s">
        <v>122</v>
      </c>
      <c r="E536" s="2">
        <v>141</v>
      </c>
      <c r="F536" s="2">
        <v>2823.049</v>
      </c>
    </row>
    <row r="537" spans="3:6" x14ac:dyDescent="0.25">
      <c r="C537" s="2" t="s">
        <v>8752</v>
      </c>
      <c r="D537" s="2" t="s">
        <v>122</v>
      </c>
      <c r="E537" s="2">
        <v>11</v>
      </c>
      <c r="F537" s="2">
        <v>207.97</v>
      </c>
    </row>
    <row r="538" spans="3:6" x14ac:dyDescent="0.25">
      <c r="C538" s="2" t="s">
        <v>8753</v>
      </c>
      <c r="D538" s="2" t="s">
        <v>122</v>
      </c>
      <c r="E538" s="2">
        <v>36</v>
      </c>
      <c r="F538" s="2">
        <v>756.35</v>
      </c>
    </row>
    <row r="539" spans="3:6" x14ac:dyDescent="0.25">
      <c r="C539" s="2" t="s">
        <v>8754</v>
      </c>
      <c r="D539" s="2" t="s">
        <v>122</v>
      </c>
      <c r="E539" s="2">
        <v>27</v>
      </c>
      <c r="F539" s="2">
        <v>545.96</v>
      </c>
    </row>
    <row r="540" spans="3:6" x14ac:dyDescent="0.25">
      <c r="C540" s="2" t="s">
        <v>8755</v>
      </c>
      <c r="D540" s="2" t="s">
        <v>122</v>
      </c>
      <c r="E540" s="2">
        <v>67</v>
      </c>
      <c r="F540" s="2">
        <v>1395.59</v>
      </c>
    </row>
    <row r="541" spans="3:6" x14ac:dyDescent="0.25">
      <c r="C541" s="2" t="s">
        <v>8756</v>
      </c>
      <c r="D541" s="2" t="s">
        <v>122</v>
      </c>
      <c r="E541" s="2">
        <v>104</v>
      </c>
      <c r="F541" s="2">
        <v>1997.17</v>
      </c>
    </row>
    <row r="542" spans="3:6" x14ac:dyDescent="0.25">
      <c r="C542" s="2" t="s">
        <v>8757</v>
      </c>
      <c r="D542" s="2" t="s">
        <v>122</v>
      </c>
      <c r="E542" s="2" t="s">
        <v>8758</v>
      </c>
      <c r="F542" s="2" t="s">
        <v>8758</v>
      </c>
    </row>
    <row r="543" spans="3:6" x14ac:dyDescent="0.25">
      <c r="C543" s="2" t="s">
        <v>8759</v>
      </c>
      <c r="D543" s="2" t="s">
        <v>122</v>
      </c>
      <c r="E543" s="2" t="s">
        <v>8758</v>
      </c>
      <c r="F543" s="2" t="s">
        <v>8758</v>
      </c>
    </row>
    <row r="544" spans="3:6" x14ac:dyDescent="0.25">
      <c r="C544" s="2" t="s">
        <v>8760</v>
      </c>
      <c r="D544" s="2" t="s">
        <v>122</v>
      </c>
      <c r="E544" s="2">
        <v>141</v>
      </c>
      <c r="F544" s="2">
        <v>2940.71</v>
      </c>
    </row>
    <row r="545" spans="3:6" x14ac:dyDescent="0.25">
      <c r="C545" s="2" t="s">
        <v>8761</v>
      </c>
      <c r="D545" s="2" t="s">
        <v>122</v>
      </c>
      <c r="E545" s="2">
        <v>22</v>
      </c>
      <c r="F545" s="2">
        <v>431.14</v>
      </c>
    </row>
    <row r="546" spans="3:6" x14ac:dyDescent="0.25">
      <c r="C546" s="2" t="s">
        <v>8762</v>
      </c>
      <c r="D546" s="2" t="s">
        <v>122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40</v>
      </c>
      <c r="C548" s="2" t="s">
        <v>8763</v>
      </c>
      <c r="D548" s="2" t="s">
        <v>42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8764</v>
      </c>
      <c r="D549" s="2" t="s">
        <v>42</v>
      </c>
      <c r="E549" s="2">
        <v>91</v>
      </c>
      <c r="F549" s="2">
        <v>1486.387</v>
      </c>
    </row>
    <row r="550" spans="3:6" x14ac:dyDescent="0.25">
      <c r="C550" s="2" t="s">
        <v>8765</v>
      </c>
      <c r="D550" s="2" t="s">
        <v>42</v>
      </c>
      <c r="E550" s="2">
        <v>31</v>
      </c>
      <c r="F550" s="2">
        <v>531.75</v>
      </c>
    </row>
    <row r="551" spans="3:6" x14ac:dyDescent="0.25">
      <c r="C551" s="2" t="s">
        <v>8766</v>
      </c>
      <c r="D551" s="2" t="s">
        <v>42</v>
      </c>
      <c r="E551" s="2">
        <v>141</v>
      </c>
      <c r="F551" s="2">
        <v>1726.68</v>
      </c>
    </row>
    <row r="552" spans="3:6" x14ac:dyDescent="0.25">
      <c r="C552" s="2" t="s">
        <v>8767</v>
      </c>
      <c r="D552" s="2" t="s">
        <v>42</v>
      </c>
      <c r="E552" s="2">
        <v>84</v>
      </c>
      <c r="F552" s="2">
        <v>1829.62</v>
      </c>
    </row>
    <row r="553" spans="3:6" x14ac:dyDescent="0.25">
      <c r="C553" s="2" t="s">
        <v>8768</v>
      </c>
      <c r="D553" s="2" t="s">
        <v>42</v>
      </c>
      <c r="E553" s="2">
        <v>39</v>
      </c>
      <c r="F553" s="2">
        <v>741.6</v>
      </c>
    </row>
    <row r="554" spans="3:6" x14ac:dyDescent="0.25">
      <c r="C554" s="2" t="s">
        <v>8769</v>
      </c>
      <c r="D554" s="2" t="s">
        <v>42</v>
      </c>
      <c r="E554" s="2">
        <v>128</v>
      </c>
      <c r="F554" s="2">
        <v>2428.413</v>
      </c>
    </row>
    <row r="555" spans="3:6" x14ac:dyDescent="0.25">
      <c r="C555" s="2" t="s">
        <v>8770</v>
      </c>
      <c r="D555" s="2" t="s">
        <v>42</v>
      </c>
      <c r="E555" s="2">
        <v>141</v>
      </c>
      <c r="F555" s="2">
        <v>2743.99</v>
      </c>
    </row>
    <row r="556" spans="3:6" x14ac:dyDescent="0.25">
      <c r="C556" s="2" t="s">
        <v>8771</v>
      </c>
      <c r="D556" s="2" t="s">
        <v>42</v>
      </c>
      <c r="E556" s="2">
        <v>50</v>
      </c>
      <c r="F556" s="2">
        <v>265.23</v>
      </c>
    </row>
    <row r="557" spans="3:6" x14ac:dyDescent="0.25">
      <c r="C557" s="2" t="s">
        <v>8772</v>
      </c>
      <c r="D557" s="2" t="s">
        <v>42</v>
      </c>
      <c r="E557" s="2">
        <v>51</v>
      </c>
      <c r="F557" s="2">
        <v>1064.88</v>
      </c>
    </row>
    <row r="558" spans="3:6" x14ac:dyDescent="0.25">
      <c r="C558" s="2" t="s">
        <v>8773</v>
      </c>
      <c r="D558" s="2" t="s">
        <v>42</v>
      </c>
      <c r="E558" s="2">
        <v>90</v>
      </c>
      <c r="F558" s="2">
        <v>1671.16</v>
      </c>
    </row>
    <row r="559" spans="3:6" x14ac:dyDescent="0.25">
      <c r="C559" s="2" t="s">
        <v>8774</v>
      </c>
      <c r="D559" s="2" t="s">
        <v>42</v>
      </c>
      <c r="E559" s="2">
        <v>123</v>
      </c>
      <c r="F559" s="2">
        <v>2451.39</v>
      </c>
    </row>
    <row r="560" spans="3:6" x14ac:dyDescent="0.25">
      <c r="C560" s="2" t="s">
        <v>8775</v>
      </c>
      <c r="D560" s="2" t="s">
        <v>42</v>
      </c>
      <c r="E560" s="2">
        <v>18</v>
      </c>
      <c r="F560" s="2">
        <v>385.49</v>
      </c>
    </row>
    <row r="561" spans="3:6" x14ac:dyDescent="0.25">
      <c r="C561" s="2" t="s">
        <v>8776</v>
      </c>
      <c r="D561" s="2" t="s">
        <v>42</v>
      </c>
      <c r="E561" s="2">
        <v>78</v>
      </c>
      <c r="F561" s="2">
        <v>1602.449</v>
      </c>
    </row>
    <row r="562" spans="3:6" x14ac:dyDescent="0.25">
      <c r="C562" s="2" t="s">
        <v>8777</v>
      </c>
      <c r="D562" s="2" t="s">
        <v>42</v>
      </c>
      <c r="E562" s="2">
        <v>63</v>
      </c>
      <c r="F562" s="2">
        <v>1221.25</v>
      </c>
    </row>
    <row r="563" spans="3:6" x14ac:dyDescent="0.25">
      <c r="C563" s="2" t="s">
        <v>8778</v>
      </c>
      <c r="D563" s="2" t="s">
        <v>42</v>
      </c>
      <c r="E563" s="2">
        <v>71</v>
      </c>
      <c r="F563" s="2">
        <v>1501.25</v>
      </c>
    </row>
    <row r="564" spans="3:6" x14ac:dyDescent="0.25">
      <c r="C564" s="2" t="s">
        <v>8779</v>
      </c>
      <c r="D564" s="2" t="s">
        <v>42</v>
      </c>
      <c r="E564" s="2">
        <v>61</v>
      </c>
      <c r="F564" s="2">
        <v>1199.81</v>
      </c>
    </row>
    <row r="565" spans="3:6" x14ac:dyDescent="0.25">
      <c r="C565" s="2" t="s">
        <v>8780</v>
      </c>
      <c r="D565" s="2" t="s">
        <v>42</v>
      </c>
      <c r="E565" s="2">
        <v>10</v>
      </c>
      <c r="F565" s="2">
        <v>132.04</v>
      </c>
    </row>
    <row r="566" spans="3:6" x14ac:dyDescent="0.25">
      <c r="C566" s="2" t="s">
        <v>8781</v>
      </c>
      <c r="D566" s="2" t="s">
        <v>42</v>
      </c>
      <c r="E566" s="2">
        <v>60</v>
      </c>
      <c r="F566" s="2">
        <v>305.31</v>
      </c>
    </row>
    <row r="567" spans="3:6" x14ac:dyDescent="0.25">
      <c r="C567" s="2" t="s">
        <v>8782</v>
      </c>
      <c r="D567" s="2" t="s">
        <v>42</v>
      </c>
      <c r="E567" s="2">
        <v>120</v>
      </c>
      <c r="F567" s="2">
        <v>2433.22</v>
      </c>
    </row>
    <row r="568" spans="3:6" x14ac:dyDescent="0.25">
      <c r="C568" s="2" t="s">
        <v>8783</v>
      </c>
      <c r="D568" s="2" t="s">
        <v>42</v>
      </c>
      <c r="E568" s="2">
        <v>21</v>
      </c>
      <c r="F568" s="2">
        <v>433.02</v>
      </c>
    </row>
    <row r="569" spans="3:6" x14ac:dyDescent="0.25">
      <c r="C569" s="2" t="s">
        <v>8784</v>
      </c>
      <c r="D569" s="2" t="s">
        <v>42</v>
      </c>
      <c r="E569" s="2">
        <v>141</v>
      </c>
      <c r="F569" s="2">
        <v>3008.52</v>
      </c>
    </row>
    <row r="570" spans="3:6" x14ac:dyDescent="0.25">
      <c r="C570" s="2" t="s">
        <v>8785</v>
      </c>
      <c r="D570" s="2" t="s">
        <v>42</v>
      </c>
      <c r="E570" s="2">
        <v>99</v>
      </c>
      <c r="F570" s="2">
        <v>2004.29</v>
      </c>
    </row>
    <row r="571" spans="3:6" x14ac:dyDescent="0.25">
      <c r="C571" s="2" t="s">
        <v>8786</v>
      </c>
      <c r="D571" s="2" t="s">
        <v>42</v>
      </c>
      <c r="E571" s="2">
        <v>42</v>
      </c>
      <c r="F571" s="2">
        <v>872.45</v>
      </c>
    </row>
    <row r="572" spans="3:6" x14ac:dyDescent="0.25">
      <c r="C572" s="2" t="s">
        <v>8787</v>
      </c>
      <c r="D572" s="2" t="s">
        <v>42</v>
      </c>
      <c r="E572" s="2">
        <v>45</v>
      </c>
      <c r="F572" s="2">
        <v>211.87</v>
      </c>
    </row>
    <row r="573" spans="3:6" x14ac:dyDescent="0.25">
      <c r="C573" s="2" t="s">
        <v>8788</v>
      </c>
      <c r="D573" s="2" t="s">
        <v>42</v>
      </c>
      <c r="E573" s="2">
        <v>102</v>
      </c>
      <c r="F573" s="2">
        <v>2086.26</v>
      </c>
    </row>
    <row r="574" spans="3:6" x14ac:dyDescent="0.25">
      <c r="C574" s="2" t="s">
        <v>8789</v>
      </c>
      <c r="D574" s="2" t="s">
        <v>42</v>
      </c>
      <c r="E574" s="2">
        <v>30</v>
      </c>
      <c r="F574" s="2">
        <v>376.422</v>
      </c>
    </row>
    <row r="575" spans="3:6" x14ac:dyDescent="0.25">
      <c r="C575" s="2" t="s">
        <v>8790</v>
      </c>
      <c r="D575" s="2" t="s">
        <v>42</v>
      </c>
      <c r="E575" s="2">
        <v>84</v>
      </c>
      <c r="F575" s="2">
        <v>1795.701</v>
      </c>
    </row>
    <row r="576" spans="3:6" x14ac:dyDescent="0.25">
      <c r="C576" s="2" t="s">
        <v>8791</v>
      </c>
      <c r="D576" s="2" t="s">
        <v>42</v>
      </c>
      <c r="E576" s="2">
        <v>37</v>
      </c>
      <c r="F576" s="2">
        <v>727.884</v>
      </c>
    </row>
    <row r="577" spans="3:6" x14ac:dyDescent="0.25">
      <c r="C577" s="2" t="s">
        <v>8792</v>
      </c>
      <c r="D577" s="2" t="s">
        <v>42</v>
      </c>
      <c r="E577" s="2">
        <v>14</v>
      </c>
      <c r="F577" s="2">
        <v>246.68</v>
      </c>
    </row>
    <row r="578" spans="3:6" x14ac:dyDescent="0.25">
      <c r="C578" s="2" t="s">
        <v>8793</v>
      </c>
      <c r="D578" s="2" t="s">
        <v>42</v>
      </c>
      <c r="E578" s="2">
        <v>25</v>
      </c>
      <c r="F578" s="2">
        <v>466.42</v>
      </c>
    </row>
    <row r="579" spans="3:6" x14ac:dyDescent="0.25">
      <c r="C579" s="2" t="s">
        <v>8794</v>
      </c>
      <c r="D579" s="2" t="s">
        <v>42</v>
      </c>
      <c r="E579" s="2">
        <v>102</v>
      </c>
      <c r="F579" s="2">
        <v>2123.1</v>
      </c>
    </row>
    <row r="580" spans="3:6" x14ac:dyDescent="0.25">
      <c r="C580" s="2" t="s">
        <v>8795</v>
      </c>
      <c r="D580" s="2" t="s">
        <v>42</v>
      </c>
      <c r="E580" s="2">
        <v>102</v>
      </c>
      <c r="F580" s="2">
        <v>2107.43</v>
      </c>
    </row>
    <row r="581" spans="3:6" x14ac:dyDescent="0.25">
      <c r="C581" s="2" t="s">
        <v>8796</v>
      </c>
      <c r="D581" s="2" t="s">
        <v>42</v>
      </c>
      <c r="E581" s="2">
        <v>141</v>
      </c>
      <c r="F581" s="2">
        <v>2829.619</v>
      </c>
    </row>
    <row r="582" spans="3:6" x14ac:dyDescent="0.25">
      <c r="C582" s="2" t="s">
        <v>8797</v>
      </c>
      <c r="D582" s="2" t="s">
        <v>42</v>
      </c>
      <c r="E582" s="2">
        <v>141</v>
      </c>
      <c r="F582" s="2">
        <v>2872.59</v>
      </c>
    </row>
    <row r="583" spans="3:6" x14ac:dyDescent="0.25">
      <c r="C583" s="2" t="s">
        <v>8798</v>
      </c>
      <c r="D583" s="2" t="s">
        <v>42</v>
      </c>
      <c r="E583" s="2">
        <v>102</v>
      </c>
      <c r="F583" s="2">
        <v>2116.41</v>
      </c>
    </row>
    <row r="584" spans="3:6" x14ac:dyDescent="0.25">
      <c r="C584" s="2" t="s">
        <v>8799</v>
      </c>
      <c r="D584" s="2" t="s">
        <v>42</v>
      </c>
      <c r="E584" s="2">
        <v>102</v>
      </c>
      <c r="F584" s="2">
        <v>2100.56</v>
      </c>
    </row>
    <row r="585" spans="3:6" x14ac:dyDescent="0.25">
      <c r="C585" s="2" t="s">
        <v>8800</v>
      </c>
      <c r="D585" s="2" t="s">
        <v>42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90</v>
      </c>
      <c r="C587" s="2" t="s">
        <v>8801</v>
      </c>
      <c r="D587" s="2" t="s">
        <v>9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8802</v>
      </c>
      <c r="D588" s="2" t="s">
        <v>9</v>
      </c>
      <c r="E588" s="2">
        <v>102</v>
      </c>
      <c r="F588" s="2">
        <v>1998.87</v>
      </c>
    </row>
    <row r="589" spans="3:6" x14ac:dyDescent="0.25">
      <c r="C589" s="2" t="s">
        <v>8803</v>
      </c>
      <c r="D589" s="2" t="s">
        <v>9</v>
      </c>
      <c r="E589" s="2">
        <v>102</v>
      </c>
      <c r="F589" s="2">
        <v>2060.789</v>
      </c>
    </row>
    <row r="590" spans="3:6" x14ac:dyDescent="0.25">
      <c r="C590" s="2" t="s">
        <v>8804</v>
      </c>
      <c r="D590" s="2" t="s">
        <v>9</v>
      </c>
      <c r="E590" s="2">
        <v>204</v>
      </c>
      <c r="F590" s="2">
        <v>4243.4</v>
      </c>
    </row>
    <row r="591" spans="3:6" x14ac:dyDescent="0.25">
      <c r="C591" s="2" t="s">
        <v>8805</v>
      </c>
      <c r="D591" s="2" t="s">
        <v>9</v>
      </c>
      <c r="E591" s="2">
        <v>123</v>
      </c>
      <c r="F591" s="2">
        <v>2456.57</v>
      </c>
    </row>
    <row r="592" spans="3:6" x14ac:dyDescent="0.25">
      <c r="C592" s="2" t="s">
        <v>8806</v>
      </c>
      <c r="D592" s="2" t="s">
        <v>9</v>
      </c>
      <c r="E592" s="2">
        <v>134</v>
      </c>
      <c r="F592" s="2">
        <v>2735.429</v>
      </c>
    </row>
    <row r="593" spans="3:6" x14ac:dyDescent="0.25">
      <c r="C593" s="2" t="s">
        <v>8807</v>
      </c>
      <c r="D593" s="2" t="s">
        <v>9</v>
      </c>
      <c r="E593" s="2">
        <v>141</v>
      </c>
      <c r="F593" s="2">
        <v>2891.43</v>
      </c>
    </row>
    <row r="594" spans="3:6" x14ac:dyDescent="0.25">
      <c r="C594" s="2" t="s">
        <v>8808</v>
      </c>
      <c r="D594" s="2" t="s">
        <v>9</v>
      </c>
      <c r="E594" s="2">
        <v>102</v>
      </c>
      <c r="F594" s="2">
        <v>2093.799</v>
      </c>
    </row>
    <row r="595" spans="3:6" x14ac:dyDescent="0.25">
      <c r="C595" s="2" t="s">
        <v>8809</v>
      </c>
      <c r="D595" s="2" t="s">
        <v>9</v>
      </c>
      <c r="E595" s="2">
        <v>60</v>
      </c>
      <c r="F595" s="2">
        <v>250.219</v>
      </c>
    </row>
    <row r="596" spans="3:6" x14ac:dyDescent="0.25">
      <c r="C596" s="2" t="s">
        <v>8810</v>
      </c>
      <c r="D596" s="2" t="s">
        <v>9</v>
      </c>
      <c r="E596" s="2">
        <v>141</v>
      </c>
      <c r="F596" s="2">
        <v>2904.02</v>
      </c>
    </row>
    <row r="597" spans="3:6" x14ac:dyDescent="0.25">
      <c r="C597" s="2" t="s">
        <v>8811</v>
      </c>
      <c r="D597" s="2" t="s">
        <v>9</v>
      </c>
      <c r="E597" s="2">
        <v>141</v>
      </c>
      <c r="F597" s="2">
        <v>2799.91</v>
      </c>
    </row>
    <row r="598" spans="3:6" x14ac:dyDescent="0.25">
      <c r="C598" s="2" t="s">
        <v>8812</v>
      </c>
      <c r="D598" s="2" t="s">
        <v>9</v>
      </c>
      <c r="E598" s="2">
        <v>141</v>
      </c>
      <c r="F598" s="2">
        <v>2784.549</v>
      </c>
    </row>
    <row r="599" spans="3:6" x14ac:dyDescent="0.25">
      <c r="C599" s="2" t="s">
        <v>8813</v>
      </c>
      <c r="D599" s="2" t="s">
        <v>9</v>
      </c>
      <c r="E599" s="2">
        <v>102</v>
      </c>
      <c r="F599" s="2">
        <v>2060.54</v>
      </c>
    </row>
    <row r="600" spans="3:6" x14ac:dyDescent="0.25">
      <c r="C600" s="2" t="s">
        <v>8814</v>
      </c>
      <c r="D600" s="2" t="s">
        <v>9</v>
      </c>
      <c r="E600" s="2">
        <v>30</v>
      </c>
      <c r="F600" s="2">
        <v>132.199</v>
      </c>
    </row>
    <row r="601" spans="3:6" x14ac:dyDescent="0.25">
      <c r="C601" s="2" t="s">
        <v>8815</v>
      </c>
      <c r="D601" s="2" t="s">
        <v>9</v>
      </c>
      <c r="E601" s="2">
        <v>141</v>
      </c>
      <c r="F601" s="2">
        <v>2963.69</v>
      </c>
    </row>
    <row r="602" spans="3:6" x14ac:dyDescent="0.25">
      <c r="C602" s="2" t="s">
        <v>8816</v>
      </c>
      <c r="D602" s="2" t="s">
        <v>9</v>
      </c>
      <c r="E602" s="2">
        <v>141</v>
      </c>
      <c r="F602" s="2">
        <v>2973.66</v>
      </c>
    </row>
    <row r="603" spans="3:6" x14ac:dyDescent="0.25">
      <c r="C603" s="2" t="s">
        <v>8817</v>
      </c>
      <c r="D603" s="2" t="s">
        <v>9</v>
      </c>
      <c r="E603" s="2">
        <v>124</v>
      </c>
      <c r="F603" s="2">
        <v>2571.33</v>
      </c>
    </row>
    <row r="604" spans="3:6" x14ac:dyDescent="0.25">
      <c r="C604" s="2" t="s">
        <v>8818</v>
      </c>
      <c r="D604" s="2" t="s">
        <v>9</v>
      </c>
      <c r="E604" s="2">
        <v>75</v>
      </c>
      <c r="F604" s="2">
        <v>1545.75</v>
      </c>
    </row>
    <row r="605" spans="3:6" x14ac:dyDescent="0.25">
      <c r="C605" s="2" t="s">
        <v>8819</v>
      </c>
      <c r="D605" s="2" t="s">
        <v>9</v>
      </c>
      <c r="E605" s="2">
        <v>48</v>
      </c>
      <c r="F605" s="2">
        <v>1002.82</v>
      </c>
    </row>
    <row r="606" spans="3:6" x14ac:dyDescent="0.25">
      <c r="C606" s="2" t="s">
        <v>8820</v>
      </c>
      <c r="D606" s="2" t="s">
        <v>9</v>
      </c>
      <c r="E606" s="2">
        <v>143</v>
      </c>
      <c r="F606" s="2">
        <v>2799.15</v>
      </c>
    </row>
    <row r="607" spans="3:6" x14ac:dyDescent="0.25">
      <c r="C607" s="2" t="s">
        <v>8821</v>
      </c>
      <c r="D607" s="2" t="s">
        <v>9</v>
      </c>
      <c r="E607" s="2">
        <v>48</v>
      </c>
      <c r="F607" s="2">
        <v>1020.78</v>
      </c>
    </row>
    <row r="608" spans="3:6" x14ac:dyDescent="0.25">
      <c r="C608" s="2" t="s">
        <v>8822</v>
      </c>
      <c r="D608" s="2" t="s">
        <v>9</v>
      </c>
      <c r="E608" s="2">
        <v>94</v>
      </c>
      <c r="F608" s="2">
        <v>1903.74</v>
      </c>
    </row>
    <row r="609" spans="3:6" x14ac:dyDescent="0.25">
      <c r="C609" s="2" t="s">
        <v>8823</v>
      </c>
      <c r="D609" s="2" t="s">
        <v>9</v>
      </c>
      <c r="E609" s="2">
        <v>12</v>
      </c>
      <c r="F609" s="2">
        <v>148.79</v>
      </c>
    </row>
    <row r="610" spans="3:6" x14ac:dyDescent="0.25">
      <c r="C610" s="2" t="s">
        <v>8824</v>
      </c>
      <c r="D610" s="2" t="s">
        <v>9</v>
      </c>
      <c r="E610" s="2">
        <v>10</v>
      </c>
      <c r="F610" s="2">
        <v>168.15</v>
      </c>
    </row>
    <row r="611" spans="3:6" x14ac:dyDescent="0.25">
      <c r="C611" s="2" t="s">
        <v>8825</v>
      </c>
      <c r="D611" s="2" t="s">
        <v>9</v>
      </c>
      <c r="F611" s="2">
        <v>108.94</v>
      </c>
    </row>
    <row r="612" spans="3:6" x14ac:dyDescent="0.25">
      <c r="C612" s="2" t="s">
        <v>8826</v>
      </c>
      <c r="D612" s="2" t="s">
        <v>9</v>
      </c>
      <c r="E612" s="2">
        <v>5</v>
      </c>
      <c r="F612" s="2">
        <v>99.23</v>
      </c>
    </row>
    <row r="613" spans="3:6" x14ac:dyDescent="0.25">
      <c r="C613" s="2" t="s">
        <v>8827</v>
      </c>
      <c r="D613" s="2" t="s">
        <v>9</v>
      </c>
      <c r="E613" s="2">
        <v>5</v>
      </c>
      <c r="F613" s="2">
        <v>94.19</v>
      </c>
    </row>
    <row r="614" spans="3:6" x14ac:dyDescent="0.25">
      <c r="C614" s="2" t="s">
        <v>8828</v>
      </c>
      <c r="D614" s="2" t="s">
        <v>9</v>
      </c>
      <c r="E614" s="2">
        <v>40</v>
      </c>
      <c r="F614" s="2">
        <v>824.76</v>
      </c>
    </row>
    <row r="615" spans="3:6" x14ac:dyDescent="0.25">
      <c r="C615" s="2" t="s">
        <v>8829</v>
      </c>
      <c r="D615" s="2" t="s">
        <v>9</v>
      </c>
      <c r="E615" s="2">
        <v>141</v>
      </c>
      <c r="F615" s="2">
        <v>2844.7</v>
      </c>
    </row>
    <row r="616" spans="3:6" x14ac:dyDescent="0.25">
      <c r="C616" s="2" t="s">
        <v>8830</v>
      </c>
      <c r="D616" s="2" t="s">
        <v>9</v>
      </c>
      <c r="E616" s="2">
        <v>282</v>
      </c>
      <c r="F616" s="2">
        <v>5951.92</v>
      </c>
    </row>
    <row r="617" spans="3:6" x14ac:dyDescent="0.25">
      <c r="C617" s="2" t="s">
        <v>8831</v>
      </c>
      <c r="D617" s="2" t="s">
        <v>9</v>
      </c>
      <c r="E617" s="2">
        <v>141</v>
      </c>
      <c r="F617" s="2">
        <v>3002.15</v>
      </c>
    </row>
    <row r="618" spans="3:6" x14ac:dyDescent="0.25">
      <c r="C618" s="2" t="s">
        <v>8832</v>
      </c>
      <c r="D618" s="2" t="s">
        <v>9</v>
      </c>
      <c r="E618" s="2">
        <v>141</v>
      </c>
      <c r="F618" s="2">
        <v>2921</v>
      </c>
    </row>
    <row r="619" spans="3:6" x14ac:dyDescent="0.25">
      <c r="C619" s="2" t="s">
        <v>8833</v>
      </c>
      <c r="D619" s="2" t="s">
        <v>9</v>
      </c>
      <c r="E619" s="2">
        <v>243</v>
      </c>
      <c r="F619" s="2">
        <v>4990.98</v>
      </c>
    </row>
    <row r="620" spans="3:6" x14ac:dyDescent="0.25">
      <c r="C620" s="2" t="s">
        <v>8834</v>
      </c>
      <c r="D620" s="2" t="s">
        <v>9</v>
      </c>
      <c r="E620" s="2">
        <v>26</v>
      </c>
      <c r="F620" s="2">
        <v>525.25</v>
      </c>
    </row>
    <row r="621" spans="3:6" x14ac:dyDescent="0.25">
      <c r="C621" s="2" t="s">
        <v>8835</v>
      </c>
      <c r="D621" s="2" t="s">
        <v>9</v>
      </c>
      <c r="E621" s="2">
        <v>31</v>
      </c>
      <c r="F621" s="2">
        <v>594.07</v>
      </c>
    </row>
    <row r="622" spans="3:6" x14ac:dyDescent="0.25">
      <c r="C622" s="2" t="s">
        <v>8836</v>
      </c>
      <c r="D622" s="2" t="s">
        <v>9</v>
      </c>
      <c r="E622" s="2">
        <v>84</v>
      </c>
      <c r="F622" s="2">
        <v>1674.18</v>
      </c>
    </row>
    <row r="623" spans="3:6" x14ac:dyDescent="0.25">
      <c r="C623" s="2" t="s">
        <v>8837</v>
      </c>
      <c r="D623" s="2" t="s">
        <v>9</v>
      </c>
      <c r="E623" s="2">
        <v>69</v>
      </c>
      <c r="F623" s="2">
        <v>1357.339</v>
      </c>
    </row>
    <row r="624" spans="3:6" x14ac:dyDescent="0.25">
      <c r="C624" s="2" t="s">
        <v>8838</v>
      </c>
      <c r="D624" s="2" t="s">
        <v>9</v>
      </c>
      <c r="E624" s="2">
        <v>72</v>
      </c>
      <c r="F624" s="2">
        <v>1478.09</v>
      </c>
    </row>
    <row r="625" spans="3:6" x14ac:dyDescent="0.25">
      <c r="C625" s="2" t="s">
        <v>8839</v>
      </c>
      <c r="D625" s="2" t="s">
        <v>9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14</v>
      </c>
      <c r="C627" s="2" t="s">
        <v>8840</v>
      </c>
      <c r="D627" s="2" t="s">
        <v>12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8841</v>
      </c>
      <c r="D628" s="2" t="s">
        <v>12</v>
      </c>
      <c r="E628" s="2">
        <v>143</v>
      </c>
      <c r="F628" s="2">
        <v>2950.84</v>
      </c>
    </row>
    <row r="629" spans="3:6" x14ac:dyDescent="0.25">
      <c r="C629" s="2" t="s">
        <v>8842</v>
      </c>
      <c r="D629" s="2" t="s">
        <v>12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10</v>
      </c>
      <c r="C631" s="2" t="s">
        <v>8843</v>
      </c>
      <c r="D631" s="2" t="s">
        <v>12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8844</v>
      </c>
      <c r="D632" s="2" t="s">
        <v>12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8845</v>
      </c>
      <c r="C634" s="2" t="s">
        <v>8846</v>
      </c>
      <c r="D634" s="2" t="s">
        <v>1288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8847</v>
      </c>
      <c r="D635" s="2" t="s">
        <v>1288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501</v>
      </c>
      <c r="C637" s="2" t="s">
        <v>8848</v>
      </c>
      <c r="D637" s="2" t="s">
        <v>8441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8849</v>
      </c>
      <c r="C639" s="2" t="s">
        <v>8850</v>
      </c>
      <c r="D639" s="2" t="s">
        <v>236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8851</v>
      </c>
      <c r="D640" s="2" t="s">
        <v>236</v>
      </c>
      <c r="E640" s="2">
        <v>80</v>
      </c>
      <c r="F640" s="2">
        <v>1581.64</v>
      </c>
    </row>
    <row r="641" spans="3:6" x14ac:dyDescent="0.25">
      <c r="C641" s="2" t="s">
        <v>8852</v>
      </c>
      <c r="D641" s="2" t="s">
        <v>214</v>
      </c>
      <c r="E641" s="2">
        <v>100</v>
      </c>
      <c r="F641" s="2">
        <v>1987.905</v>
      </c>
    </row>
    <row r="642" spans="3:6" x14ac:dyDescent="0.25">
      <c r="C642" s="2" t="s">
        <v>8853</v>
      </c>
      <c r="D642" s="2" t="s">
        <v>214</v>
      </c>
      <c r="E642" s="2">
        <v>56</v>
      </c>
      <c r="F642" s="2">
        <v>936.885</v>
      </c>
    </row>
    <row r="643" spans="3:6" x14ac:dyDescent="0.25">
      <c r="C643" s="2" t="s">
        <v>8854</v>
      </c>
      <c r="D643" s="2" t="s">
        <v>216</v>
      </c>
      <c r="E643" s="2">
        <v>53</v>
      </c>
      <c r="F643" s="2">
        <v>1048.21</v>
      </c>
    </row>
    <row r="644" spans="3:6" x14ac:dyDescent="0.25">
      <c r="C644" s="2" t="s">
        <v>8855</v>
      </c>
      <c r="D644" s="2" t="s">
        <v>216</v>
      </c>
      <c r="E644" s="2">
        <v>54</v>
      </c>
      <c r="F644" s="2">
        <v>954.5</v>
      </c>
    </row>
    <row r="645" spans="3:6" x14ac:dyDescent="0.25">
      <c r="C645" s="2" t="s">
        <v>8856</v>
      </c>
      <c r="D645" s="2" t="s">
        <v>204</v>
      </c>
      <c r="E645" s="2">
        <v>112</v>
      </c>
      <c r="F645" s="2">
        <v>2163.44</v>
      </c>
    </row>
    <row r="646" spans="3:6" x14ac:dyDescent="0.25">
      <c r="C646" s="2" t="s">
        <v>8857</v>
      </c>
      <c r="D646" s="2" t="s">
        <v>347</v>
      </c>
      <c r="E646" s="2">
        <v>69</v>
      </c>
      <c r="F646" s="2">
        <v>1291.229</v>
      </c>
    </row>
    <row r="647" spans="3:6" x14ac:dyDescent="0.25">
      <c r="C647" s="2" t="s">
        <v>8858</v>
      </c>
      <c r="D647" s="2" t="s">
        <v>347</v>
      </c>
      <c r="E647" s="2">
        <v>51</v>
      </c>
      <c r="F647" s="2">
        <v>904.689</v>
      </c>
    </row>
    <row r="648" spans="3:6" x14ac:dyDescent="0.25">
      <c r="C648" s="2" t="s">
        <v>8859</v>
      </c>
      <c r="D648" s="2" t="s">
        <v>347</v>
      </c>
      <c r="E648" s="2">
        <v>36</v>
      </c>
      <c r="F648" s="2">
        <v>684.59</v>
      </c>
    </row>
    <row r="649" spans="3:6" x14ac:dyDescent="0.25">
      <c r="C649" s="2" t="s">
        <v>8860</v>
      </c>
      <c r="D649" s="2" t="s">
        <v>236</v>
      </c>
      <c r="E649" s="2">
        <v>60</v>
      </c>
      <c r="F649" s="2">
        <v>1053.78</v>
      </c>
    </row>
    <row r="650" spans="3:6" x14ac:dyDescent="0.25">
      <c r="C650" s="2" t="s">
        <v>8861</v>
      </c>
      <c r="D650" s="2" t="s">
        <v>236</v>
      </c>
      <c r="E650" s="2">
        <v>45</v>
      </c>
      <c r="F650" s="2">
        <v>845.53</v>
      </c>
    </row>
    <row r="651" spans="3:6" x14ac:dyDescent="0.25">
      <c r="C651" s="2" t="s">
        <v>8862</v>
      </c>
      <c r="D651" s="2" t="s">
        <v>216</v>
      </c>
      <c r="E651" s="2">
        <v>163</v>
      </c>
      <c r="F651" s="2">
        <v>3092.158</v>
      </c>
    </row>
    <row r="652" spans="3:6" x14ac:dyDescent="0.25">
      <c r="C652" s="2" t="s">
        <v>8863</v>
      </c>
      <c r="D652" s="2" t="s">
        <v>216</v>
      </c>
      <c r="E652" s="2">
        <v>163</v>
      </c>
      <c r="F652" s="2">
        <v>3173.789</v>
      </c>
    </row>
    <row r="653" spans="3:6" x14ac:dyDescent="0.25">
      <c r="C653" s="2" t="s">
        <v>8864</v>
      </c>
      <c r="D653" s="2" t="s">
        <v>214</v>
      </c>
      <c r="E653" s="2">
        <v>100</v>
      </c>
      <c r="F653" s="2">
        <v>1894.928</v>
      </c>
    </row>
    <row r="654" spans="3:6" x14ac:dyDescent="0.25">
      <c r="C654" s="2" t="s">
        <v>8865</v>
      </c>
      <c r="D654" s="2" t="s">
        <v>214</v>
      </c>
      <c r="E654" s="2">
        <v>56</v>
      </c>
      <c r="F654" s="2">
        <v>1143.514</v>
      </c>
    </row>
    <row r="655" spans="3:6" x14ac:dyDescent="0.25">
      <c r="C655" s="2" t="s">
        <v>8866</v>
      </c>
      <c r="D655" s="2" t="s">
        <v>214</v>
      </c>
      <c r="E655" s="2">
        <v>100</v>
      </c>
      <c r="F655" s="2">
        <v>1976.627</v>
      </c>
    </row>
    <row r="656" spans="3:6" x14ac:dyDescent="0.25">
      <c r="C656" s="2" t="s">
        <v>8867</v>
      </c>
      <c r="D656" s="2" t="s">
        <v>214</v>
      </c>
      <c r="E656" s="2">
        <v>56</v>
      </c>
      <c r="F656" s="2">
        <v>1044.079</v>
      </c>
    </row>
    <row r="657" spans="3:6" x14ac:dyDescent="0.25">
      <c r="C657" s="2" t="s">
        <v>8868</v>
      </c>
      <c r="D657" s="2" t="s">
        <v>347</v>
      </c>
      <c r="E657" s="2">
        <v>100</v>
      </c>
      <c r="F657" s="2">
        <v>1867.794</v>
      </c>
    </row>
    <row r="658" spans="3:6" x14ac:dyDescent="0.25">
      <c r="C658" s="2" t="s">
        <v>8869</v>
      </c>
      <c r="D658" s="2" t="s">
        <v>347</v>
      </c>
      <c r="E658" s="2">
        <v>56</v>
      </c>
      <c r="F658" s="2">
        <v>1103.653</v>
      </c>
    </row>
    <row r="659" spans="3:6" x14ac:dyDescent="0.25">
      <c r="C659" s="2" t="s">
        <v>8870</v>
      </c>
      <c r="D659" s="2" t="s">
        <v>204</v>
      </c>
      <c r="E659" s="2">
        <v>134</v>
      </c>
      <c r="F659" s="2">
        <v>2632.279</v>
      </c>
    </row>
    <row r="660" spans="3:6" x14ac:dyDescent="0.25">
      <c r="C660" s="2" t="s">
        <v>8871</v>
      </c>
      <c r="D660" s="2" t="s">
        <v>214</v>
      </c>
      <c r="E660" s="2">
        <v>56</v>
      </c>
      <c r="F660" s="2">
        <v>1084.73</v>
      </c>
    </row>
    <row r="661" spans="3:6" x14ac:dyDescent="0.25">
      <c r="C661" s="2" t="s">
        <v>8872</v>
      </c>
      <c r="D661" s="2" t="s">
        <v>214</v>
      </c>
      <c r="E661" s="2">
        <v>100</v>
      </c>
      <c r="F661" s="2">
        <v>1890.36</v>
      </c>
    </row>
    <row r="662" spans="3:6" x14ac:dyDescent="0.25">
      <c r="C662" s="2" t="s">
        <v>8873</v>
      </c>
      <c r="D662" s="2" t="s">
        <v>214</v>
      </c>
      <c r="E662" s="2">
        <v>56</v>
      </c>
      <c r="F662" s="2">
        <v>1005.977</v>
      </c>
    </row>
    <row r="663" spans="3:6" x14ac:dyDescent="0.25">
      <c r="C663" s="2" t="s">
        <v>8874</v>
      </c>
      <c r="D663" s="2" t="s">
        <v>214</v>
      </c>
      <c r="E663" s="2">
        <v>100</v>
      </c>
      <c r="F663" s="2">
        <v>1907.165</v>
      </c>
    </row>
    <row r="664" spans="3:6" x14ac:dyDescent="0.25">
      <c r="C664" s="2" t="s">
        <v>8875</v>
      </c>
      <c r="D664" s="2" t="s">
        <v>216</v>
      </c>
      <c r="E664" s="2">
        <v>163</v>
      </c>
      <c r="F664" s="2">
        <v>3213.99</v>
      </c>
    </row>
    <row r="665" spans="3:6" x14ac:dyDescent="0.25">
      <c r="C665" s="2" t="s">
        <v>8876</v>
      </c>
      <c r="D665" s="2" t="s">
        <v>216</v>
      </c>
      <c r="E665" s="2">
        <v>163</v>
      </c>
      <c r="F665" s="2">
        <v>3220.84</v>
      </c>
    </row>
    <row r="666" spans="3:6" x14ac:dyDescent="0.25">
      <c r="C666" s="2" t="s">
        <v>8877</v>
      </c>
      <c r="D666" s="2" t="s">
        <v>216</v>
      </c>
      <c r="E666" s="2">
        <v>163</v>
      </c>
      <c r="F666" s="2">
        <v>3158.46</v>
      </c>
    </row>
    <row r="667" spans="3:6" x14ac:dyDescent="0.25">
      <c r="C667" s="2" t="s">
        <v>8878</v>
      </c>
      <c r="D667" s="2" t="s">
        <v>204</v>
      </c>
      <c r="E667" s="2">
        <v>257</v>
      </c>
      <c r="F667" s="2">
        <v>733.407</v>
      </c>
    </row>
    <row r="668" spans="3:6" x14ac:dyDescent="0.25">
      <c r="C668" s="2" t="s">
        <v>8879</v>
      </c>
      <c r="D668" s="2" t="s">
        <v>204</v>
      </c>
      <c r="E668" s="2">
        <v>36</v>
      </c>
      <c r="F668" s="2">
        <v>657.1</v>
      </c>
    </row>
    <row r="669" spans="3:6" x14ac:dyDescent="0.25">
      <c r="C669" s="2" t="s">
        <v>8880</v>
      </c>
      <c r="D669" s="2" t="s">
        <v>204</v>
      </c>
      <c r="E669" s="2">
        <v>134</v>
      </c>
      <c r="F669" s="2">
        <v>2665.91</v>
      </c>
    </row>
    <row r="670" spans="3:6" x14ac:dyDescent="0.25">
      <c r="C670" s="2" t="s">
        <v>8881</v>
      </c>
      <c r="D670" s="2" t="s">
        <v>204</v>
      </c>
      <c r="E670" s="2">
        <v>134</v>
      </c>
      <c r="F670" s="2">
        <v>2666.778</v>
      </c>
    </row>
    <row r="671" spans="3:6" x14ac:dyDescent="0.25">
      <c r="C671" s="2" t="s">
        <v>8882</v>
      </c>
      <c r="D671" s="2" t="s">
        <v>204</v>
      </c>
      <c r="E671" s="2">
        <v>134</v>
      </c>
      <c r="F671" s="2">
        <v>2705.909</v>
      </c>
    </row>
    <row r="672" spans="3:6" x14ac:dyDescent="0.25">
      <c r="C672" s="2" t="s">
        <v>8883</v>
      </c>
      <c r="D672" s="2" t="s">
        <v>204</v>
      </c>
      <c r="E672" s="2">
        <v>134</v>
      </c>
      <c r="F672" s="2">
        <v>2652.87</v>
      </c>
    </row>
    <row r="673" spans="3:6" x14ac:dyDescent="0.25">
      <c r="C673" s="2" t="s">
        <v>8884</v>
      </c>
      <c r="D673" s="2" t="s">
        <v>204</v>
      </c>
      <c r="E673" s="2">
        <v>134</v>
      </c>
      <c r="F673" s="2">
        <v>2755.77</v>
      </c>
    </row>
    <row r="674" spans="3:6" x14ac:dyDescent="0.25">
      <c r="C674" s="2" t="s">
        <v>8643</v>
      </c>
      <c r="D674" s="2" t="s">
        <v>204</v>
      </c>
      <c r="E674" s="2">
        <v>105</v>
      </c>
      <c r="F674" s="2">
        <v>2011.699</v>
      </c>
    </row>
    <row r="675" spans="3:6" x14ac:dyDescent="0.25">
      <c r="C675" s="2" t="s">
        <v>8885</v>
      </c>
      <c r="D675" s="2" t="s">
        <v>342</v>
      </c>
      <c r="E675" s="2">
        <v>31</v>
      </c>
      <c r="F675" s="2">
        <v>548.189</v>
      </c>
    </row>
    <row r="676" spans="3:6" x14ac:dyDescent="0.25">
      <c r="C676" s="2" t="s">
        <v>8886</v>
      </c>
      <c r="D676" s="2" t="s">
        <v>342</v>
      </c>
      <c r="E676" s="2">
        <v>74</v>
      </c>
      <c r="F676" s="2">
        <v>1343.879</v>
      </c>
    </row>
    <row r="677" spans="3:6" x14ac:dyDescent="0.25">
      <c r="C677" s="2" t="s">
        <v>8887</v>
      </c>
      <c r="D677" s="2" t="s">
        <v>347</v>
      </c>
      <c r="E677" s="2">
        <v>63</v>
      </c>
      <c r="F677" s="2">
        <v>1204.579</v>
      </c>
    </row>
    <row r="678" spans="3:6" x14ac:dyDescent="0.25">
      <c r="C678" s="2" t="s">
        <v>8888</v>
      </c>
      <c r="D678" s="2" t="s">
        <v>347</v>
      </c>
      <c r="E678" s="2">
        <v>25</v>
      </c>
      <c r="F678" s="2">
        <v>450.368</v>
      </c>
    </row>
    <row r="679" spans="3:6" x14ac:dyDescent="0.25">
      <c r="C679" s="2" t="s">
        <v>8889</v>
      </c>
      <c r="D679" s="2" t="s">
        <v>347</v>
      </c>
      <c r="E679" s="2">
        <v>17</v>
      </c>
      <c r="F679" s="2">
        <v>317.119</v>
      </c>
    </row>
    <row r="680" spans="3:6" x14ac:dyDescent="0.25">
      <c r="C680" s="2" t="s">
        <v>8890</v>
      </c>
      <c r="D680" s="2" t="s">
        <v>204</v>
      </c>
      <c r="E680" s="2">
        <v>51</v>
      </c>
      <c r="F680" s="2">
        <v>997.77</v>
      </c>
    </row>
    <row r="682" spans="2:6" x14ac:dyDescent="0.25">
      <c r="B682" s="2" t="s">
        <v>2077</v>
      </c>
      <c r="C682" s="2" t="s">
        <v>8891</v>
      </c>
      <c r="D682" s="2" t="s">
        <v>216</v>
      </c>
      <c r="E682" s="2">
        <v>18</v>
      </c>
      <c r="F682" s="2">
        <v>240.96</v>
      </c>
    </row>
    <row r="683" spans="3:6" x14ac:dyDescent="0.25">
      <c r="C683" s="2" t="s">
        <v>8892</v>
      </c>
      <c r="D683" s="2" t="s">
        <v>216</v>
      </c>
      <c r="E683" s="2">
        <v>87</v>
      </c>
      <c r="F683" s="2">
        <v>1560.66</v>
      </c>
    </row>
    <row r="684" spans="3:6" x14ac:dyDescent="0.25">
      <c r="C684" s="2" t="s">
        <v>8893</v>
      </c>
      <c r="D684" s="2" t="s">
        <v>216</v>
      </c>
      <c r="E684" s="2">
        <v>149</v>
      </c>
      <c r="F684" s="2">
        <v>2532.109</v>
      </c>
    </row>
    <row r="685" spans="3:6" x14ac:dyDescent="0.25">
      <c r="C685" s="2" t="s">
        <v>8894</v>
      </c>
      <c r="D685" s="2" t="s">
        <v>214</v>
      </c>
      <c r="E685" s="2">
        <v>156</v>
      </c>
      <c r="F685" s="2">
        <v>2736.95</v>
      </c>
    </row>
    <row r="686" spans="3:6" x14ac:dyDescent="0.25">
      <c r="C686" s="2" t="s">
        <v>8895</v>
      </c>
      <c r="D686" s="2" t="s">
        <v>297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1101</v>
      </c>
      <c r="C688" s="2" t="s">
        <v>8896</v>
      </c>
      <c r="D688" s="2" t="s">
        <v>20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8897</v>
      </c>
      <c r="D689" s="2" t="s">
        <v>20</v>
      </c>
      <c r="E689" s="2">
        <v>297</v>
      </c>
      <c r="F689" s="2">
        <v>5432.226</v>
      </c>
    </row>
    <row r="690" spans="3:6" x14ac:dyDescent="0.25">
      <c r="C690" s="2" t="s">
        <v>8898</v>
      </c>
      <c r="D690" s="2" t="s">
        <v>20</v>
      </c>
      <c r="E690" s="2">
        <v>105</v>
      </c>
      <c r="F690" s="2">
        <v>2137.82</v>
      </c>
    </row>
    <row r="691" spans="3:6" x14ac:dyDescent="0.25">
      <c r="C691" s="2" t="s">
        <v>8899</v>
      </c>
      <c r="D691" s="2" t="s">
        <v>20</v>
      </c>
      <c r="E691" s="2">
        <v>90</v>
      </c>
      <c r="F691" s="2">
        <v>1327.564</v>
      </c>
    </row>
    <row r="692" spans="3:6" x14ac:dyDescent="0.25">
      <c r="C692" s="2" t="s">
        <v>8900</v>
      </c>
      <c r="D692" s="2" t="s">
        <v>20</v>
      </c>
      <c r="E692" s="2">
        <v>163</v>
      </c>
      <c r="F692" s="2">
        <v>3184.429</v>
      </c>
    </row>
    <row r="693" spans="3:6" x14ac:dyDescent="0.25">
      <c r="C693" s="2" t="s">
        <v>8901</v>
      </c>
      <c r="D693" s="2" t="s">
        <v>20</v>
      </c>
      <c r="E693" s="2">
        <v>138</v>
      </c>
      <c r="F693" s="2">
        <v>2811.471</v>
      </c>
    </row>
    <row r="694" spans="3:6" x14ac:dyDescent="0.25">
      <c r="C694" s="2" t="s">
        <v>8902</v>
      </c>
      <c r="D694" s="2" t="s">
        <v>20</v>
      </c>
      <c r="E694" s="2">
        <v>163</v>
      </c>
      <c r="F694" s="2">
        <v>3122.308</v>
      </c>
    </row>
    <row r="695" spans="3:6" x14ac:dyDescent="0.25">
      <c r="C695" s="2" t="s">
        <v>8903</v>
      </c>
      <c r="D695" s="2" t="s">
        <v>20</v>
      </c>
      <c r="E695" s="2">
        <v>105</v>
      </c>
      <c r="F695" s="2">
        <v>2003.613</v>
      </c>
    </row>
    <row r="696" spans="3:6" x14ac:dyDescent="0.25">
      <c r="C696" s="2" t="s">
        <v>8904</v>
      </c>
      <c r="D696" s="2" t="s">
        <v>20</v>
      </c>
      <c r="E696" s="2">
        <v>163</v>
      </c>
      <c r="F696" s="2">
        <v>3342.699</v>
      </c>
    </row>
    <row r="697" spans="3:6" x14ac:dyDescent="0.25">
      <c r="C697" s="2" t="s">
        <v>8905</v>
      </c>
      <c r="D697" s="2" t="s">
        <v>20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380</v>
      </c>
      <c r="C699" s="2" t="s">
        <v>8906</v>
      </c>
      <c r="D699" s="2" t="s">
        <v>20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8907</v>
      </c>
      <c r="D700" s="2" t="s">
        <v>20</v>
      </c>
      <c r="E700" s="2">
        <v>102</v>
      </c>
      <c r="F700" s="2">
        <v>2076.12</v>
      </c>
    </row>
    <row r="701" spans="3:6" x14ac:dyDescent="0.25">
      <c r="C701" s="2" t="s">
        <v>8908</v>
      </c>
      <c r="D701" s="2" t="s">
        <v>20</v>
      </c>
      <c r="E701" s="2">
        <v>102</v>
      </c>
      <c r="F701" s="2">
        <v>2027.45</v>
      </c>
    </row>
    <row r="702" spans="3:6" x14ac:dyDescent="0.25">
      <c r="C702" s="2" t="s">
        <v>8909</v>
      </c>
      <c r="D702" s="2" t="s">
        <v>20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2738</v>
      </c>
      <c r="C704" s="2" t="s">
        <v>8910</v>
      </c>
      <c r="D704" s="2" t="s">
        <v>20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8911</v>
      </c>
      <c r="C706" s="2" t="s">
        <v>8912</v>
      </c>
      <c r="D706" s="2" t="s">
        <v>1288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8913</v>
      </c>
      <c r="D707" s="2" t="s">
        <v>1288</v>
      </c>
      <c r="E707" s="2">
        <v>34</v>
      </c>
      <c r="F707" s="2">
        <v>671.45</v>
      </c>
    </row>
    <row r="708" spans="3:6" x14ac:dyDescent="0.25">
      <c r="C708" s="2" t="s">
        <v>8914</v>
      </c>
      <c r="D708" s="2" t="s">
        <v>1288</v>
      </c>
      <c r="E708" s="2">
        <v>24</v>
      </c>
      <c r="F708" s="2">
        <v>442.42</v>
      </c>
    </row>
    <row r="709" spans="3:6" x14ac:dyDescent="0.25">
      <c r="C709" s="2" t="s">
        <v>8915</v>
      </c>
      <c r="D709" s="2" t="s">
        <v>1288</v>
      </c>
      <c r="E709" s="2">
        <v>141</v>
      </c>
      <c r="F709" s="2">
        <v>2851.48</v>
      </c>
    </row>
    <row r="711" spans="3:7" x14ac:dyDescent="0.25">
      <c r="C711" s="2" t="s">
        <v>8912</v>
      </c>
      <c r="D711" s="2" t="s">
        <v>1288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8913</v>
      </c>
      <c r="D712" s="2" t="s">
        <v>1288</v>
      </c>
      <c r="E712" s="2">
        <v>34</v>
      </c>
      <c r="F712" s="2">
        <v>671.45</v>
      </c>
    </row>
    <row r="713" spans="3:6" x14ac:dyDescent="0.25">
      <c r="C713" s="2" t="s">
        <v>8914</v>
      </c>
      <c r="D713" s="2" t="s">
        <v>1288</v>
      </c>
      <c r="E713" s="2">
        <v>24</v>
      </c>
      <c r="F713" s="2">
        <v>442.42</v>
      </c>
    </row>
    <row r="715" spans="3:7" x14ac:dyDescent="0.25">
      <c r="C715" s="2" t="s">
        <v>8915</v>
      </c>
      <c r="D715" s="2" t="s">
        <v>1288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4182</v>
      </c>
      <c r="C717" s="2" t="s">
        <v>8916</v>
      </c>
      <c r="D717" s="2" t="s">
        <v>27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8917</v>
      </c>
      <c r="D718" s="2" t="s">
        <v>27</v>
      </c>
      <c r="E718" s="2">
        <v>56</v>
      </c>
      <c r="F718" s="2">
        <v>882</v>
      </c>
    </row>
    <row r="719" spans="3:6" x14ac:dyDescent="0.25">
      <c r="C719" s="2" t="s">
        <v>8918</v>
      </c>
      <c r="D719" s="2" t="s">
        <v>27</v>
      </c>
      <c r="E719" s="2">
        <v>73</v>
      </c>
      <c r="F719" s="2">
        <v>2040</v>
      </c>
    </row>
    <row r="720" spans="3:5" x14ac:dyDescent="0.25">
      <c r="C720" s="2" t="s">
        <v>8919</v>
      </c>
      <c r="D720" s="2" t="s">
        <v>27</v>
      </c>
      <c r="E720" s="2">
        <v>28</v>
      </c>
    </row>
    <row r="721" spans="3:6" x14ac:dyDescent="0.25">
      <c r="C721" s="2" t="s">
        <v>8920</v>
      </c>
      <c r="D721" s="2" t="s">
        <v>27</v>
      </c>
      <c r="E721" s="2">
        <v>101</v>
      </c>
      <c r="F721" s="2">
        <v>2862</v>
      </c>
    </row>
    <row r="722" spans="3:6" x14ac:dyDescent="0.25">
      <c r="C722" s="2" t="s">
        <v>8921</v>
      </c>
      <c r="D722" s="2" t="s">
        <v>27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503</v>
      </c>
      <c r="C724" s="2" t="s">
        <v>8922</v>
      </c>
      <c r="D724" s="2" t="s">
        <v>42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1286</v>
      </c>
      <c r="C726" s="2" t="s">
        <v>8923</v>
      </c>
      <c r="D726" s="2" t="s">
        <v>8924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8925</v>
      </c>
      <c r="C728" s="2" t="s">
        <v>8926</v>
      </c>
      <c r="D728" s="2" t="s">
        <v>122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8927</v>
      </c>
      <c r="D729" s="2" t="s">
        <v>122</v>
      </c>
      <c r="E729" s="2">
        <v>141</v>
      </c>
      <c r="F729" s="2">
        <v>2944.13</v>
      </c>
    </row>
    <row r="730" spans="3:6" x14ac:dyDescent="0.25">
      <c r="C730" s="2" t="s">
        <v>8928</v>
      </c>
      <c r="D730" s="2" t="s">
        <v>122</v>
      </c>
      <c r="E730" s="2">
        <v>141</v>
      </c>
      <c r="F730" s="2">
        <v>2734.95</v>
      </c>
    </row>
    <row r="731" spans="3:6" x14ac:dyDescent="0.25">
      <c r="C731" s="2" t="s">
        <v>8929</v>
      </c>
      <c r="D731" s="2" t="s">
        <v>122</v>
      </c>
      <c r="E731" s="2">
        <v>89</v>
      </c>
      <c r="F731" s="2">
        <v>1835.41</v>
      </c>
    </row>
    <row r="732" spans="3:6" x14ac:dyDescent="0.25">
      <c r="C732" s="2" t="s">
        <v>8930</v>
      </c>
      <c r="D732" s="2" t="s">
        <v>122</v>
      </c>
      <c r="E732" s="2">
        <v>52</v>
      </c>
      <c r="F732" s="2">
        <v>1052.79</v>
      </c>
    </row>
    <row r="733" spans="3:6" x14ac:dyDescent="0.25">
      <c r="C733" s="2" t="s">
        <v>8931</v>
      </c>
      <c r="D733" s="2" t="s">
        <v>122</v>
      </c>
      <c r="E733" s="2">
        <v>102</v>
      </c>
      <c r="F733" s="2">
        <v>2095.99</v>
      </c>
    </row>
    <row r="734" spans="3:6" x14ac:dyDescent="0.25">
      <c r="C734" s="2" t="s">
        <v>8932</v>
      </c>
      <c r="D734" s="2" t="s">
        <v>122</v>
      </c>
      <c r="E734" s="2">
        <v>102</v>
      </c>
      <c r="F734" s="2">
        <v>2156.31</v>
      </c>
    </row>
    <row r="735" spans="3:6" x14ac:dyDescent="0.25">
      <c r="C735" s="2" t="s">
        <v>8933</v>
      </c>
      <c r="D735" s="2" t="s">
        <v>122</v>
      </c>
      <c r="E735" s="2">
        <v>60</v>
      </c>
      <c r="F735" s="2">
        <v>257.83</v>
      </c>
    </row>
    <row r="736" spans="3:6" x14ac:dyDescent="0.25">
      <c r="C736" s="2" t="s">
        <v>8934</v>
      </c>
      <c r="D736" s="2" t="s">
        <v>122</v>
      </c>
      <c r="E736" s="2">
        <v>45</v>
      </c>
      <c r="F736" s="2">
        <v>196.22</v>
      </c>
    </row>
    <row r="737" spans="3:6" x14ac:dyDescent="0.25">
      <c r="C737" s="2" t="s">
        <v>8935</v>
      </c>
      <c r="D737" s="2" t="s">
        <v>122</v>
      </c>
      <c r="E737" s="2">
        <v>75</v>
      </c>
      <c r="F737" s="2">
        <v>338.699</v>
      </c>
    </row>
    <row r="738" spans="3:6" x14ac:dyDescent="0.25">
      <c r="C738" s="2" t="s">
        <v>8936</v>
      </c>
      <c r="D738" s="2" t="s">
        <v>122</v>
      </c>
      <c r="E738" s="2">
        <v>113</v>
      </c>
      <c r="F738" s="2">
        <v>2281.29</v>
      </c>
    </row>
    <row r="739" spans="3:6" x14ac:dyDescent="0.25">
      <c r="C739" s="2" t="s">
        <v>8937</v>
      </c>
      <c r="D739" s="2" t="s">
        <v>122</v>
      </c>
      <c r="E739" s="2">
        <v>8</v>
      </c>
      <c r="F739" s="2">
        <v>166.31</v>
      </c>
    </row>
    <row r="740" spans="3:6" x14ac:dyDescent="0.25">
      <c r="C740" s="2" t="s">
        <v>8938</v>
      </c>
      <c r="D740" s="2" t="s">
        <v>122</v>
      </c>
      <c r="E740" s="2">
        <v>69</v>
      </c>
      <c r="F740" s="2">
        <v>1402.19</v>
      </c>
    </row>
    <row r="741" spans="3:6" x14ac:dyDescent="0.25">
      <c r="C741" s="2" t="s">
        <v>8939</v>
      </c>
      <c r="D741" s="2" t="s">
        <v>122</v>
      </c>
      <c r="E741" s="2">
        <v>35</v>
      </c>
      <c r="F741" s="2">
        <v>259.091</v>
      </c>
    </row>
    <row r="742" spans="3:6" x14ac:dyDescent="0.25">
      <c r="C742" s="2" t="s">
        <v>8940</v>
      </c>
      <c r="D742" s="2" t="s">
        <v>122</v>
      </c>
      <c r="E742" s="2">
        <v>11</v>
      </c>
      <c r="F742" s="2">
        <v>162.809</v>
      </c>
    </row>
    <row r="743" spans="3:6" x14ac:dyDescent="0.25">
      <c r="C743" s="2" t="s">
        <v>8941</v>
      </c>
      <c r="D743" s="2" t="s">
        <v>122</v>
      </c>
      <c r="E743" s="2">
        <v>100</v>
      </c>
      <c r="F743" s="2">
        <v>2040.21</v>
      </c>
    </row>
    <row r="744" spans="3:6" x14ac:dyDescent="0.25">
      <c r="C744" s="2" t="s">
        <v>8942</v>
      </c>
      <c r="D744" s="2" t="s">
        <v>122</v>
      </c>
      <c r="E744" s="2">
        <v>21</v>
      </c>
      <c r="F744" s="2">
        <v>422.54</v>
      </c>
    </row>
    <row r="745" spans="3:6" x14ac:dyDescent="0.25">
      <c r="C745" s="2" t="s">
        <v>8943</v>
      </c>
      <c r="D745" s="2" t="s">
        <v>122</v>
      </c>
      <c r="E745" s="2">
        <v>121</v>
      </c>
      <c r="F745" s="2">
        <v>2514.44</v>
      </c>
    </row>
    <row r="746" spans="3:6" x14ac:dyDescent="0.25">
      <c r="C746" s="2" t="s">
        <v>8944</v>
      </c>
      <c r="D746" s="2" t="s">
        <v>122</v>
      </c>
      <c r="E746" s="2">
        <v>50</v>
      </c>
      <c r="F746" s="2">
        <v>910.29</v>
      </c>
    </row>
    <row r="747" spans="3:6" x14ac:dyDescent="0.25">
      <c r="C747" s="2" t="s">
        <v>8945</v>
      </c>
      <c r="D747" s="2" t="s">
        <v>122</v>
      </c>
      <c r="E747" s="2">
        <v>85</v>
      </c>
      <c r="F747" s="2">
        <v>1638.959</v>
      </c>
    </row>
    <row r="748" spans="3:6" x14ac:dyDescent="0.25">
      <c r="C748" s="2" t="s">
        <v>8946</v>
      </c>
      <c r="D748" s="2" t="s">
        <v>122</v>
      </c>
      <c r="E748" s="2">
        <v>141</v>
      </c>
      <c r="F748" s="2">
        <v>2733.149</v>
      </c>
    </row>
    <row r="749" spans="3:6" x14ac:dyDescent="0.25">
      <c r="C749" s="2" t="s">
        <v>8947</v>
      </c>
      <c r="D749" s="2" t="s">
        <v>122</v>
      </c>
      <c r="E749" s="2">
        <v>39</v>
      </c>
      <c r="F749" s="2">
        <v>758.529</v>
      </c>
    </row>
    <row r="750" spans="3:6" x14ac:dyDescent="0.25">
      <c r="C750" s="2" t="s">
        <v>8948</v>
      </c>
      <c r="D750" s="2" t="s">
        <v>122</v>
      </c>
      <c r="E750" s="2">
        <v>41</v>
      </c>
      <c r="F750" s="2">
        <v>771.759</v>
      </c>
    </row>
    <row r="751" spans="3:6" x14ac:dyDescent="0.25">
      <c r="C751" s="2" t="s">
        <v>8949</v>
      </c>
      <c r="D751" s="2" t="s">
        <v>122</v>
      </c>
      <c r="E751" s="2">
        <v>63</v>
      </c>
      <c r="F751" s="2">
        <v>1055.131</v>
      </c>
    </row>
    <row r="752" spans="3:6" x14ac:dyDescent="0.25">
      <c r="C752" s="2" t="s">
        <v>8950</v>
      </c>
      <c r="D752" s="2" t="s">
        <v>122</v>
      </c>
      <c r="E752" s="2">
        <v>26</v>
      </c>
      <c r="F752" s="2">
        <v>516.78</v>
      </c>
    </row>
    <row r="753" spans="3:6" x14ac:dyDescent="0.25">
      <c r="C753" s="2" t="s">
        <v>8951</v>
      </c>
      <c r="D753" s="2" t="s">
        <v>122</v>
      </c>
      <c r="E753" s="2">
        <v>22</v>
      </c>
      <c r="F753" s="2">
        <v>408.41</v>
      </c>
    </row>
    <row r="754" spans="3:6" x14ac:dyDescent="0.25">
      <c r="C754" s="2" t="s">
        <v>8952</v>
      </c>
      <c r="D754" s="2" t="s">
        <v>122</v>
      </c>
      <c r="E754" s="2">
        <v>17</v>
      </c>
      <c r="F754" s="2">
        <v>328.25</v>
      </c>
    </row>
    <row r="755" spans="3:6" x14ac:dyDescent="0.25">
      <c r="C755" s="2" t="s">
        <v>8953</v>
      </c>
      <c r="D755" s="2" t="s">
        <v>122</v>
      </c>
      <c r="E755" s="2">
        <v>38</v>
      </c>
      <c r="F755" s="2">
        <v>789.17</v>
      </c>
    </row>
    <row r="756" spans="3:6" x14ac:dyDescent="0.25">
      <c r="C756" s="2" t="s">
        <v>8954</v>
      </c>
      <c r="D756" s="2" t="s">
        <v>122</v>
      </c>
      <c r="E756" s="2">
        <v>102</v>
      </c>
      <c r="F756" s="2">
        <v>2133.45</v>
      </c>
    </row>
    <row r="757" spans="3:6" x14ac:dyDescent="0.25">
      <c r="C757" s="2" t="s">
        <v>8955</v>
      </c>
      <c r="D757" s="2" t="s">
        <v>122</v>
      </c>
      <c r="E757" s="2">
        <v>20</v>
      </c>
      <c r="F757" s="2">
        <v>404.04</v>
      </c>
    </row>
    <row r="758" spans="3:6" x14ac:dyDescent="0.25">
      <c r="C758" s="2" t="s">
        <v>8956</v>
      </c>
      <c r="D758" s="2" t="s">
        <v>122</v>
      </c>
      <c r="E758" s="2">
        <v>28</v>
      </c>
      <c r="F758" s="2">
        <v>540.44</v>
      </c>
    </row>
    <row r="759" spans="3:6" x14ac:dyDescent="0.25">
      <c r="C759" s="2" t="s">
        <v>8957</v>
      </c>
      <c r="D759" s="2" t="s">
        <v>122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10</v>
      </c>
      <c r="C761" s="2" t="s">
        <v>8958</v>
      </c>
      <c r="D761" s="2" t="s">
        <v>12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8959</v>
      </c>
      <c r="D762" s="2" t="s">
        <v>12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503</v>
      </c>
      <c r="C764" s="2" t="s">
        <v>8922</v>
      </c>
      <c r="D764" s="2" t="s">
        <v>42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8960</v>
      </c>
      <c r="C766" s="2" t="s">
        <v>8961</v>
      </c>
      <c r="D766" s="2" t="s">
        <v>1288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8962</v>
      </c>
      <c r="D767" s="2" t="s">
        <v>8441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453</v>
      </c>
      <c r="C769" s="2" t="s">
        <v>8963</v>
      </c>
      <c r="D769" s="2" t="s">
        <v>204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8964</v>
      </c>
      <c r="D770" s="2" t="s">
        <v>204</v>
      </c>
      <c r="E770" s="2">
        <v>47</v>
      </c>
      <c r="F770" s="2">
        <v>921.8</v>
      </c>
    </row>
    <row r="771" spans="3:6" x14ac:dyDescent="0.25">
      <c r="C771" s="2" t="s">
        <v>8965</v>
      </c>
      <c r="D771" s="2" t="s">
        <v>204</v>
      </c>
      <c r="E771" s="2">
        <v>105</v>
      </c>
      <c r="F771" s="2">
        <v>2008.785</v>
      </c>
    </row>
    <row r="772" spans="3:6" x14ac:dyDescent="0.25">
      <c r="C772" s="2" t="s">
        <v>8966</v>
      </c>
      <c r="D772" s="2" t="s">
        <v>204</v>
      </c>
      <c r="E772" s="2">
        <v>311</v>
      </c>
      <c r="F772" s="2">
        <v>857.856</v>
      </c>
    </row>
    <row r="773" spans="3:6" x14ac:dyDescent="0.25">
      <c r="C773" s="2" t="s">
        <v>8967</v>
      </c>
      <c r="D773" s="2" t="s">
        <v>204</v>
      </c>
      <c r="E773" s="2">
        <v>156</v>
      </c>
      <c r="F773" s="2">
        <v>2725.73</v>
      </c>
    </row>
    <row r="774" spans="3:6" x14ac:dyDescent="0.25">
      <c r="C774" s="2" t="s">
        <v>8968</v>
      </c>
      <c r="D774" s="2" t="s">
        <v>204</v>
      </c>
      <c r="E774" s="2">
        <v>163</v>
      </c>
      <c r="F774" s="2">
        <v>3038.768</v>
      </c>
    </row>
    <row r="775" spans="3:6" x14ac:dyDescent="0.25">
      <c r="C775" s="2" t="s">
        <v>8969</v>
      </c>
      <c r="D775" s="2" t="s">
        <v>214</v>
      </c>
      <c r="E775" s="2">
        <v>100</v>
      </c>
      <c r="F775" s="2">
        <v>1872.16</v>
      </c>
    </row>
    <row r="776" spans="3:6" x14ac:dyDescent="0.25">
      <c r="C776" s="2" t="s">
        <v>8970</v>
      </c>
      <c r="D776" s="2" t="s">
        <v>214</v>
      </c>
      <c r="E776" s="2">
        <v>56</v>
      </c>
      <c r="F776" s="2">
        <v>1054.075</v>
      </c>
    </row>
    <row r="777" spans="3:6" x14ac:dyDescent="0.25">
      <c r="C777" s="2" t="s">
        <v>8971</v>
      </c>
      <c r="D777" s="2" t="s">
        <v>214</v>
      </c>
      <c r="E777" s="2">
        <v>56</v>
      </c>
      <c r="F777" s="2">
        <v>1093.348</v>
      </c>
    </row>
    <row r="778" spans="3:6" x14ac:dyDescent="0.25">
      <c r="C778" s="2" t="s">
        <v>8972</v>
      </c>
      <c r="D778" s="2" t="s">
        <v>214</v>
      </c>
      <c r="E778" s="2">
        <v>100</v>
      </c>
      <c r="F778" s="2">
        <v>1994.102</v>
      </c>
    </row>
    <row r="779" spans="3:6" x14ac:dyDescent="0.25">
      <c r="C779" s="2" t="s">
        <v>8973</v>
      </c>
      <c r="D779" s="2" t="s">
        <v>214</v>
      </c>
      <c r="E779" s="2">
        <v>56</v>
      </c>
      <c r="F779" s="2">
        <v>1055.13</v>
      </c>
    </row>
    <row r="780" spans="3:6" x14ac:dyDescent="0.25">
      <c r="C780" s="2" t="s">
        <v>8974</v>
      </c>
      <c r="D780" s="2" t="s">
        <v>214</v>
      </c>
      <c r="E780" s="2">
        <v>100</v>
      </c>
      <c r="F780" s="2">
        <v>1864.054</v>
      </c>
    </row>
    <row r="781" spans="3:6" x14ac:dyDescent="0.25">
      <c r="C781" s="2" t="s">
        <v>8975</v>
      </c>
      <c r="D781" s="2" t="s">
        <v>214</v>
      </c>
      <c r="E781" s="2">
        <v>100</v>
      </c>
      <c r="F781" s="2">
        <v>1927.76</v>
      </c>
    </row>
    <row r="782" spans="3:6" x14ac:dyDescent="0.25">
      <c r="C782" s="2" t="s">
        <v>8976</v>
      </c>
      <c r="D782" s="2" t="s">
        <v>214</v>
      </c>
      <c r="E782" s="2">
        <v>56</v>
      </c>
      <c r="F782" s="2">
        <v>1089.158</v>
      </c>
    </row>
    <row r="783" spans="3:6" x14ac:dyDescent="0.25">
      <c r="C783" s="2" t="s">
        <v>8977</v>
      </c>
      <c r="D783" s="2" t="s">
        <v>214</v>
      </c>
      <c r="E783" s="2">
        <v>105</v>
      </c>
      <c r="F783" s="2">
        <v>2037.02</v>
      </c>
    </row>
    <row r="784" spans="3:6" x14ac:dyDescent="0.25">
      <c r="C784" s="2" t="s">
        <v>8978</v>
      </c>
      <c r="D784" s="2" t="s">
        <v>214</v>
      </c>
      <c r="E784" s="2">
        <v>105</v>
      </c>
      <c r="F784" s="2">
        <v>2037.42</v>
      </c>
    </row>
    <row r="785" spans="3:6" x14ac:dyDescent="0.25">
      <c r="C785" s="2" t="s">
        <v>8979</v>
      </c>
      <c r="D785" s="2" t="s">
        <v>216</v>
      </c>
      <c r="E785" s="2">
        <v>156</v>
      </c>
      <c r="F785" s="2">
        <v>3161.72</v>
      </c>
    </row>
    <row r="786" spans="3:6" x14ac:dyDescent="0.25">
      <c r="C786" s="2" t="s">
        <v>8980</v>
      </c>
      <c r="D786" s="2" t="s">
        <v>216</v>
      </c>
      <c r="E786" s="2">
        <v>134</v>
      </c>
      <c r="F786" s="2">
        <v>2690.3</v>
      </c>
    </row>
    <row r="787" spans="3:6" x14ac:dyDescent="0.25">
      <c r="C787" s="2" t="s">
        <v>8981</v>
      </c>
      <c r="D787" s="2" t="s">
        <v>216</v>
      </c>
      <c r="E787" s="2">
        <v>134</v>
      </c>
      <c r="F787" s="2">
        <v>2733.68</v>
      </c>
    </row>
    <row r="788" spans="3:6" x14ac:dyDescent="0.25">
      <c r="C788" s="2" t="s">
        <v>8982</v>
      </c>
      <c r="D788" s="2" t="s">
        <v>216</v>
      </c>
      <c r="E788" s="2">
        <v>134</v>
      </c>
      <c r="F788" s="2">
        <v>2686.36</v>
      </c>
    </row>
    <row r="789" spans="3:6" x14ac:dyDescent="0.25">
      <c r="C789" s="2" t="s">
        <v>8983</v>
      </c>
      <c r="D789" s="2" t="s">
        <v>216</v>
      </c>
      <c r="E789" s="2">
        <v>134</v>
      </c>
      <c r="F789" s="2">
        <v>2704.4</v>
      </c>
    </row>
    <row r="790" spans="3:6" x14ac:dyDescent="0.25">
      <c r="C790" s="2" t="s">
        <v>8984</v>
      </c>
      <c r="D790" s="2" t="s">
        <v>216</v>
      </c>
      <c r="E790" s="2">
        <v>134</v>
      </c>
      <c r="F790" s="2">
        <v>2656.448</v>
      </c>
    </row>
    <row r="791" spans="3:6" x14ac:dyDescent="0.25">
      <c r="C791" s="2" t="s">
        <v>8985</v>
      </c>
      <c r="D791" s="2" t="s">
        <v>216</v>
      </c>
      <c r="E791" s="2">
        <v>134</v>
      </c>
      <c r="F791" s="2">
        <v>2517.1</v>
      </c>
    </row>
    <row r="792" spans="3:6" x14ac:dyDescent="0.25">
      <c r="C792" s="2" t="s">
        <v>8986</v>
      </c>
      <c r="D792" s="2" t="s">
        <v>216</v>
      </c>
      <c r="E792" s="2">
        <v>163</v>
      </c>
      <c r="F792" s="2">
        <v>3124.801</v>
      </c>
    </row>
    <row r="793" spans="3:6" x14ac:dyDescent="0.25">
      <c r="C793" s="2" t="s">
        <v>8987</v>
      </c>
      <c r="D793" s="2" t="s">
        <v>216</v>
      </c>
      <c r="E793" s="2">
        <v>163</v>
      </c>
      <c r="F793" s="2">
        <v>3249.62</v>
      </c>
    </row>
    <row r="794" spans="3:6" x14ac:dyDescent="0.25">
      <c r="C794" s="2" t="s">
        <v>8988</v>
      </c>
      <c r="D794" s="2" t="s">
        <v>216</v>
      </c>
      <c r="E794" s="2">
        <v>95</v>
      </c>
      <c r="F794" s="2">
        <v>1854.849</v>
      </c>
    </row>
    <row r="795" spans="3:6" x14ac:dyDescent="0.25">
      <c r="C795" s="2" t="s">
        <v>8989</v>
      </c>
      <c r="D795" s="2" t="s">
        <v>216</v>
      </c>
      <c r="E795" s="2">
        <v>62</v>
      </c>
      <c r="F795" s="2">
        <v>1120.19</v>
      </c>
    </row>
    <row r="796" spans="3:6" x14ac:dyDescent="0.25">
      <c r="C796" s="2" t="s">
        <v>8990</v>
      </c>
      <c r="D796" s="2" t="s">
        <v>216</v>
      </c>
      <c r="E796" s="2">
        <v>44</v>
      </c>
      <c r="F796" s="2">
        <v>965.4</v>
      </c>
    </row>
    <row r="797" spans="3:6" x14ac:dyDescent="0.25">
      <c r="C797" s="2" t="s">
        <v>8861</v>
      </c>
      <c r="D797" s="2" t="s">
        <v>236</v>
      </c>
      <c r="E797" s="2">
        <v>45</v>
      </c>
      <c r="F797" s="2">
        <v>845.53</v>
      </c>
    </row>
    <row r="798" spans="3:6" x14ac:dyDescent="0.25">
      <c r="C798" s="2" t="s">
        <v>8860</v>
      </c>
      <c r="D798" s="2" t="s">
        <v>236</v>
      </c>
      <c r="E798" s="2">
        <v>60</v>
      </c>
      <c r="F798" s="2">
        <v>1053.78</v>
      </c>
    </row>
    <row r="799" spans="3:6" x14ac:dyDescent="0.25">
      <c r="C799" s="2" t="s">
        <v>8991</v>
      </c>
      <c r="D799" s="2" t="s">
        <v>236</v>
      </c>
      <c r="E799" s="2">
        <v>36</v>
      </c>
      <c r="F799" s="2">
        <v>681</v>
      </c>
    </row>
    <row r="800" spans="3:6" x14ac:dyDescent="0.25">
      <c r="C800" s="2" t="s">
        <v>8992</v>
      </c>
      <c r="D800" s="2" t="s">
        <v>236</v>
      </c>
      <c r="E800" s="2">
        <v>60</v>
      </c>
      <c r="F800" s="2">
        <v>1054.599</v>
      </c>
    </row>
    <row r="801" spans="3:6" x14ac:dyDescent="0.25">
      <c r="C801" s="2" t="s">
        <v>8993</v>
      </c>
      <c r="D801" s="2" t="s">
        <v>236</v>
      </c>
      <c r="E801" s="2">
        <v>60</v>
      </c>
      <c r="F801" s="2">
        <v>1142.18</v>
      </c>
    </row>
    <row r="802" spans="3:6" x14ac:dyDescent="0.25">
      <c r="C802" s="2" t="s">
        <v>8994</v>
      </c>
      <c r="D802" s="2" t="s">
        <v>236</v>
      </c>
      <c r="E802" s="2">
        <v>11</v>
      </c>
      <c r="F802" s="2">
        <v>238.35</v>
      </c>
    </row>
    <row r="803" spans="3:6" x14ac:dyDescent="0.25">
      <c r="C803" s="2" t="s">
        <v>8995</v>
      </c>
      <c r="D803" s="2" t="s">
        <v>236</v>
      </c>
      <c r="E803" s="2">
        <v>80</v>
      </c>
      <c r="F803" s="2">
        <v>1571.92</v>
      </c>
    </row>
    <row r="804" spans="3:6" x14ac:dyDescent="0.25">
      <c r="C804" s="2" t="s">
        <v>8996</v>
      </c>
      <c r="D804" s="2" t="s">
        <v>236</v>
      </c>
      <c r="E804" s="2">
        <v>14</v>
      </c>
      <c r="F804" s="2">
        <v>290.74</v>
      </c>
    </row>
    <row r="805" spans="3:6" x14ac:dyDescent="0.25">
      <c r="C805" s="2" t="s">
        <v>8997</v>
      </c>
      <c r="D805" s="2" t="s">
        <v>236</v>
      </c>
      <c r="E805" s="2">
        <v>80</v>
      </c>
      <c r="F805" s="2">
        <v>1559.499</v>
      </c>
    </row>
    <row r="806" spans="3:6" x14ac:dyDescent="0.25">
      <c r="C806" s="2" t="s">
        <v>8998</v>
      </c>
      <c r="D806" s="2" t="s">
        <v>236</v>
      </c>
      <c r="E806" s="2">
        <v>76</v>
      </c>
      <c r="F806" s="2">
        <v>1463.99</v>
      </c>
    </row>
    <row r="807" spans="3:6" x14ac:dyDescent="0.25">
      <c r="C807" s="2" t="s">
        <v>8999</v>
      </c>
      <c r="D807" s="2" t="s">
        <v>347</v>
      </c>
      <c r="E807" s="2">
        <v>100</v>
      </c>
      <c r="F807" s="2">
        <v>1884.611</v>
      </c>
    </row>
    <row r="808" spans="3:6" x14ac:dyDescent="0.25">
      <c r="C808" s="2" t="s">
        <v>9000</v>
      </c>
      <c r="D808" s="2" t="s">
        <v>347</v>
      </c>
      <c r="E808" s="2">
        <v>56</v>
      </c>
      <c r="F808" s="2">
        <v>1085.651</v>
      </c>
    </row>
    <row r="809" spans="3:6" x14ac:dyDescent="0.25">
      <c r="C809" s="2" t="s">
        <v>9001</v>
      </c>
      <c r="D809" s="2" t="s">
        <v>342</v>
      </c>
      <c r="E809" s="2">
        <v>112</v>
      </c>
      <c r="F809" s="2">
        <v>2062.129</v>
      </c>
    </row>
    <row r="810" spans="3:6" x14ac:dyDescent="0.25">
      <c r="C810" s="2" t="s">
        <v>9002</v>
      </c>
      <c r="D810" s="2" t="s">
        <v>342</v>
      </c>
      <c r="E810" s="2">
        <v>44</v>
      </c>
      <c r="F810" s="2">
        <v>736.129</v>
      </c>
    </row>
    <row r="811" spans="3:6" x14ac:dyDescent="0.25">
      <c r="C811" s="2" t="s">
        <v>9003</v>
      </c>
      <c r="D811" s="2" t="s">
        <v>342</v>
      </c>
      <c r="E811" s="2">
        <v>36</v>
      </c>
      <c r="F811" s="2">
        <v>688.36</v>
      </c>
    </row>
    <row r="813" spans="2:7" x14ac:dyDescent="0.25">
      <c r="B813" s="2" t="s">
        <v>2077</v>
      </c>
      <c r="C813" s="2" t="s">
        <v>9004</v>
      </c>
      <c r="D813" s="2" t="s">
        <v>216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9005</v>
      </c>
      <c r="D814" s="2" t="s">
        <v>216</v>
      </c>
      <c r="E814" s="2">
        <v>105</v>
      </c>
      <c r="F814" s="2">
        <v>1743.409</v>
      </c>
    </row>
    <row r="815" spans="3:6" x14ac:dyDescent="0.25">
      <c r="C815" s="2" t="s">
        <v>9006</v>
      </c>
      <c r="D815" s="2" t="s">
        <v>216</v>
      </c>
      <c r="E815" s="2">
        <v>105</v>
      </c>
      <c r="F815" s="2">
        <v>1976.238</v>
      </c>
    </row>
    <row r="816" spans="3:6" x14ac:dyDescent="0.25">
      <c r="C816" s="2" t="s">
        <v>9007</v>
      </c>
      <c r="D816" s="2" t="s">
        <v>216</v>
      </c>
      <c r="E816" s="2">
        <v>156</v>
      </c>
      <c r="F816" s="2">
        <v>2819.388</v>
      </c>
    </row>
    <row r="817" spans="3:6" x14ac:dyDescent="0.25">
      <c r="C817" s="2" t="s">
        <v>9008</v>
      </c>
      <c r="D817" s="2" t="s">
        <v>297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9009</v>
      </c>
      <c r="C819" s="2" t="s">
        <v>9010</v>
      </c>
      <c r="D819" s="2" t="s">
        <v>204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9011</v>
      </c>
      <c r="D820" s="2" t="s">
        <v>204</v>
      </c>
      <c r="E820" s="2">
        <v>134</v>
      </c>
      <c r="F820" s="2">
        <v>2689.059</v>
      </c>
    </row>
    <row r="821" spans="3:6" x14ac:dyDescent="0.25">
      <c r="C821" s="2" t="s">
        <v>9012</v>
      </c>
      <c r="D821" s="2" t="s">
        <v>204</v>
      </c>
      <c r="E821" s="2">
        <v>36</v>
      </c>
      <c r="F821" s="2">
        <v>560.56</v>
      </c>
    </row>
    <row r="822" spans="3:6" x14ac:dyDescent="0.25">
      <c r="C822" s="2" t="s">
        <v>9013</v>
      </c>
      <c r="D822" s="2" t="s">
        <v>204</v>
      </c>
      <c r="E822" s="2">
        <v>50</v>
      </c>
      <c r="F822" s="2">
        <v>999.55</v>
      </c>
    </row>
    <row r="823" spans="3:6" x14ac:dyDescent="0.25">
      <c r="C823" s="2" t="s">
        <v>9014</v>
      </c>
      <c r="D823" s="2" t="s">
        <v>204</v>
      </c>
      <c r="E823" s="2">
        <v>50</v>
      </c>
      <c r="F823" s="2">
        <v>1040.44</v>
      </c>
    </row>
    <row r="824" spans="3:6" x14ac:dyDescent="0.25">
      <c r="C824" s="2" t="s">
        <v>9015</v>
      </c>
      <c r="D824" s="2" t="s">
        <v>204</v>
      </c>
      <c r="E824" s="2">
        <v>209</v>
      </c>
      <c r="F824" s="2">
        <v>575.215</v>
      </c>
    </row>
    <row r="825" spans="3:6" x14ac:dyDescent="0.25">
      <c r="C825" s="2" t="s">
        <v>9016</v>
      </c>
      <c r="D825" s="2" t="s">
        <v>204</v>
      </c>
      <c r="E825" s="2">
        <v>152</v>
      </c>
      <c r="F825" s="2">
        <v>2624.309</v>
      </c>
    </row>
    <row r="826" spans="3:6" x14ac:dyDescent="0.25">
      <c r="C826" s="2" t="s">
        <v>9017</v>
      </c>
      <c r="D826" s="2" t="s">
        <v>204</v>
      </c>
      <c r="E826" s="2">
        <v>156</v>
      </c>
      <c r="F826" s="2">
        <v>3021.1</v>
      </c>
    </row>
    <row r="827" spans="3:6" x14ac:dyDescent="0.25">
      <c r="C827" s="2" t="s">
        <v>9018</v>
      </c>
      <c r="D827" s="2" t="s">
        <v>204</v>
      </c>
      <c r="E827" s="2">
        <v>163</v>
      </c>
      <c r="F827" s="2">
        <v>3082.308</v>
      </c>
    </row>
    <row r="828" spans="3:6" x14ac:dyDescent="0.25">
      <c r="C828" s="2" t="s">
        <v>9019</v>
      </c>
      <c r="D828" s="2" t="s">
        <v>204</v>
      </c>
      <c r="E828" s="2">
        <v>163</v>
      </c>
      <c r="F828" s="2">
        <v>3058.987</v>
      </c>
    </row>
    <row r="829" spans="3:6" x14ac:dyDescent="0.25">
      <c r="C829" s="2" t="s">
        <v>9020</v>
      </c>
      <c r="D829" s="2" t="s">
        <v>204</v>
      </c>
      <c r="E829" s="2">
        <v>163</v>
      </c>
      <c r="F829" s="2">
        <v>3145.488</v>
      </c>
    </row>
    <row r="830" spans="3:6" x14ac:dyDescent="0.25">
      <c r="C830" s="2" t="s">
        <v>9021</v>
      </c>
      <c r="D830" s="2" t="s">
        <v>204</v>
      </c>
      <c r="E830" s="2">
        <v>134</v>
      </c>
      <c r="F830" s="2">
        <v>2699.919</v>
      </c>
    </row>
    <row r="831" spans="3:6" x14ac:dyDescent="0.25">
      <c r="C831" s="2" t="s">
        <v>9022</v>
      </c>
      <c r="D831" s="2" t="s">
        <v>204</v>
      </c>
      <c r="E831" s="2">
        <v>134</v>
      </c>
      <c r="F831" s="2">
        <v>2620.239</v>
      </c>
    </row>
    <row r="832" spans="3:6" x14ac:dyDescent="0.25">
      <c r="C832" s="2" t="s">
        <v>9023</v>
      </c>
      <c r="D832" s="2" t="s">
        <v>204</v>
      </c>
      <c r="E832" s="2">
        <v>134</v>
      </c>
      <c r="F832" s="2">
        <v>2550.029</v>
      </c>
    </row>
    <row r="833" spans="3:6" x14ac:dyDescent="0.25">
      <c r="C833" s="2" t="s">
        <v>9024</v>
      </c>
      <c r="D833" s="2" t="s">
        <v>204</v>
      </c>
      <c r="E833" s="2">
        <v>134</v>
      </c>
      <c r="F833" s="2">
        <v>2655.88</v>
      </c>
    </row>
    <row r="834" spans="3:6" x14ac:dyDescent="0.25">
      <c r="C834" s="2" t="s">
        <v>9025</v>
      </c>
      <c r="D834" s="2" t="s">
        <v>204</v>
      </c>
      <c r="E834" s="2">
        <v>134</v>
      </c>
      <c r="F834" s="2">
        <v>2585.14</v>
      </c>
    </row>
    <row r="835" spans="3:6" x14ac:dyDescent="0.25">
      <c r="C835" s="2" t="s">
        <v>9026</v>
      </c>
      <c r="D835" s="2" t="s">
        <v>204</v>
      </c>
      <c r="E835" s="2">
        <v>163</v>
      </c>
      <c r="F835" s="2">
        <v>3012.509</v>
      </c>
    </row>
    <row r="836" spans="3:6" x14ac:dyDescent="0.25">
      <c r="C836" s="2" t="s">
        <v>9027</v>
      </c>
      <c r="D836" s="2" t="s">
        <v>204</v>
      </c>
      <c r="E836" s="2">
        <v>163</v>
      </c>
      <c r="F836" s="2">
        <v>3149.829</v>
      </c>
    </row>
    <row r="837" spans="3:6" x14ac:dyDescent="0.25">
      <c r="C837" s="2" t="s">
        <v>9028</v>
      </c>
      <c r="D837" s="2" t="s">
        <v>204</v>
      </c>
      <c r="E837" s="2">
        <v>95</v>
      </c>
      <c r="F837" s="2">
        <v>1940.16</v>
      </c>
    </row>
    <row r="838" spans="3:6" x14ac:dyDescent="0.25">
      <c r="C838" s="2" t="s">
        <v>9029</v>
      </c>
      <c r="D838" s="2" t="s">
        <v>204</v>
      </c>
      <c r="E838" s="2">
        <v>100</v>
      </c>
      <c r="F838" s="2">
        <v>1748.2</v>
      </c>
    </row>
    <row r="839" spans="3:6" x14ac:dyDescent="0.25">
      <c r="C839" s="2" t="s">
        <v>9030</v>
      </c>
      <c r="D839" s="2" t="s">
        <v>204</v>
      </c>
      <c r="E839" s="2">
        <v>105</v>
      </c>
      <c r="F839" s="2">
        <v>2125.25</v>
      </c>
    </row>
    <row r="840" spans="3:6" x14ac:dyDescent="0.25">
      <c r="C840" s="2" t="s">
        <v>9031</v>
      </c>
      <c r="D840" s="2" t="s">
        <v>204</v>
      </c>
      <c r="E840" s="2">
        <v>105</v>
      </c>
      <c r="F840" s="2">
        <v>2071.6</v>
      </c>
    </row>
    <row r="841" spans="3:6" x14ac:dyDescent="0.25">
      <c r="C841" s="2" t="s">
        <v>9032</v>
      </c>
      <c r="D841" s="2" t="s">
        <v>204</v>
      </c>
      <c r="E841" s="2">
        <v>105</v>
      </c>
      <c r="F841" s="2">
        <v>1941.428</v>
      </c>
    </row>
    <row r="842" spans="3:6" x14ac:dyDescent="0.25">
      <c r="C842" s="2" t="s">
        <v>9033</v>
      </c>
      <c r="D842" s="2" t="s">
        <v>204</v>
      </c>
      <c r="E842" s="2">
        <v>105</v>
      </c>
      <c r="F842" s="2">
        <v>1953.85</v>
      </c>
    </row>
    <row r="843" spans="3:6" x14ac:dyDescent="0.25">
      <c r="C843" s="2" t="s">
        <v>9034</v>
      </c>
      <c r="D843" s="2" t="s">
        <v>204</v>
      </c>
      <c r="E843" s="2">
        <v>105</v>
      </c>
      <c r="F843" s="2">
        <v>2047.859</v>
      </c>
    </row>
    <row r="844" spans="3:6" x14ac:dyDescent="0.25">
      <c r="C844" s="2" t="s">
        <v>9035</v>
      </c>
      <c r="D844" s="2" t="s">
        <v>204</v>
      </c>
      <c r="E844" s="2">
        <v>105</v>
      </c>
      <c r="F844" s="2">
        <v>2111.19</v>
      </c>
    </row>
    <row r="845" spans="3:6" x14ac:dyDescent="0.25">
      <c r="C845" s="2" t="s">
        <v>9036</v>
      </c>
      <c r="D845" s="2" t="s">
        <v>204</v>
      </c>
      <c r="E845" s="2">
        <v>105</v>
      </c>
      <c r="F845" s="2">
        <v>2025.41</v>
      </c>
    </row>
    <row r="846" spans="3:6" x14ac:dyDescent="0.25">
      <c r="C846" s="2" t="s">
        <v>9037</v>
      </c>
      <c r="D846" s="2" t="s">
        <v>204</v>
      </c>
      <c r="E846" s="2">
        <v>163</v>
      </c>
      <c r="F846" s="2">
        <v>2996.77</v>
      </c>
    </row>
    <row r="847" spans="3:6" x14ac:dyDescent="0.25">
      <c r="C847" s="2" t="s">
        <v>9038</v>
      </c>
      <c r="D847" s="2" t="s">
        <v>204</v>
      </c>
      <c r="E847" s="2">
        <v>163</v>
      </c>
      <c r="F847" s="2">
        <v>3111.518</v>
      </c>
    </row>
    <row r="848" spans="3:6" x14ac:dyDescent="0.25">
      <c r="C848" s="2" t="s">
        <v>9039</v>
      </c>
      <c r="D848" s="2" t="s">
        <v>204</v>
      </c>
      <c r="E848" s="2">
        <v>163</v>
      </c>
      <c r="F848" s="2">
        <v>2930.609</v>
      </c>
    </row>
    <row r="849" spans="3:6" x14ac:dyDescent="0.25">
      <c r="C849" s="2" t="s">
        <v>9040</v>
      </c>
      <c r="D849" s="2" t="s">
        <v>204</v>
      </c>
      <c r="E849" s="2">
        <v>163</v>
      </c>
      <c r="F849" s="2">
        <v>3154.019</v>
      </c>
    </row>
    <row r="850" spans="3:6" x14ac:dyDescent="0.25">
      <c r="C850" s="2" t="s">
        <v>9041</v>
      </c>
      <c r="D850" s="2" t="s">
        <v>204</v>
      </c>
      <c r="E850" s="2">
        <v>163</v>
      </c>
      <c r="F850" s="2">
        <v>3195.449</v>
      </c>
    </row>
    <row r="851" spans="3:6" x14ac:dyDescent="0.25">
      <c r="C851" s="2" t="s">
        <v>9042</v>
      </c>
      <c r="D851" s="2" t="s">
        <v>204</v>
      </c>
      <c r="E851" s="2">
        <v>163</v>
      </c>
      <c r="F851" s="2">
        <v>3139.077</v>
      </c>
    </row>
    <row r="852" spans="3:6" x14ac:dyDescent="0.25">
      <c r="C852" s="2" t="s">
        <v>9043</v>
      </c>
      <c r="D852" s="2" t="s">
        <v>204</v>
      </c>
      <c r="E852" s="2">
        <v>163</v>
      </c>
      <c r="F852" s="2">
        <v>3127.61</v>
      </c>
    </row>
    <row r="853" spans="3:6" x14ac:dyDescent="0.25">
      <c r="C853" s="2" t="s">
        <v>9044</v>
      </c>
      <c r="D853" s="2" t="s">
        <v>204</v>
      </c>
      <c r="E853" s="2">
        <v>163</v>
      </c>
      <c r="F853" s="2">
        <v>3061.599</v>
      </c>
    </row>
    <row r="854" spans="3:6" x14ac:dyDescent="0.25">
      <c r="C854" s="2" t="s">
        <v>9045</v>
      </c>
      <c r="D854" s="2" t="s">
        <v>204</v>
      </c>
      <c r="E854" s="2">
        <v>163</v>
      </c>
      <c r="F854" s="2">
        <v>3041.858</v>
      </c>
    </row>
    <row r="855" spans="3:6" x14ac:dyDescent="0.25">
      <c r="C855" s="2" t="s">
        <v>9046</v>
      </c>
      <c r="D855" s="2" t="s">
        <v>204</v>
      </c>
      <c r="E855" s="2">
        <v>163</v>
      </c>
      <c r="F855" s="2">
        <v>3171.84</v>
      </c>
    </row>
    <row r="856" spans="3:6" x14ac:dyDescent="0.25">
      <c r="C856" s="2" t="s">
        <v>9047</v>
      </c>
      <c r="D856" s="2" t="s">
        <v>204</v>
      </c>
      <c r="E856" s="2">
        <v>163</v>
      </c>
      <c r="F856" s="2">
        <v>3223.99</v>
      </c>
    </row>
    <row r="857" spans="3:6" x14ac:dyDescent="0.25">
      <c r="C857" s="2" t="s">
        <v>9048</v>
      </c>
      <c r="D857" s="2" t="s">
        <v>204</v>
      </c>
      <c r="E857" s="2">
        <v>163</v>
      </c>
      <c r="F857" s="2">
        <v>3090.16</v>
      </c>
    </row>
    <row r="858" spans="3:6" x14ac:dyDescent="0.25">
      <c r="C858" s="2" t="s">
        <v>9049</v>
      </c>
      <c r="D858" s="2" t="s">
        <v>204</v>
      </c>
      <c r="E858" s="2">
        <v>163</v>
      </c>
      <c r="F858" s="2">
        <v>3062.6</v>
      </c>
    </row>
    <row r="859" spans="3:6" x14ac:dyDescent="0.25">
      <c r="C859" s="2" t="s">
        <v>9050</v>
      </c>
      <c r="D859" s="2" t="s">
        <v>204</v>
      </c>
      <c r="E859" s="2">
        <v>148</v>
      </c>
      <c r="F859" s="2">
        <v>2837.12</v>
      </c>
    </row>
    <row r="860" spans="3:6" x14ac:dyDescent="0.25">
      <c r="C860" s="2" t="s">
        <v>9051</v>
      </c>
      <c r="D860" s="2" t="s">
        <v>204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1101</v>
      </c>
      <c r="C862" s="2" t="s">
        <v>9052</v>
      </c>
      <c r="D862" s="2" t="s">
        <v>20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9053</v>
      </c>
      <c r="D863" s="2" t="s">
        <v>20</v>
      <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    <v>20</v>
      </c>
      <c r="E864" s="2">
        <v>116</v>
      </c>
      <c r="F864" s="2">
        <v>2539.162</v>
      </c>
    </row>
    <row r="865" spans="3:6" x14ac:dyDescent="0.25">
      <c r="C865" s="2" t="s">
        <v>9055</v>
      </c>
      <c r="D865" s="2" t="s">
        <v>20</v>
      </c>
      <c r="E865" s="2">
        <v>163</v>
      </c>
      <c r="F865" s="2">
        <v>3092.07</v>
      </c>
    </row>
    <row r="866" spans="3:6" x14ac:dyDescent="0.25">
      <c r="C866" s="2" t="s">
        <v>9056</v>
      </c>
      <c r="D866" s="2" t="s">
        <v>20</v>
      </c>
      <c r="E866" s="2">
        <v>163</v>
      </c>
      <c r="F866" s="2">
        <v>1976.713</v>
      </c>
    </row>
    <row r="867" spans="3:6" x14ac:dyDescent="0.25">
      <c r="C867" s="2" t="s">
        <v>9057</v>
      </c>
      <c r="D867" s="2" t="s">
        <v>20</v>
      </c>
      <c r="E867" s="2">
        <v>163</v>
      </c>
      <c r="F867" s="2">
        <v>3098.348</v>
      </c>
    </row>
    <row r="868" spans="3:6" x14ac:dyDescent="0.25">
      <c r="C868" s="2" t="s">
        <v>9058</v>
      </c>
      <c r="D868" s="2" t="s">
        <v>20</v>
      </c>
      <c r="E868" s="2">
        <v>105</v>
      </c>
      <c r="F868" s="2">
        <v>2267.62</v>
      </c>
    </row>
    <row r="869" spans="3:6" x14ac:dyDescent="0.25">
      <c r="C869" s="2" t="s">
        <v>9059</v>
      </c>
      <c r="D869" s="2" t="s">
        <v>20</v>
      </c>
      <c r="E869" s="2">
        <v>163</v>
      </c>
      <c r="F869" s="2">
        <v>3154.41</v>
      </c>
    </row>
    <row r="870" spans="3:6" x14ac:dyDescent="0.25">
      <c r="C870" s="2" t="s">
        <v>9060</v>
      </c>
      <c r="D870" s="2" t="s">
        <v>20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5633</v>
      </c>
      <c r="C872" s="2" t="s">
        <v>9061</v>
      </c>
      <c r="D872" s="2" t="s">
        <v>27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9062</v>
      </c>
      <c r="D873" s="2" t="s">
        <v>27</v>
      </c>
      <c r="E873" s="2">
        <v>101</v>
      </c>
      <c r="F873" s="2">
        <v>1944.13</v>
      </c>
    </row>
    <row r="874" spans="3:6" x14ac:dyDescent="0.25">
      <c r="C874" s="2" t="s">
        <v>9063</v>
      </c>
      <c r="D874" s="2" t="s">
        <v>27</v>
      </c>
      <c r="E874" s="2">
        <v>45</v>
      </c>
      <c r="F874" s="2">
        <v>778.83</v>
      </c>
    </row>
    <row r="875" spans="3:6" x14ac:dyDescent="0.25">
      <c r="C875" s="2" t="s">
        <v>9064</v>
      </c>
      <c r="D875" s="2" t="s">
        <v>27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2097</v>
      </c>
      <c r="C877" s="2" t="s">
        <v>9065</v>
      </c>
      <c r="D877" s="2" t="s">
        <v>122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9066</v>
      </c>
      <c r="D878" s="2" t="s">
        <v>122</v>
      </c>
      <c r="E878" s="2">
        <v>141</v>
      </c>
      <c r="F878" s="2">
        <v>2902.26</v>
      </c>
    </row>
    <row r="879" spans="3:6" x14ac:dyDescent="0.25">
      <c r="C879" s="2" t="s">
        <v>9067</v>
      </c>
      <c r="D879" s="2" t="s">
        <v>122</v>
      </c>
      <c r="E879" s="2">
        <v>141</v>
      </c>
      <c r="F879" s="2">
        <v>2869.7</v>
      </c>
    </row>
    <row r="880" spans="3:6" x14ac:dyDescent="0.25">
      <c r="C880" s="2" t="s">
        <v>9068</v>
      </c>
      <c r="D880" s="2" t="s">
        <v>122</v>
      </c>
      <c r="E880" s="2">
        <v>43</v>
      </c>
      <c r="F880" s="2">
        <v>792.68</v>
      </c>
    </row>
    <row r="881" spans="3:6" x14ac:dyDescent="0.25">
      <c r="C881" s="2" t="s">
        <v>9069</v>
      </c>
      <c r="D881" s="2" t="s">
        <v>122</v>
      </c>
      <c r="E881" s="2">
        <v>22</v>
      </c>
      <c r="F881" s="2">
        <v>482.83</v>
      </c>
    </row>
    <row r="882" spans="3:6" x14ac:dyDescent="0.25">
      <c r="C882" s="2" t="s">
        <v>9070</v>
      </c>
      <c r="D882" s="2" t="s">
        <v>122</v>
      </c>
      <c r="E882" s="2">
        <v>23</v>
      </c>
      <c r="F882" s="2">
        <v>416.76</v>
      </c>
    </row>
    <row r="883" spans="3:6" x14ac:dyDescent="0.25">
      <c r="C883" s="2" t="s">
        <v>9071</v>
      </c>
      <c r="D883" s="2" t="s">
        <v>122</v>
      </c>
      <c r="E883" s="2">
        <v>54</v>
      </c>
      <c r="F883" s="2">
        <v>1116.86</v>
      </c>
    </row>
    <row r="884" spans="3:6" x14ac:dyDescent="0.25">
      <c r="C884" s="2" t="s">
        <v>9072</v>
      </c>
      <c r="D884" s="2" t="s">
        <v>122</v>
      </c>
      <c r="E884" s="2">
        <v>101</v>
      </c>
      <c r="F884" s="2">
        <v>2044.14</v>
      </c>
    </row>
    <row r="885" spans="3:6" x14ac:dyDescent="0.25">
      <c r="C885" s="2" t="s">
        <v>9073</v>
      </c>
      <c r="D885" s="2" t="s">
        <v>122</v>
      </c>
      <c r="E885" s="2">
        <v>121</v>
      </c>
      <c r="F885" s="2">
        <v>2377.1</v>
      </c>
    </row>
    <row r="886" spans="3:6" x14ac:dyDescent="0.25">
      <c r="C886" s="2" t="s">
        <v>9074</v>
      </c>
      <c r="D886" s="2" t="s">
        <v>122</v>
      </c>
      <c r="E886" s="2">
        <v>122</v>
      </c>
      <c r="F886" s="2">
        <v>2426.75</v>
      </c>
    </row>
    <row r="887" spans="3:6" x14ac:dyDescent="0.25">
      <c r="C887" s="2" t="s">
        <v>9075</v>
      </c>
      <c r="D887" s="2" t="s">
        <v>122</v>
      </c>
      <c r="E887" s="2">
        <v>130</v>
      </c>
      <c r="F887" s="2">
        <v>2630.638</v>
      </c>
    </row>
    <row r="888" spans="3:6" x14ac:dyDescent="0.25">
      <c r="C888" s="2" t="s">
        <v>9076</v>
      </c>
      <c r="D888" s="2" t="s">
        <v>122</v>
      </c>
      <c r="E888" s="2">
        <v>11</v>
      </c>
      <c r="F888" s="2">
        <v>225.13</v>
      </c>
    </row>
    <row r="889" spans="3:6" x14ac:dyDescent="0.25">
      <c r="C889" s="2" t="s">
        <v>9077</v>
      </c>
      <c r="D889" s="2" t="s">
        <v>122</v>
      </c>
      <c r="E889" s="2">
        <v>42</v>
      </c>
      <c r="F889" s="2">
        <v>830.43</v>
      </c>
    </row>
    <row r="890" spans="3:6" x14ac:dyDescent="0.25">
      <c r="C890" s="2" t="s">
        <v>9078</v>
      </c>
      <c r="D890" s="2" t="s">
        <v>122</v>
      </c>
      <c r="E890" s="2">
        <v>99</v>
      </c>
      <c r="F890" s="2">
        <v>2007.89</v>
      </c>
    </row>
    <row r="891" spans="3:6" x14ac:dyDescent="0.25">
      <c r="C891" s="2" t="s">
        <v>9079</v>
      </c>
      <c r="D891" s="2" t="s">
        <v>122</v>
      </c>
      <c r="E891" s="2">
        <v>141</v>
      </c>
      <c r="F891" s="2">
        <v>2580.721</v>
      </c>
    </row>
    <row r="892" spans="3:6" x14ac:dyDescent="0.25">
      <c r="C892" s="2" t="s">
        <v>9080</v>
      </c>
      <c r="D892" s="2" t="s">
        <v>122</v>
      </c>
      <c r="E892" s="2">
        <v>141</v>
      </c>
      <c r="F892" s="2">
        <v>2806.98</v>
      </c>
    </row>
    <row r="893" spans="3:6" x14ac:dyDescent="0.25">
      <c r="C893" s="2" t="s">
        <v>9081</v>
      </c>
      <c r="D893" s="2" t="s">
        <v>122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10</v>
      </c>
      <c r="C895" s="2" t="s">
        <v>9082</v>
      </c>
      <c r="D895" s="2" t="s">
        <v>12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9083</v>
      </c>
      <c r="D896" s="2" t="s">
        <v>12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172</v>
      </c>
      <c r="C898" s="2" t="s">
        <v>9084</v>
      </c>
      <c r="D898" s="2" t="s">
        <v>9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9085</v>
      </c>
      <c r="D899" s="2" t="s">
        <v>9</v>
      </c>
      <c r="E899" s="2">
        <v>141</v>
      </c>
      <c r="F899" s="2">
        <v>2851.89</v>
      </c>
    </row>
    <row r="900" spans="3:6" x14ac:dyDescent="0.25">
      <c r="C900" s="2" t="s">
        <v>9086</v>
      </c>
      <c r="D900" s="2" t="s">
        <v>9</v>
      </c>
      <c r="E900" s="2">
        <v>123</v>
      </c>
      <c r="F900" s="2">
        <v>2509.849</v>
      </c>
    </row>
    <row r="901" spans="3:6" x14ac:dyDescent="0.25">
      <c r="C901" s="2" t="s">
        <v>9087</v>
      </c>
      <c r="D901" s="2" t="s">
        <v>9</v>
      </c>
      <c r="E901" s="2">
        <v>102</v>
      </c>
      <c r="F901" s="2">
        <v>2112.06</v>
      </c>
    </row>
    <row r="902" spans="3:6" x14ac:dyDescent="0.25">
      <c r="C902" s="2" t="s">
        <v>9088</v>
      </c>
      <c r="D902" s="2" t="s">
        <v>9</v>
      </c>
      <c r="E902" s="2">
        <v>102</v>
      </c>
      <c r="F902" s="2">
        <v>2100.02</v>
      </c>
    </row>
    <row r="903" spans="3:6" x14ac:dyDescent="0.25">
      <c r="C903" s="2" t="s">
        <v>9089</v>
      </c>
      <c r="D903" s="2" t="s">
        <v>9</v>
      </c>
      <c r="E903" s="2">
        <v>204</v>
      </c>
      <c r="F903" s="2">
        <v>4195.81</v>
      </c>
    </row>
    <row r="904" spans="3:6" x14ac:dyDescent="0.25">
      <c r="C904" s="2" t="s">
        <v>9090</v>
      </c>
      <c r="D904" s="2" t="s">
        <v>9</v>
      </c>
      <c r="E904" s="2">
        <v>141</v>
      </c>
      <c r="F904" s="2">
        <v>2826.66</v>
      </c>
    </row>
    <row r="905" spans="3:6" x14ac:dyDescent="0.25">
      <c r="C905" s="2" t="s">
        <v>9091</v>
      </c>
      <c r="D905" s="2" t="s">
        <v>9</v>
      </c>
      <c r="E905" s="2">
        <v>141</v>
      </c>
      <c r="F905" s="2">
        <v>2845.36</v>
      </c>
    </row>
    <row r="906" spans="3:6" x14ac:dyDescent="0.25">
      <c r="C906" s="2" t="s">
        <v>9092</v>
      </c>
      <c r="D906" s="2" t="s">
        <v>9</v>
      </c>
      <c r="E906" s="2">
        <v>141</v>
      </c>
      <c r="F906" s="2">
        <v>2907.17</v>
      </c>
    </row>
    <row r="907" spans="3:6" x14ac:dyDescent="0.25">
      <c r="C907" s="2" t="s">
        <v>9093</v>
      </c>
      <c r="D907" s="2" t="s">
        <v>9</v>
      </c>
      <c r="E907" s="2">
        <v>75</v>
      </c>
      <c r="F907" s="2">
        <v>336.368</v>
      </c>
    </row>
    <row r="908" spans="3:6" x14ac:dyDescent="0.25">
      <c r="C908" s="2" t="s">
        <v>9094</v>
      </c>
      <c r="D908" s="2" t="s">
        <v>9</v>
      </c>
      <c r="E908" s="2">
        <v>123</v>
      </c>
      <c r="F908" s="2">
        <v>2539.52</v>
      </c>
    </row>
    <row r="909" spans="3:6" x14ac:dyDescent="0.25">
      <c r="C909" s="2" t="s">
        <v>9095</v>
      </c>
      <c r="D909" s="2" t="s">
        <v>9</v>
      </c>
      <c r="E909" s="2">
        <v>141</v>
      </c>
      <c r="F909" s="2">
        <v>2969.63</v>
      </c>
    </row>
    <row r="910" spans="3:6" x14ac:dyDescent="0.25">
      <c r="C910" s="2" t="s">
        <v>9096</v>
      </c>
      <c r="D910" s="2" t="s">
        <v>9</v>
      </c>
      <c r="E910" s="2">
        <v>141</v>
      </c>
      <c r="F910" s="2">
        <v>2854.069</v>
      </c>
    </row>
    <row r="911" spans="3:6" x14ac:dyDescent="0.25">
      <c r="C911" s="2" t="s">
        <v>9097</v>
      </c>
      <c r="D911" s="2" t="s">
        <v>9</v>
      </c>
      <c r="E911" s="2">
        <v>102</v>
      </c>
      <c r="F911" s="2">
        <v>2065.16</v>
      </c>
    </row>
    <row r="912" spans="3:6" x14ac:dyDescent="0.25">
      <c r="C912" s="2" t="s">
        <v>9098</v>
      </c>
      <c r="D912" s="2" t="s">
        <v>9</v>
      </c>
      <c r="E912" s="2">
        <v>72</v>
      </c>
      <c r="F912" s="2">
        <v>1420.05</v>
      </c>
    </row>
    <row r="913" spans="3:6" x14ac:dyDescent="0.25">
      <c r="C913" s="2" t="s">
        <v>9099</v>
      </c>
      <c r="D913" s="2" t="s">
        <v>9</v>
      </c>
      <c r="E913" s="2">
        <v>62</v>
      </c>
      <c r="F913" s="2">
        <v>1240.94</v>
      </c>
    </row>
    <row r="914" spans="3:6" x14ac:dyDescent="0.25">
      <c r="C914" s="2" t="s">
        <v>9100</v>
      </c>
      <c r="D914" s="2" t="s">
        <v>9</v>
      </c>
      <c r="E914" s="2">
        <v>123</v>
      </c>
      <c r="F914" s="2">
        <v>2434.9</v>
      </c>
    </row>
    <row r="915" spans="3:6" x14ac:dyDescent="0.25">
      <c r="C915" s="2" t="s">
        <v>9101</v>
      </c>
      <c r="D915" s="2" t="s">
        <v>9</v>
      </c>
      <c r="E915" s="2">
        <v>43</v>
      </c>
      <c r="F915" s="2">
        <v>815.439</v>
      </c>
    </row>
    <row r="916" spans="3:6" x14ac:dyDescent="0.25">
      <c r="C916" s="2" t="s">
        <v>9102</v>
      </c>
      <c r="D916" s="2" t="s">
        <v>9</v>
      </c>
      <c r="E916" s="2">
        <v>80</v>
      </c>
      <c r="F916" s="2">
        <v>1573.07</v>
      </c>
    </row>
    <row r="917" spans="3:6" x14ac:dyDescent="0.25">
      <c r="C917" s="2" t="s">
        <v>9103</v>
      </c>
      <c r="D917" s="2" t="s">
        <v>9</v>
      </c>
      <c r="E917" s="2">
        <v>65</v>
      </c>
      <c r="F917" s="2">
        <v>1333.69</v>
      </c>
    </row>
    <row r="918" spans="3:6" x14ac:dyDescent="0.25">
      <c r="C918" s="2" t="s">
        <v>9104</v>
      </c>
      <c r="D918" s="2" t="s">
        <v>9</v>
      </c>
      <c r="E918" s="2">
        <v>76</v>
      </c>
      <c r="F918" s="2">
        <v>1564.38</v>
      </c>
    </row>
    <row r="919" spans="3:6" x14ac:dyDescent="0.25">
      <c r="C919" s="2" t="s">
        <v>9105</v>
      </c>
      <c r="D919" s="2" t="s">
        <v>9</v>
      </c>
      <c r="E919" s="2">
        <v>141</v>
      </c>
      <c r="F919" s="2">
        <v>2889.11</v>
      </c>
    </row>
    <row r="920" spans="3:6" x14ac:dyDescent="0.25">
      <c r="C920" s="2" t="s">
        <v>9106</v>
      </c>
      <c r="D920" s="2" t="s">
        <v>9</v>
      </c>
      <c r="E920" s="2">
        <v>141</v>
      </c>
      <c r="F920" s="2">
        <v>2685.856</v>
      </c>
    </row>
    <row r="921" spans="3:6" x14ac:dyDescent="0.25">
      <c r="C921" s="2" t="s">
        <v>9107</v>
      </c>
      <c r="D921" s="2" t="s">
        <v>9</v>
      </c>
      <c r="E921" s="2">
        <v>64</v>
      </c>
      <c r="F921" s="2">
        <v>1221.56</v>
      </c>
    </row>
    <row r="922" spans="3:6" x14ac:dyDescent="0.25">
      <c r="C922" s="2" t="s">
        <v>9108</v>
      </c>
      <c r="D922" s="2" t="s">
        <v>9</v>
      </c>
      <c r="E922" s="2">
        <v>77</v>
      </c>
      <c r="F922" s="2">
        <v>1398.06</v>
      </c>
    </row>
    <row r="923" spans="3:6" x14ac:dyDescent="0.25">
      <c r="C923" s="2" t="s">
        <v>9109</v>
      </c>
      <c r="D923" s="2" t="s">
        <v>9</v>
      </c>
      <c r="E923" s="2">
        <v>102</v>
      </c>
      <c r="F923" s="2">
        <v>1814.849</v>
      </c>
    </row>
    <row r="924" spans="3:6" x14ac:dyDescent="0.25">
      <c r="C924" s="2" t="s">
        <v>9110</v>
      </c>
      <c r="D924" s="2" t="s">
        <v>9</v>
      </c>
      <c r="E924" s="2">
        <v>141</v>
      </c>
      <c r="F924" s="2">
        <v>2638.118</v>
      </c>
    </row>
    <row r="925" spans="3:6" x14ac:dyDescent="0.25">
      <c r="C925" s="2" t="s">
        <v>9111</v>
      </c>
      <c r="D925" s="2" t="s">
        <v>9</v>
      </c>
      <c r="E925" s="2">
        <v>38</v>
      </c>
      <c r="F925" s="2">
        <v>754.87</v>
      </c>
    </row>
    <row r="926" spans="3:6" x14ac:dyDescent="0.25">
      <c r="C926" s="2" t="s">
        <v>9112</v>
      </c>
      <c r="D926" s="2" t="s">
        <v>9</v>
      </c>
      <c r="E926" s="2">
        <v>92</v>
      </c>
      <c r="F926" s="2">
        <v>1762.279</v>
      </c>
    </row>
    <row r="927" spans="3:6" x14ac:dyDescent="0.25">
      <c r="C927" s="2" t="s">
        <v>9113</v>
      </c>
      <c r="D927" s="2" t="s">
        <v>9</v>
      </c>
      <c r="E927" s="2">
        <v>13</v>
      </c>
      <c r="F927" s="2">
        <v>193.82</v>
      </c>
    </row>
    <row r="928" spans="3:6" x14ac:dyDescent="0.25">
      <c r="C928" s="2" t="s">
        <v>9114</v>
      </c>
      <c r="D928" s="2" t="s">
        <v>9</v>
      </c>
      <c r="E928" s="2">
        <v>126</v>
      </c>
      <c r="F928" s="2">
        <v>2320.89</v>
      </c>
    </row>
    <row r="929" spans="3:6" x14ac:dyDescent="0.25">
      <c r="C929" s="2" t="s">
        <v>9115</v>
      </c>
      <c r="D929" s="2" t="s">
        <v>9</v>
      </c>
      <c r="E929" s="2">
        <v>17</v>
      </c>
      <c r="F929" s="2">
        <v>316.57</v>
      </c>
    </row>
    <row r="930" spans="3:6" x14ac:dyDescent="0.25">
      <c r="C930" s="2" t="s">
        <v>9116</v>
      </c>
      <c r="D930" s="2" t="s">
        <v>9</v>
      </c>
      <c r="E930" s="2">
        <v>4</v>
      </c>
      <c r="F930" s="2">
        <v>46.4</v>
      </c>
    </row>
    <row r="931" spans="3:6" x14ac:dyDescent="0.25">
      <c r="C931" s="2" t="s">
        <v>9117</v>
      </c>
      <c r="D931" s="2" t="s">
        <v>9</v>
      </c>
      <c r="E931" s="2">
        <v>39</v>
      </c>
      <c r="F931" s="2">
        <v>810.01</v>
      </c>
    </row>
    <row r="932" spans="3:6" x14ac:dyDescent="0.25">
      <c r="C932" s="2" t="s">
        <v>9118</v>
      </c>
      <c r="D932" s="2" t="s">
        <v>9</v>
      </c>
      <c r="E932" s="2">
        <v>32</v>
      </c>
      <c r="F932" s="2">
        <v>621.81</v>
      </c>
    </row>
    <row r="933" spans="3:6" x14ac:dyDescent="0.25">
      <c r="C933" s="2" t="s">
        <v>9119</v>
      </c>
      <c r="D933" s="2" t="s">
        <v>9</v>
      </c>
      <c r="E933" s="2">
        <v>142</v>
      </c>
      <c r="F933" s="2">
        <v>2441.79</v>
      </c>
    </row>
    <row r="934" spans="3:6" x14ac:dyDescent="0.25">
      <c r="C934" s="2" t="s">
        <v>9120</v>
      </c>
      <c r="D934" s="2" t="s">
        <v>9</v>
      </c>
      <c r="E934" s="2">
        <v>102</v>
      </c>
      <c r="F934" s="2">
        <v>1861.679</v>
      </c>
    </row>
    <row r="935" spans="3:6" x14ac:dyDescent="0.25">
      <c r="C935" s="2" t="s">
        <v>9121</v>
      </c>
      <c r="D935" s="2" t="s">
        <v>9</v>
      </c>
      <c r="E935" s="2" t="s">
        <v>8758</v>
      </c>
      <c r="F935" s="2" t="s">
        <v>8758</v>
      </c>
    </row>
    <row r="936" spans="3:6" x14ac:dyDescent="0.25">
      <c r="C936" s="2" t="s">
        <v>9122</v>
      </c>
      <c r="D936" s="2" t="s">
        <v>9</v>
      </c>
      <c r="E936" s="2" t="s">
        <v>8758</v>
      </c>
      <c r="F936" s="2" t="s">
        <v>8758</v>
      </c>
    </row>
    <row r="938" spans="1:7" x14ac:dyDescent="0.25">
      <c r="A938" s="1">
        <v>46180</v>
      </c>
      <c r="B938" s="2" t="s">
        <v>183</v>
      </c>
      <c r="C938" s="2" t="s">
        <v>9123</v>
      </c>
      <c r="D938" s="2" t="s">
        <v>122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9124</v>
      </c>
      <c r="D939" s="2" t="s">
        <v>122</v>
      </c>
      <c r="E939" s="2">
        <v>60</v>
      </c>
      <c r="F939" s="2">
        <v>256.868</v>
      </c>
    </row>
    <row r="940" spans="3:6" x14ac:dyDescent="0.25">
      <c r="C940" s="2" t="s">
        <v>9125</v>
      </c>
      <c r="D940" s="2" t="s">
        <v>122</v>
      </c>
      <c r="E940" s="2">
        <v>141</v>
      </c>
      <c r="F940" s="2">
        <v>2923.4</v>
      </c>
    </row>
    <row r="941" spans="3:6" x14ac:dyDescent="0.25">
      <c r="C941" s="2" t="s">
        <v>9126</v>
      </c>
      <c r="D941" s="2" t="s">
        <v>122</v>
      </c>
      <c r="E941" s="2">
        <v>200</v>
      </c>
      <c r="F941" s="2">
        <v>1809.697</v>
      </c>
    </row>
    <row r="942" spans="3:6" x14ac:dyDescent="0.25">
      <c r="C942" s="2" t="s">
        <v>9127</v>
      </c>
      <c r="D942" s="2" t="s">
        <v>122</v>
      </c>
      <c r="E942" s="2">
        <v>141</v>
      </c>
      <c r="F942" s="2">
        <v>2661.349</v>
      </c>
    </row>
    <row r="943" spans="3:6" x14ac:dyDescent="0.25">
      <c r="C943" s="2" t="s">
        <v>9128</v>
      </c>
      <c r="D943" s="2" t="s">
        <v>122</v>
      </c>
      <c r="E943" s="2">
        <v>75</v>
      </c>
      <c r="F943" s="2">
        <v>1498.77</v>
      </c>
    </row>
    <row r="944" spans="3:6" x14ac:dyDescent="0.25">
      <c r="C944" s="2" t="s">
        <v>9129</v>
      </c>
      <c r="D944" s="2" t="s">
        <v>122</v>
      </c>
      <c r="E944" s="2">
        <v>50</v>
      </c>
      <c r="F944" s="2">
        <v>979.48</v>
      </c>
    </row>
    <row r="945" spans="3:6" x14ac:dyDescent="0.25">
      <c r="C945" s="2" t="s">
        <v>9130</v>
      </c>
      <c r="D945" s="2" t="s">
        <v>122</v>
      </c>
      <c r="E945" s="2">
        <v>90</v>
      </c>
      <c r="F945" s="2">
        <v>1215.482</v>
      </c>
    </row>
    <row r="946" spans="3:6" x14ac:dyDescent="0.25">
      <c r="C946" s="2" t="s">
        <v>9131</v>
      </c>
      <c r="D946" s="2" t="s">
        <v>122</v>
      </c>
      <c r="E946" s="2">
        <v>70</v>
      </c>
      <c r="F946" s="2">
        <v>381.342</v>
      </c>
    </row>
    <row r="947" spans="3:6" x14ac:dyDescent="0.25">
      <c r="C947" s="2" t="s">
        <v>9132</v>
      </c>
      <c r="D947" s="2" t="s">
        <v>122</v>
      </c>
      <c r="E947" s="2">
        <v>46</v>
      </c>
      <c r="F947" s="2">
        <v>905.45</v>
      </c>
    </row>
    <row r="948" spans="3:6" x14ac:dyDescent="0.25">
      <c r="C948" s="2" t="s">
        <v>9133</v>
      </c>
      <c r="D948" s="2" t="s">
        <v>122</v>
      </c>
      <c r="E948" s="2">
        <v>34</v>
      </c>
      <c r="F948" s="2">
        <v>645.48</v>
      </c>
    </row>
    <row r="949" spans="3:6" x14ac:dyDescent="0.25">
      <c r="C949" s="2" t="s">
        <v>9134</v>
      </c>
      <c r="D949" s="2" t="s">
        <v>122</v>
      </c>
      <c r="E949" s="2">
        <v>22</v>
      </c>
      <c r="F949" s="2">
        <v>456.07</v>
      </c>
    </row>
    <row r="950" spans="3:6" x14ac:dyDescent="0.25">
      <c r="C950" s="2" t="s">
        <v>9135</v>
      </c>
      <c r="D950" s="2" t="s">
        <v>122</v>
      </c>
      <c r="E950" s="2">
        <v>121</v>
      </c>
      <c r="F950" s="2">
        <v>2493.7</v>
      </c>
    </row>
    <row r="951" spans="3:6" x14ac:dyDescent="0.25">
      <c r="C951" s="2" t="s">
        <v>9136</v>
      </c>
      <c r="D951" s="2" t="s">
        <v>122</v>
      </c>
      <c r="E951" s="2">
        <v>121</v>
      </c>
      <c r="F951" s="2">
        <v>2542.78</v>
      </c>
    </row>
    <row r="952" spans="3:6" x14ac:dyDescent="0.25">
      <c r="C952" s="2" t="s">
        <v>9137</v>
      </c>
      <c r="D952" s="2" t="s">
        <v>122</v>
      </c>
      <c r="E952" s="2">
        <v>121</v>
      </c>
      <c r="F952" s="2">
        <v>2523.91</v>
      </c>
    </row>
    <row r="953" spans="3:6" x14ac:dyDescent="0.25">
      <c r="C953" s="2" t="s">
        <v>9138</v>
      </c>
      <c r="D953" s="2" t="s">
        <v>122</v>
      </c>
      <c r="E953" s="2">
        <v>141</v>
      </c>
      <c r="F953" s="2">
        <v>2894.23</v>
      </c>
    </row>
    <row r="954" spans="3:6" x14ac:dyDescent="0.25">
      <c r="C954" s="2" t="s">
        <v>9139</v>
      </c>
      <c r="D954" s="2" t="s">
        <v>122</v>
      </c>
      <c r="E954" s="2">
        <v>121</v>
      </c>
      <c r="F954" s="2">
        <v>2508.829</v>
      </c>
    </row>
    <row r="955" spans="3:6" x14ac:dyDescent="0.25">
      <c r="C955" s="2" t="s">
        <v>9140</v>
      </c>
      <c r="D955" s="2" t="s">
        <v>122</v>
      </c>
      <c r="E955" s="2">
        <v>134</v>
      </c>
      <c r="F955" s="2">
        <v>2654.448</v>
      </c>
    </row>
    <row r="956" spans="3:6" x14ac:dyDescent="0.25">
      <c r="C956" s="2" t="s">
        <v>9141</v>
      </c>
      <c r="D956" s="2" t="s">
        <v>122</v>
      </c>
      <c r="E956" s="2">
        <v>30</v>
      </c>
      <c r="F956" s="2">
        <v>551.34</v>
      </c>
    </row>
    <row r="957" spans="3:6" x14ac:dyDescent="0.25">
      <c r="C957" s="2" t="s">
        <v>9142</v>
      </c>
      <c r="D957" s="2" t="s">
        <v>122</v>
      </c>
      <c r="E957" s="2">
        <v>72</v>
      </c>
      <c r="F957" s="2">
        <v>1414.76</v>
      </c>
    </row>
    <row r="958" spans="3:6" x14ac:dyDescent="0.25">
      <c r="C958" s="2" t="s">
        <v>9143</v>
      </c>
      <c r="D958" s="2" t="s">
        <v>122</v>
      </c>
      <c r="E958" s="2">
        <v>42</v>
      </c>
      <c r="F958" s="2">
        <v>863.51</v>
      </c>
    </row>
    <row r="959" spans="3:6" x14ac:dyDescent="0.25">
      <c r="C959" s="2" t="s">
        <v>9144</v>
      </c>
      <c r="D959" s="2" t="s">
        <v>122</v>
      </c>
      <c r="E959" s="2">
        <v>60</v>
      </c>
      <c r="F959" s="2">
        <v>1248.05</v>
      </c>
    </row>
    <row r="960" spans="3:6" x14ac:dyDescent="0.25">
      <c r="C960" s="2" t="s">
        <v>9145</v>
      </c>
      <c r="D960" s="2" t="s">
        <v>122</v>
      </c>
      <c r="E960" s="2">
        <v>72</v>
      </c>
      <c r="F960" s="2">
        <v>1451.64</v>
      </c>
    </row>
    <row r="961" spans="3:6" x14ac:dyDescent="0.25">
      <c r="C961" s="2" t="s">
        <v>9146</v>
      </c>
      <c r="D961" s="2" t="s">
        <v>122</v>
      </c>
      <c r="E961" s="2">
        <v>30</v>
      </c>
      <c r="F961" s="2">
        <v>601.3</v>
      </c>
    </row>
    <row r="962" spans="3:6" x14ac:dyDescent="0.25">
      <c r="C962" s="2" t="s">
        <v>9147</v>
      </c>
      <c r="D962" s="2" t="s">
        <v>122</v>
      </c>
      <c r="E962" s="2">
        <v>36</v>
      </c>
      <c r="F962" s="2">
        <v>740.87</v>
      </c>
    </row>
    <row r="963" spans="3:6" x14ac:dyDescent="0.25">
      <c r="C963" s="2" t="s">
        <v>9148</v>
      </c>
      <c r="D963" s="2" t="s">
        <v>122</v>
      </c>
      <c r="E963" s="2">
        <v>24</v>
      </c>
      <c r="F963" s="2">
        <v>486.42</v>
      </c>
    </row>
    <row r="964" spans="3:6" x14ac:dyDescent="0.25">
      <c r="C964" s="2" t="s">
        <v>9149</v>
      </c>
      <c r="D964" s="2" t="s">
        <v>122</v>
      </c>
      <c r="E964" s="2">
        <v>15</v>
      </c>
      <c r="F964" s="2">
        <v>299</v>
      </c>
    </row>
    <row r="965" spans="3:6" x14ac:dyDescent="0.25">
      <c r="C965" s="2" t="s">
        <v>8757</v>
      </c>
      <c r="D965" s="2" t="s">
        <v>122</v>
      </c>
      <c r="E965" s="2">
        <v>75</v>
      </c>
      <c r="F965" s="2">
        <v>333.299</v>
      </c>
    </row>
    <row r="966" spans="3:6" x14ac:dyDescent="0.25">
      <c r="C966" s="2" t="s">
        <v>9150</v>
      </c>
      <c r="D966" s="2" t="s">
        <v>122</v>
      </c>
      <c r="E966" s="2">
        <v>141</v>
      </c>
      <c r="F966" s="2">
        <v>2968.69</v>
      </c>
    </row>
    <row r="967" spans="3:6" x14ac:dyDescent="0.25">
      <c r="C967" s="2" t="s">
        <v>9151</v>
      </c>
      <c r="D967" s="2" t="s">
        <v>122</v>
      </c>
      <c r="E967" s="2">
        <v>141</v>
      </c>
      <c r="F967" s="2">
        <v>2882.11</v>
      </c>
    </row>
    <row r="968" spans="3:6" x14ac:dyDescent="0.25">
      <c r="C968" s="2" t="s">
        <v>9152</v>
      </c>
      <c r="D968" s="2" t="s">
        <v>122</v>
      </c>
      <c r="E968" s="2">
        <v>141</v>
      </c>
      <c r="F968" s="2">
        <v>2761.67</v>
      </c>
    </row>
    <row r="969" spans="3:6" x14ac:dyDescent="0.25">
      <c r="C969" s="2" t="s">
        <v>9153</v>
      </c>
      <c r="D969" s="2" t="s">
        <v>122</v>
      </c>
      <c r="E969" s="2">
        <v>56</v>
      </c>
      <c r="F969" s="2">
        <v>1183.93</v>
      </c>
    </row>
    <row r="970" spans="3:6" x14ac:dyDescent="0.25">
      <c r="C970" s="2" t="s">
        <v>9154</v>
      </c>
      <c r="D970" s="2" t="s">
        <v>122</v>
      </c>
      <c r="E970" s="2">
        <v>63</v>
      </c>
      <c r="F970" s="2">
        <v>1186.26</v>
      </c>
    </row>
    <row r="971" spans="3:6" x14ac:dyDescent="0.25">
      <c r="C971" s="2" t="s">
        <v>9155</v>
      </c>
      <c r="D971" s="2" t="s">
        <v>122</v>
      </c>
      <c r="E971" s="2">
        <v>22</v>
      </c>
      <c r="F971" s="2">
        <v>421.75</v>
      </c>
    </row>
    <row r="972" spans="3:6" x14ac:dyDescent="0.25">
      <c r="C972" s="2" t="s">
        <v>9156</v>
      </c>
      <c r="D972" s="2" t="s">
        <v>122</v>
      </c>
      <c r="E972" s="2">
        <v>64</v>
      </c>
      <c r="F972" s="2">
        <v>1252.53</v>
      </c>
    </row>
    <row r="973" spans="3:6" x14ac:dyDescent="0.25">
      <c r="C973" s="2" t="s">
        <v>9157</v>
      </c>
      <c r="D973" s="2" t="s">
        <v>122</v>
      </c>
      <c r="E973" s="2">
        <v>38</v>
      </c>
      <c r="F973" s="2">
        <v>777.16</v>
      </c>
    </row>
    <row r="974" spans="3:6" x14ac:dyDescent="0.25">
      <c r="C974" s="2" t="s">
        <v>9158</v>
      </c>
      <c r="D974" s="2" t="s">
        <v>122</v>
      </c>
      <c r="E974" s="2">
        <v>66</v>
      </c>
      <c r="F974" s="2">
        <v>1296.53</v>
      </c>
    </row>
    <row r="975" spans="3:6" x14ac:dyDescent="0.25">
      <c r="C975" s="2" t="s">
        <v>9159</v>
      </c>
      <c r="D975" s="2" t="s">
        <v>122</v>
      </c>
      <c r="E975" s="2">
        <v>75</v>
      </c>
      <c r="F975" s="2">
        <v>1558.34</v>
      </c>
    </row>
    <row r="976" spans="3:6" x14ac:dyDescent="0.25">
      <c r="C976" s="2" t="s">
        <v>9160</v>
      </c>
      <c r="D976" s="2" t="s">
        <v>122</v>
      </c>
      <c r="E976" s="2">
        <v>66</v>
      </c>
      <c r="F976" s="2">
        <v>1288.029</v>
      </c>
    </row>
    <row r="977" spans="3:6" x14ac:dyDescent="0.25">
      <c r="C977" s="2" t="s">
        <v>9161</v>
      </c>
      <c r="D977" s="2" t="s">
        <v>122</v>
      </c>
      <c r="E977" s="2">
        <v>45</v>
      </c>
      <c r="F977" s="2">
        <v>837.328</v>
      </c>
    </row>
    <row r="978" spans="3:6" x14ac:dyDescent="0.25">
      <c r="C978" s="2" t="s">
        <v>9162</v>
      </c>
      <c r="D978" s="2" t="s">
        <v>122</v>
      </c>
      <c r="E978" s="2">
        <v>30</v>
      </c>
      <c r="F978" s="2">
        <v>636.75</v>
      </c>
    </row>
    <row r="979" spans="3:6" x14ac:dyDescent="0.25">
      <c r="C979" s="2" t="s">
        <v>9163</v>
      </c>
      <c r="D979" s="2" t="s">
        <v>122</v>
      </c>
      <c r="E979" s="2">
        <v>35</v>
      </c>
      <c r="F979" s="2">
        <v>679.889</v>
      </c>
    </row>
    <row r="980" spans="3:6" x14ac:dyDescent="0.25">
      <c r="C980" s="2" t="s">
        <v>9164</v>
      </c>
      <c r="D980" s="2" t="s">
        <v>122</v>
      </c>
      <c r="E980" s="2">
        <v>56</v>
      </c>
      <c r="F980" s="2">
        <v>1166.54</v>
      </c>
    </row>
    <row r="981" spans="3:6" x14ac:dyDescent="0.25">
      <c r="C981" s="2" t="s">
        <v>9165</v>
      </c>
      <c r="D981" s="2" t="s">
        <v>122</v>
      </c>
      <c r="E981" s="2">
        <v>17</v>
      </c>
      <c r="F981" s="2">
        <v>333.3</v>
      </c>
    </row>
    <row r="982" spans="3:6" x14ac:dyDescent="0.25">
      <c r="C982" s="2" t="s">
        <v>9166</v>
      </c>
      <c r="D982" s="2" t="s">
        <v>122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398</v>
      </c>
      <c r="C984" s="2" t="s">
        <v>9167</v>
      </c>
      <c r="D984" s="2" t="s">
        <v>12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9168</v>
      </c>
      <c r="D985" s="2" t="s">
        <v>12</v>
      </c>
      <c r="E985" s="2">
        <v>156</v>
      </c>
      <c r="F985" s="2">
        <v>2962.102</v>
      </c>
    </row>
    <row r="986" spans="3:6" x14ac:dyDescent="0.25">
      <c r="C986" s="2" t="s">
        <v>9169</v>
      </c>
      <c r="D986" s="2" t="s">
        <v>12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438</v>
      </c>
      <c r="C988" s="2" t="s">
        <v>9170</v>
      </c>
      <c r="D988" s="2" t="s">
        <v>42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1286</v>
      </c>
      <c r="C990" s="2" t="s">
        <v>9171</v>
      </c>
      <c r="D990" s="2" t="s">
        <v>8441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9172</v>
      </c>
      <c r="D992" s="2" t="s">
        <v>204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9173</v>
      </c>
      <c r="D994" s="2" t="s">
        <v>204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324</v>
      </c>
      <c r="C996" s="2" t="s">
        <v>9174</v>
      </c>
      <c r="D996" s="2" t="s">
        <v>122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9175</v>
      </c>
      <c r="D997" s="2" t="s">
        <v>122</v>
      </c>
      <c r="E997" s="2">
        <v>36</v>
      </c>
      <c r="F997" s="2">
        <v>721.93</v>
      </c>
    </row>
    <row r="998" spans="3:6" x14ac:dyDescent="0.25">
      <c r="C998" s="2" t="s">
        <v>9176</v>
      </c>
      <c r="D998" s="2" t="s">
        <v>122</v>
      </c>
      <c r="E998" s="2">
        <v>141</v>
      </c>
      <c r="F998" s="2">
        <v>2835.629</v>
      </c>
    </row>
    <row r="999" spans="3:6" x14ac:dyDescent="0.25">
      <c r="C999" s="2" t="s">
        <v>9177</v>
      </c>
      <c r="D999" s="2" t="s">
        <v>122</v>
      </c>
      <c r="E999" s="2">
        <v>141</v>
      </c>
      <c r="F999" s="2">
        <v>2876.439</v>
      </c>
    </row>
    <row r="1000" spans="3:6" x14ac:dyDescent="0.25">
      <c r="C1000" s="2" t="s">
        <v>9178</v>
      </c>
      <c r="D1000" s="2" t="s">
        <v>122</v>
      </c>
      <c r="E1000" s="2">
        <v>116</v>
      </c>
      <c r="F1000" s="2">
        <v>2470.589</v>
      </c>
    </row>
    <row r="1001" spans="3:6" x14ac:dyDescent="0.25">
      <c r="C1001" s="2" t="s">
        <v>9179</v>
      </c>
      <c r="D1001" s="2" t="s">
        <v>122</v>
      </c>
      <c r="E1001" s="2">
        <v>25</v>
      </c>
      <c r="F1001" s="2">
        <v>462.959</v>
      </c>
    </row>
    <row r="1002" spans="3:6" x14ac:dyDescent="0.25">
      <c r="C1002" s="2" t="s">
        <v>9180</v>
      </c>
      <c r="D1002" s="2" t="s">
        <v>122</v>
      </c>
      <c r="E1002" s="2">
        <v>70</v>
      </c>
      <c r="F1002" s="2">
        <v>1376.239</v>
      </c>
    </row>
    <row r="1003" spans="3:6" x14ac:dyDescent="0.25">
      <c r="C1003" s="2" t="s">
        <v>9181</v>
      </c>
      <c r="D1003" s="2" t="s">
        <v>122</v>
      </c>
      <c r="E1003" s="2">
        <v>37</v>
      </c>
      <c r="F1003" s="2">
        <v>717.69</v>
      </c>
    </row>
    <row r="1004" spans="3:6" x14ac:dyDescent="0.25">
      <c r="C1004" s="2" t="s">
        <v>9182</v>
      </c>
      <c r="D1004" s="2" t="s">
        <v>122</v>
      </c>
      <c r="E1004" s="2">
        <v>34</v>
      </c>
      <c r="F1004" s="2">
        <v>703.23</v>
      </c>
    </row>
    <row r="1005" spans="3:6" x14ac:dyDescent="0.25">
      <c r="C1005" s="2" t="s">
        <v>9183</v>
      </c>
      <c r="D1005" s="2" t="s">
        <v>122</v>
      </c>
      <c r="E1005" s="2">
        <v>82</v>
      </c>
      <c r="F1005" s="2">
        <v>1575.12</v>
      </c>
    </row>
    <row r="1006" spans="3:6" x14ac:dyDescent="0.25">
      <c r="C1006" s="2" t="s">
        <v>9184</v>
      </c>
      <c r="D1006" s="2" t="s">
        <v>122</v>
      </c>
      <c r="E1006" s="2">
        <v>30</v>
      </c>
      <c r="F1006" s="2">
        <v>590.94</v>
      </c>
    </row>
    <row r="1007" spans="3:6" x14ac:dyDescent="0.25">
      <c r="C1007" s="2" t="s">
        <v>9185</v>
      </c>
      <c r="D1007" s="2" t="s">
        <v>122</v>
      </c>
      <c r="E1007" s="2">
        <v>30</v>
      </c>
      <c r="F1007" s="2">
        <v>550.84</v>
      </c>
    </row>
    <row r="1008" spans="3:6" x14ac:dyDescent="0.25">
      <c r="C1008" s="2" t="s">
        <v>9186</v>
      </c>
      <c r="D1008" s="2" t="s">
        <v>122</v>
      </c>
      <c r="E1008" s="2">
        <v>120</v>
      </c>
      <c r="F1008" s="2">
        <v>2353.238</v>
      </c>
    </row>
    <row r="1009" spans="3:6" x14ac:dyDescent="0.25">
      <c r="C1009" s="2" t="s">
        <v>9187</v>
      </c>
      <c r="D1009" s="2" t="s">
        <v>122</v>
      </c>
      <c r="E1009" s="2">
        <v>22</v>
      </c>
      <c r="F1009" s="2">
        <v>427.53</v>
      </c>
    </row>
    <row r="1010" spans="3:6" x14ac:dyDescent="0.25">
      <c r="C1010" s="2" t="s">
        <v>9188</v>
      </c>
      <c r="D1010" s="2" t="s">
        <v>122</v>
      </c>
      <c r="E1010" s="2">
        <v>36</v>
      </c>
      <c r="F1010" s="2">
        <v>762.78</v>
      </c>
    </row>
    <row r="1011" spans="3:6" x14ac:dyDescent="0.25">
      <c r="C1011" s="2" t="s">
        <v>9189</v>
      </c>
      <c r="D1011" s="2" t="s">
        <v>122</v>
      </c>
      <c r="E1011" s="2">
        <v>16</v>
      </c>
      <c r="F1011" s="2">
        <v>327.62</v>
      </c>
    </row>
    <row r="1012" spans="3:6" x14ac:dyDescent="0.25">
      <c r="C1012" s="2" t="s">
        <v>9190</v>
      </c>
      <c r="D1012" s="2" t="s">
        <v>122</v>
      </c>
      <c r="E1012" s="2">
        <v>34</v>
      </c>
      <c r="F1012" s="2">
        <v>658.49</v>
      </c>
    </row>
    <row r="1013" spans="3:6" x14ac:dyDescent="0.25">
      <c r="C1013" s="2" t="s">
        <v>9191</v>
      </c>
      <c r="D1013" s="2" t="s">
        <v>122</v>
      </c>
      <c r="E1013" s="2">
        <v>14</v>
      </c>
      <c r="F1013" s="2">
        <v>262.54</v>
      </c>
    </row>
    <row r="1014" spans="3:6" x14ac:dyDescent="0.25">
      <c r="C1014" s="2" t="s">
        <v>9192</v>
      </c>
      <c r="D1014" s="2" t="s">
        <v>122</v>
      </c>
      <c r="E1014" s="2">
        <v>30</v>
      </c>
      <c r="F1014" s="2">
        <v>592.54</v>
      </c>
    </row>
    <row r="1015" spans="3:6" x14ac:dyDescent="0.25">
      <c r="C1015" s="2" t="s">
        <v>9193</v>
      </c>
      <c r="D1015" s="2" t="s">
        <v>122</v>
      </c>
      <c r="E1015" s="2">
        <v>84</v>
      </c>
      <c r="F1015" s="2">
        <v>1743.43</v>
      </c>
    </row>
    <row r="1016" spans="3:6" x14ac:dyDescent="0.25">
      <c r="C1016" s="2" t="s">
        <v>9194</v>
      </c>
      <c r="D1016" s="2" t="s">
        <v>122</v>
      </c>
      <c r="E1016" s="2">
        <v>27</v>
      </c>
      <c r="F1016" s="2">
        <v>540.29</v>
      </c>
    </row>
    <row r="1017" spans="3:6" x14ac:dyDescent="0.25">
      <c r="C1017" s="2" t="s">
        <v>9195</v>
      </c>
      <c r="D1017" s="2" t="s">
        <v>122</v>
      </c>
      <c r="E1017" s="2">
        <v>16</v>
      </c>
      <c r="F1017" s="2">
        <v>341.05</v>
      </c>
    </row>
    <row r="1018" spans="3:6" x14ac:dyDescent="0.25">
      <c r="C1018" s="2" t="s">
        <v>9196</v>
      </c>
      <c r="D1018" s="2" t="s">
        <v>122</v>
      </c>
      <c r="E1018" s="2">
        <v>33</v>
      </c>
      <c r="F1018" s="2">
        <v>675.25</v>
      </c>
    </row>
    <row r="1019" spans="3:6" x14ac:dyDescent="0.25">
      <c r="C1019" s="2" t="s">
        <v>9197</v>
      </c>
      <c r="D1019" s="2" t="s">
        <v>122</v>
      </c>
      <c r="E1019" s="2">
        <v>36</v>
      </c>
      <c r="F1019" s="2">
        <v>726.73</v>
      </c>
    </row>
    <row r="1020" spans="3:6" x14ac:dyDescent="0.25">
      <c r="C1020" s="2" t="s">
        <v>9198</v>
      </c>
      <c r="D1020" s="2" t="s">
        <v>122</v>
      </c>
      <c r="E1020" s="2">
        <v>56</v>
      </c>
      <c r="F1020" s="2">
        <v>1154.09</v>
      </c>
    </row>
    <row r="1021" spans="3:6" x14ac:dyDescent="0.25">
      <c r="C1021" s="2" t="s">
        <v>9199</v>
      </c>
      <c r="D1021" s="2" t="s">
        <v>122</v>
      </c>
      <c r="E1021" s="2">
        <v>75</v>
      </c>
      <c r="F1021" s="2">
        <v>1572.56</v>
      </c>
    </row>
    <row r="1022" spans="3:6" x14ac:dyDescent="0.25">
      <c r="C1022" s="2" t="s">
        <v>9200</v>
      </c>
      <c r="D1022" s="2" t="s">
        <v>122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2196</v>
      </c>
      <c r="C1024" s="2" t="s">
        <v>9201</v>
      </c>
      <c r="D1024" s="2" t="s">
        <v>9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9202</v>
      </c>
      <c r="D1025" s="2" t="s">
        <v>9</v>
      </c>
      <c r="E1025" s="2">
        <v>102</v>
      </c>
      <c r="F1025" s="2">
        <v>2115.83</v>
      </c>
    </row>
    <row r="1026" spans="3:6" x14ac:dyDescent="0.25">
      <c r="C1026" s="2" t="s">
        <v>9203</v>
      </c>
      <c r="D1026" s="2" t="s">
        <v>9</v>
      </c>
      <c r="E1026" s="2">
        <v>102</v>
      </c>
      <c r="F1026" s="2">
        <v>2117.84</v>
      </c>
    </row>
    <row r="1027" spans="3:6" x14ac:dyDescent="0.25">
      <c r="C1027" s="2" t="s">
        <v>9204</v>
      </c>
      <c r="D1027" s="2" t="s">
        <v>9</v>
      </c>
      <c r="E1027" s="2">
        <v>45</v>
      </c>
      <c r="F1027" s="2">
        <v>193.599</v>
      </c>
    </row>
    <row r="1028" spans="3:6" x14ac:dyDescent="0.25">
      <c r="C1028" s="2" t="s">
        <v>9205</v>
      </c>
      <c r="D1028" s="2" t="s">
        <v>9</v>
      </c>
      <c r="E1028" s="2">
        <v>141</v>
      </c>
      <c r="F1028" s="2">
        <v>2947.31</v>
      </c>
    </row>
    <row r="1029" spans="3:6" x14ac:dyDescent="0.25">
      <c r="C1029" s="2" t="s">
        <v>9206</v>
      </c>
      <c r="D1029" s="2" t="s">
        <v>9</v>
      </c>
      <c r="E1029" s="2">
        <v>141</v>
      </c>
      <c r="F1029" s="2">
        <v>2926.31</v>
      </c>
    </row>
    <row r="1030" spans="3:6" x14ac:dyDescent="0.25">
      <c r="C1030" s="2" t="s">
        <v>9207</v>
      </c>
      <c r="D1030" s="2" t="s">
        <v>9</v>
      </c>
      <c r="E1030" s="2">
        <v>141</v>
      </c>
      <c r="F1030" s="2">
        <v>2874.8</v>
      </c>
    </row>
    <row r="1031" spans="3:6" x14ac:dyDescent="0.25">
      <c r="C1031" s="2" t="s">
        <v>9208</v>
      </c>
      <c r="D1031" s="2" t="s">
        <v>9</v>
      </c>
      <c r="E1031" s="2">
        <v>102</v>
      </c>
      <c r="F1031" s="2">
        <v>2105.96</v>
      </c>
    </row>
    <row r="1032" spans="3:6" x14ac:dyDescent="0.25">
      <c r="C1032" s="2" t="s">
        <v>9209</v>
      </c>
      <c r="D1032" s="2" t="s">
        <v>9</v>
      </c>
      <c r="E1032" s="2">
        <v>30</v>
      </c>
      <c r="F1032" s="2">
        <v>131.099</v>
      </c>
    </row>
    <row r="1033" spans="3:6" x14ac:dyDescent="0.25">
      <c r="C1033" s="2" t="s">
        <v>9210</v>
      </c>
      <c r="D1033" s="2" t="s">
        <v>9</v>
      </c>
      <c r="E1033" s="2">
        <v>141</v>
      </c>
      <c r="F1033" s="2">
        <v>3042.67</v>
      </c>
    </row>
    <row r="1034" spans="3:6" x14ac:dyDescent="0.25">
      <c r="C1034" s="2" t="s">
        <v>9211</v>
      </c>
      <c r="D1034" s="2" t="s">
        <v>9</v>
      </c>
      <c r="E1034" s="2">
        <v>141</v>
      </c>
      <c r="F1034" s="2">
        <v>2967.18</v>
      </c>
    </row>
    <row r="1035" spans="3:6" x14ac:dyDescent="0.25">
      <c r="C1035" s="2" t="s">
        <v>9212</v>
      </c>
      <c r="D1035" s="2" t="s">
        <v>9</v>
      </c>
      <c r="E1035" s="2">
        <v>123</v>
      </c>
      <c r="F1035" s="2">
        <v>2525.82</v>
      </c>
    </row>
    <row r="1036" spans="3:6" x14ac:dyDescent="0.25">
      <c r="C1036" s="2" t="s">
        <v>9213</v>
      </c>
      <c r="D1036" s="2" t="s">
        <v>9</v>
      </c>
      <c r="E1036" s="2">
        <v>123</v>
      </c>
      <c r="F1036" s="2">
        <v>2455.75</v>
      </c>
    </row>
    <row r="1037" spans="3:6" x14ac:dyDescent="0.25">
      <c r="C1037" s="2" t="s">
        <v>9214</v>
      </c>
      <c r="D1037" s="2" t="s">
        <v>9</v>
      </c>
      <c r="E1037" s="2">
        <v>134</v>
      </c>
      <c r="F1037" s="2">
        <v>2721.36</v>
      </c>
    </row>
    <row r="1038" spans="3:6" x14ac:dyDescent="0.25">
      <c r="C1038" s="2" t="s">
        <v>9215</v>
      </c>
      <c r="D1038" s="2" t="s">
        <v>9</v>
      </c>
      <c r="E1038" s="2">
        <v>141</v>
      </c>
      <c r="F1038" s="2">
        <v>2929.31</v>
      </c>
    </row>
    <row r="1039" spans="3:6" x14ac:dyDescent="0.25">
      <c r="C1039" s="2" t="s">
        <v>9216</v>
      </c>
      <c r="D1039" s="2" t="s">
        <v>9</v>
      </c>
      <c r="E1039" s="2">
        <v>141</v>
      </c>
      <c r="F1039" s="2">
        <v>2846.74</v>
      </c>
    </row>
    <row r="1040" spans="3:6" x14ac:dyDescent="0.25">
      <c r="C1040" s="2" t="s">
        <v>9217</v>
      </c>
      <c r="D1040" s="2" t="s">
        <v>9</v>
      </c>
      <c r="E1040" s="2">
        <v>123</v>
      </c>
      <c r="F1040" s="2">
        <v>2428.87</v>
      </c>
    </row>
    <row r="1041" spans="3:6" x14ac:dyDescent="0.25">
      <c r="C1041" s="2" t="s">
        <v>9218</v>
      </c>
      <c r="D1041" s="2" t="s">
        <v>9</v>
      </c>
      <c r="E1041" s="2">
        <v>123</v>
      </c>
      <c r="F1041" s="2">
        <v>2596.14</v>
      </c>
    </row>
    <row r="1042" spans="3:6" x14ac:dyDescent="0.25">
      <c r="C1042" s="2" t="s">
        <v>9219</v>
      </c>
      <c r="D1042" s="2" t="s">
        <v>9</v>
      </c>
      <c r="E1042" s="2">
        <v>102</v>
      </c>
      <c r="F1042" s="2">
        <v>2072.83</v>
      </c>
    </row>
    <row r="1043" spans="3:6" x14ac:dyDescent="0.25">
      <c r="C1043" s="2" t="s">
        <v>9220</v>
      </c>
      <c r="D1043" s="2" t="s">
        <v>9</v>
      </c>
      <c r="E1043" s="2">
        <v>141</v>
      </c>
      <c r="F1043" s="2">
        <v>2944.53</v>
      </c>
    </row>
    <row r="1044" spans="3:6" x14ac:dyDescent="0.25">
      <c r="C1044" s="2" t="s">
        <v>9221</v>
      </c>
      <c r="D1044" s="2" t="s">
        <v>9</v>
      </c>
      <c r="E1044" s="2">
        <v>141</v>
      </c>
      <c r="F1044" s="2">
        <v>2905.428</v>
      </c>
    </row>
    <row r="1045" spans="3:6" x14ac:dyDescent="0.25">
      <c r="C1045" s="2" t="s">
        <v>9222</v>
      </c>
      <c r="D1045" s="2" t="s">
        <v>9</v>
      </c>
      <c r="E1045" s="2">
        <v>102</v>
      </c>
      <c r="F1045" s="2">
        <v>2052.26</v>
      </c>
    </row>
    <row r="1046" spans="3:6" x14ac:dyDescent="0.25">
      <c r="C1046" s="2" t="s">
        <v>9223</v>
      </c>
      <c r="D1046" s="2" t="s">
        <v>9</v>
      </c>
      <c r="E1046" s="2">
        <v>54</v>
      </c>
      <c r="F1046" s="2">
        <v>1133.88</v>
      </c>
    </row>
    <row r="1047" spans="3:6" x14ac:dyDescent="0.25">
      <c r="C1047" s="2" t="s">
        <v>9224</v>
      </c>
      <c r="D1047" s="2" t="s">
        <v>9</v>
      </c>
      <c r="E1047" s="2">
        <v>42</v>
      </c>
      <c r="F1047" s="2">
        <v>839.08</v>
      </c>
    </row>
    <row r="1048" spans="3:6" x14ac:dyDescent="0.25">
      <c r="C1048" s="2" t="s">
        <v>9225</v>
      </c>
      <c r="D1048" s="2" t="s">
        <v>9</v>
      </c>
      <c r="E1048" s="2">
        <v>45</v>
      </c>
      <c r="F1048" s="2">
        <v>902.17</v>
      </c>
    </row>
    <row r="1049" spans="3:6" x14ac:dyDescent="0.25">
      <c r="C1049" s="2" t="s">
        <v>9226</v>
      </c>
      <c r="D1049" s="2" t="s">
        <v>9</v>
      </c>
      <c r="E1049" s="2">
        <v>141</v>
      </c>
      <c r="F1049" s="2">
        <v>2706.349</v>
      </c>
    </row>
    <row r="1050" spans="3:6" x14ac:dyDescent="0.25">
      <c r="C1050" s="2" t="s">
        <v>9227</v>
      </c>
      <c r="D1050" s="2" t="s">
        <v>9</v>
      </c>
      <c r="E1050" s="2">
        <v>102</v>
      </c>
      <c r="F1050" s="2">
        <v>1896.98</v>
      </c>
    </row>
    <row r="1051" spans="3:6" x14ac:dyDescent="0.25">
      <c r="C1051" s="2" t="s">
        <v>9228</v>
      </c>
      <c r="D1051" s="2" t="s">
        <v>9</v>
      </c>
      <c r="E1051" s="2">
        <v>30</v>
      </c>
      <c r="F1051" s="2">
        <v>539.29</v>
      </c>
    </row>
    <row r="1052" spans="3:6" x14ac:dyDescent="0.25">
      <c r="C1052" s="2" t="s">
        <v>9229</v>
      </c>
      <c r="D1052" s="2" t="s">
        <v>9</v>
      </c>
      <c r="E1052" s="2">
        <v>30</v>
      </c>
      <c r="F1052" s="2">
        <v>534.799</v>
      </c>
    </row>
    <row r="1053" spans="3:6" x14ac:dyDescent="0.25">
      <c r="C1053" s="2" t="s">
        <v>9230</v>
      </c>
      <c r="D1053" s="2" t="s">
        <v>9</v>
      </c>
      <c r="E1053" s="2">
        <v>14</v>
      </c>
      <c r="F1053" s="2">
        <v>235.579</v>
      </c>
    </row>
    <row r="1054" spans="3:6" x14ac:dyDescent="0.25">
      <c r="C1054" s="2" t="s">
        <v>9231</v>
      </c>
      <c r="D1054" s="2" t="s">
        <v>9</v>
      </c>
      <c r="E1054" s="2">
        <v>1</v>
      </c>
      <c r="F1054" s="2">
        <v>1.54</v>
      </c>
    </row>
    <row r="1055" spans="3:6" x14ac:dyDescent="0.25">
      <c r="C1055" s="2" t="s">
        <v>9232</v>
      </c>
      <c r="D1055" s="2" t="s">
        <v>9</v>
      </c>
      <c r="E1055" s="2">
        <v>141</v>
      </c>
      <c r="F1055" s="2">
        <v>2833.84</v>
      </c>
    </row>
    <row r="1056" spans="3:6" x14ac:dyDescent="0.25">
      <c r="C1056" s="2" t="s">
        <v>9233</v>
      </c>
      <c r="D1056" s="2" t="s">
        <v>9</v>
      </c>
      <c r="E1056" s="2">
        <v>54</v>
      </c>
      <c r="F1056" s="2">
        <v>1114.68</v>
      </c>
    </row>
    <row r="1057" spans="3:6" x14ac:dyDescent="0.25">
      <c r="C1057" s="2" t="s">
        <v>9234</v>
      </c>
      <c r="D1057" s="2" t="s">
        <v>9</v>
      </c>
      <c r="E1057" s="2">
        <v>39</v>
      </c>
      <c r="F1057" s="2">
        <v>755.91</v>
      </c>
    </row>
    <row r="1058" spans="3:6" x14ac:dyDescent="0.25">
      <c r="C1058" s="2" t="s">
        <v>9235</v>
      </c>
      <c r="D1058" s="2" t="s">
        <v>9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120</v>
      </c>
      <c r="C1060" s="2" t="s">
        <v>9236</v>
      </c>
      <c r="D1060" s="2" t="s">
        <v>122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9237</v>
      </c>
      <c r="D1061" s="2" t="s">
        <v>122</v>
      </c>
      <c r="E1061" s="2">
        <v>121</v>
      </c>
      <c r="F1061" s="2">
        <v>2554.909</v>
      </c>
    </row>
    <row r="1062" spans="3:6" x14ac:dyDescent="0.25">
      <c r="C1062" s="2" t="s">
        <v>9238</v>
      </c>
      <c r="D1062" s="2" t="s">
        <v>122</v>
      </c>
      <c r="E1062" s="2">
        <v>121</v>
      </c>
      <c r="F1062" s="2">
        <v>2584.28</v>
      </c>
    </row>
    <row r="1063" spans="3:6" x14ac:dyDescent="0.25">
      <c r="C1063" s="2" t="s">
        <v>9239</v>
      </c>
      <c r="D1063" s="2" t="s">
        <v>122</v>
      </c>
      <c r="E1063" s="2">
        <v>79</v>
      </c>
      <c r="F1063" s="2">
        <v>1663.7</v>
      </c>
    </row>
    <row r="1064" spans="3:6" x14ac:dyDescent="0.25">
      <c r="C1064" s="2" t="s">
        <v>9240</v>
      </c>
      <c r="D1064" s="2" t="s">
        <v>122</v>
      </c>
      <c r="E1064" s="2">
        <v>42</v>
      </c>
      <c r="F1064" s="2">
        <v>902.75</v>
      </c>
    </row>
    <row r="1065" spans="3:6" x14ac:dyDescent="0.25">
      <c r="C1065" s="2" t="s">
        <v>9241</v>
      </c>
      <c r="D1065" s="2" t="s">
        <v>122</v>
      </c>
      <c r="E1065" s="2">
        <v>134</v>
      </c>
      <c r="F1065" s="2">
        <v>2741.75</v>
      </c>
    </row>
    <row r="1066" spans="3:6" x14ac:dyDescent="0.25">
      <c r="C1066" s="2" t="s">
        <v>9242</v>
      </c>
      <c r="D1066" s="2" t="s">
        <v>122</v>
      </c>
      <c r="E1066" s="2">
        <v>68</v>
      </c>
      <c r="F1066" s="2">
        <v>1409.12</v>
      </c>
    </row>
    <row r="1067" spans="3:6" x14ac:dyDescent="0.25">
      <c r="C1067" s="2" t="s">
        <v>9243</v>
      </c>
      <c r="D1067" s="2" t="s">
        <v>122</v>
      </c>
      <c r="E1067" s="2">
        <v>34</v>
      </c>
      <c r="F1067" s="2">
        <v>689.61</v>
      </c>
    </row>
    <row r="1068" spans="3:6" x14ac:dyDescent="0.25">
      <c r="C1068" s="2" t="s">
        <v>9244</v>
      </c>
      <c r="D1068" s="2" t="s">
        <v>122</v>
      </c>
      <c r="E1068" s="2">
        <v>75</v>
      </c>
      <c r="F1068" s="2">
        <v>339.46</v>
      </c>
    </row>
    <row r="1069" spans="3:6" x14ac:dyDescent="0.25">
      <c r="C1069" s="2" t="s">
        <v>9245</v>
      </c>
      <c r="D1069" s="2" t="s">
        <v>122</v>
      </c>
      <c r="E1069" s="2">
        <v>60</v>
      </c>
      <c r="F1069" s="2">
        <v>277</v>
      </c>
    </row>
    <row r="1070" spans="3:6" x14ac:dyDescent="0.25">
      <c r="C1070" s="2" t="s">
        <v>9246</v>
      </c>
      <c r="D1070" s="2" t="s">
        <v>122</v>
      </c>
      <c r="E1070" s="2">
        <v>40</v>
      </c>
      <c r="F1070" s="2">
        <v>177.51</v>
      </c>
    </row>
    <row r="1071" spans="3:6" x14ac:dyDescent="0.25">
      <c r="C1071" s="2" t="s">
        <v>9247</v>
      </c>
      <c r="D1071" s="2" t="s">
        <v>122</v>
      </c>
      <c r="E1071" s="2">
        <v>102</v>
      </c>
      <c r="F1071" s="2">
        <v>2139.55</v>
      </c>
    </row>
    <row r="1072" spans="3:6" x14ac:dyDescent="0.25">
      <c r="C1072" s="2" t="s">
        <v>9248</v>
      </c>
      <c r="D1072" s="2" t="s">
        <v>122</v>
      </c>
      <c r="E1072" s="2">
        <v>80</v>
      </c>
      <c r="F1072" s="2">
        <v>1644.9</v>
      </c>
    </row>
    <row r="1073" spans="3:6" x14ac:dyDescent="0.25">
      <c r="C1073" s="2" t="s">
        <v>9249</v>
      </c>
      <c r="D1073" s="2" t="s">
        <v>122</v>
      </c>
      <c r="E1073" s="2">
        <v>22</v>
      </c>
      <c r="F1073" s="2">
        <v>441.5</v>
      </c>
    </row>
    <row r="1074" spans="3:6" x14ac:dyDescent="0.25">
      <c r="C1074" s="2" t="s">
        <v>9250</v>
      </c>
      <c r="D1074" s="2" t="s">
        <v>122</v>
      </c>
      <c r="E1074" s="2">
        <v>141</v>
      </c>
      <c r="F1074" s="2">
        <v>2956.34</v>
      </c>
    </row>
    <row r="1075" spans="3:6" x14ac:dyDescent="0.25">
      <c r="C1075" s="2" t="s">
        <v>9251</v>
      </c>
      <c r="D1075" s="2" t="s">
        <v>122</v>
      </c>
      <c r="E1075" s="2">
        <v>141</v>
      </c>
      <c r="F1075" s="2">
        <v>2848.65</v>
      </c>
    </row>
    <row r="1076" spans="3:6" x14ac:dyDescent="0.25">
      <c r="C1076" s="2" t="s">
        <v>9252</v>
      </c>
      <c r="D1076" s="2" t="s">
        <v>122</v>
      </c>
      <c r="E1076" s="2">
        <v>113</v>
      </c>
      <c r="F1076" s="2">
        <v>2403.42</v>
      </c>
    </row>
    <row r="1077" spans="3:6" x14ac:dyDescent="0.25">
      <c r="C1077" s="2" t="s">
        <v>9253</v>
      </c>
      <c r="D1077" s="2" t="s">
        <v>122</v>
      </c>
      <c r="E1077" s="2">
        <v>28</v>
      </c>
      <c r="F1077" s="2">
        <v>573.84</v>
      </c>
    </row>
    <row r="1078" spans="3:6" x14ac:dyDescent="0.25">
      <c r="C1078" s="2" t="s">
        <v>9254</v>
      </c>
      <c r="D1078" s="2" t="s">
        <v>122</v>
      </c>
      <c r="E1078" s="2">
        <v>71</v>
      </c>
      <c r="F1078" s="2">
        <v>1423.8</v>
      </c>
    </row>
    <row r="1079" spans="3:6" x14ac:dyDescent="0.25">
      <c r="C1079" s="2" t="s">
        <v>9255</v>
      </c>
      <c r="D1079" s="2" t="s">
        <v>122</v>
      </c>
      <c r="E1079" s="2">
        <v>70</v>
      </c>
      <c r="F1079" s="2">
        <v>1500.3</v>
      </c>
    </row>
    <row r="1080" spans="3:6" x14ac:dyDescent="0.25">
      <c r="C1080" s="2" t="s">
        <v>9256</v>
      </c>
      <c r="D1080" s="2" t="s">
        <v>122</v>
      </c>
      <c r="E1080" s="2">
        <v>141</v>
      </c>
      <c r="F1080" s="2">
        <v>2972.45</v>
      </c>
    </row>
    <row r="1081" spans="3:6" x14ac:dyDescent="0.25">
      <c r="C1081" s="2" t="s">
        <v>9257</v>
      </c>
      <c r="D1081" s="2" t="s">
        <v>122</v>
      </c>
      <c r="E1081" s="2">
        <v>141</v>
      </c>
      <c r="F1081" s="2">
        <v>2885.4</v>
      </c>
    </row>
    <row r="1082" spans="3:6" x14ac:dyDescent="0.25">
      <c r="C1082" s="2" t="s">
        <v>9258</v>
      </c>
      <c r="D1082" s="2" t="s">
        <v>122</v>
      </c>
      <c r="E1082" s="2">
        <v>141</v>
      </c>
      <c r="F1082" s="2">
        <v>2851.14</v>
      </c>
    </row>
    <row r="1083" spans="3:6" x14ac:dyDescent="0.25">
      <c r="C1083" s="2" t="s">
        <v>9259</v>
      </c>
      <c r="D1083" s="2" t="s">
        <v>122</v>
      </c>
      <c r="E1083" s="2">
        <v>78</v>
      </c>
      <c r="F1083" s="2">
        <v>1605.12</v>
      </c>
    </row>
    <row r="1084" spans="3:6" x14ac:dyDescent="0.25">
      <c r="C1084" s="2" t="s">
        <v>9260</v>
      </c>
      <c r="D1084" s="2" t="s">
        <v>122</v>
      </c>
      <c r="E1084" s="2">
        <v>63</v>
      </c>
      <c r="F1084" s="2">
        <v>1265.589</v>
      </c>
    </row>
    <row r="1085" spans="3:6" x14ac:dyDescent="0.25">
      <c r="C1085" s="2" t="s">
        <v>9261</v>
      </c>
      <c r="D1085" s="2" t="s">
        <v>122</v>
      </c>
      <c r="E1085" s="2">
        <v>87</v>
      </c>
      <c r="F1085" s="2">
        <v>1755.95</v>
      </c>
    </row>
    <row r="1086" spans="3:6" x14ac:dyDescent="0.25">
      <c r="C1086" s="2" t="s">
        <v>9262</v>
      </c>
      <c r="D1086" s="2" t="s">
        <v>122</v>
      </c>
      <c r="E1086" s="2">
        <v>15</v>
      </c>
      <c r="F1086" s="2">
        <v>312.39</v>
      </c>
    </row>
    <row r="1087" spans="3:6" x14ac:dyDescent="0.25">
      <c r="C1087" s="2" t="s">
        <v>9263</v>
      </c>
      <c r="D1087" s="2" t="s">
        <v>122</v>
      </c>
      <c r="E1087" s="2">
        <v>141</v>
      </c>
      <c r="F1087" s="2">
        <v>2906.829</v>
      </c>
    </row>
    <row r="1088" spans="3:6" x14ac:dyDescent="0.25">
      <c r="C1088" s="2" t="s">
        <v>9264</v>
      </c>
      <c r="D1088" s="2" t="s">
        <v>122</v>
      </c>
      <c r="E1088" s="2">
        <v>96</v>
      </c>
      <c r="F1088" s="2">
        <v>1788.849</v>
      </c>
    </row>
    <row r="1089" spans="3:6" x14ac:dyDescent="0.25">
      <c r="C1089" s="2" t="s">
        <v>9265</v>
      </c>
      <c r="D1089" s="2" t="s">
        <v>122</v>
      </c>
      <c r="E1089" s="2">
        <v>47</v>
      </c>
      <c r="F1089" s="2">
        <v>915.56</v>
      </c>
    </row>
    <row r="1090" spans="3:6" x14ac:dyDescent="0.25">
      <c r="C1090" s="2" t="s">
        <v>9266</v>
      </c>
      <c r="D1090" s="2" t="s">
        <v>122</v>
      </c>
      <c r="E1090" s="2">
        <v>74</v>
      </c>
      <c r="F1090" s="2">
        <v>1468.89</v>
      </c>
    </row>
    <row r="1091" spans="3:6" x14ac:dyDescent="0.25">
      <c r="C1091" s="2" t="s">
        <v>9267</v>
      </c>
      <c r="D1091" s="2" t="s">
        <v>122</v>
      </c>
      <c r="E1091" s="2">
        <v>67</v>
      </c>
      <c r="F1091" s="2">
        <v>1398.91</v>
      </c>
    </row>
    <row r="1092" spans="3:6" x14ac:dyDescent="0.25">
      <c r="C1092" s="2" t="s">
        <v>9268</v>
      </c>
      <c r="D1092" s="2" t="s">
        <v>122</v>
      </c>
      <c r="E1092" s="2">
        <v>52</v>
      </c>
      <c r="F1092" s="2">
        <v>1128.63</v>
      </c>
    </row>
    <row r="1093" spans="3:6" x14ac:dyDescent="0.25">
      <c r="C1093" s="2" t="s">
        <v>9269</v>
      </c>
      <c r="D1093" s="2" t="s">
        <v>122</v>
      </c>
      <c r="E1093" s="2">
        <v>21</v>
      </c>
      <c r="F1093" s="2">
        <v>393.77</v>
      </c>
    </row>
    <row r="1094" spans="3:6" x14ac:dyDescent="0.25">
      <c r="C1094" s="2" t="s">
        <v>9270</v>
      </c>
      <c r="D1094" s="2" t="s">
        <v>122</v>
      </c>
      <c r="E1094" s="2">
        <v>68</v>
      </c>
      <c r="F1094" s="2">
        <v>1314.39</v>
      </c>
    </row>
    <row r="1095" spans="3:6" x14ac:dyDescent="0.25">
      <c r="C1095" s="2" t="s">
        <v>9128</v>
      </c>
      <c r="D1095" s="2" t="s">
        <v>122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90</v>
      </c>
      <c r="C1097" s="2" t="s">
        <v>9271</v>
      </c>
      <c r="D1097" s="2" t="s">
        <v>42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9272</v>
      </c>
      <c r="D1098" s="2" t="s">
        <v>42</v>
      </c>
      <c r="E1098" s="2">
        <v>59</v>
      </c>
      <c r="F1098" s="2">
        <v>1247.27</v>
      </c>
    </row>
    <row r="1099" spans="3:6" x14ac:dyDescent="0.25">
      <c r="C1099" s="2" t="s">
        <v>9273</v>
      </c>
      <c r="D1099" s="2" t="s">
        <v>42</v>
      </c>
      <c r="E1099" s="2">
        <v>28</v>
      </c>
      <c r="F1099" s="2">
        <v>598.7</v>
      </c>
    </row>
    <row r="1100" spans="3:6" x14ac:dyDescent="0.25">
      <c r="C1100" s="2" t="s">
        <v>9274</v>
      </c>
      <c r="D1100" s="2" t="s">
        <v>42</v>
      </c>
      <c r="E1100" s="2">
        <v>24</v>
      </c>
      <c r="F1100" s="2">
        <v>388.849</v>
      </c>
    </row>
    <row r="1101" spans="3:6" x14ac:dyDescent="0.25">
      <c r="C1101" s="2" t="s">
        <v>9275</v>
      </c>
      <c r="D1101" s="2" t="s">
        <v>42</v>
      </c>
      <c r="E1101" s="2">
        <v>83</v>
      </c>
      <c r="F1101" s="2">
        <v>1660.81</v>
      </c>
    </row>
    <row r="1102" spans="3:6" x14ac:dyDescent="0.25">
      <c r="C1102" s="2" t="s">
        <v>9276</v>
      </c>
      <c r="D1102" s="2" t="s">
        <v>42</v>
      </c>
      <c r="E1102" s="2">
        <v>82</v>
      </c>
      <c r="F1102" s="2">
        <v>1632.96</v>
      </c>
    </row>
    <row r="1103" spans="3:6" x14ac:dyDescent="0.25">
      <c r="C1103" s="2" t="s">
        <v>9277</v>
      </c>
      <c r="D1103" s="2" t="s">
        <v>42</v>
      </c>
      <c r="E1103" s="2">
        <v>99</v>
      </c>
      <c r="F1103" s="2">
        <v>1922.37</v>
      </c>
    </row>
    <row r="1104" spans="3:6" x14ac:dyDescent="0.25">
      <c r="C1104" s="2" t="s">
        <v>9278</v>
      </c>
      <c r="D1104" s="2" t="s">
        <v>42</v>
      </c>
      <c r="E1104" s="2">
        <v>85</v>
      </c>
      <c r="F1104" s="2">
        <v>1467.32</v>
      </c>
    </row>
    <row r="1105" spans="3:6" x14ac:dyDescent="0.25">
      <c r="C1105" s="2" t="s">
        <v>9279</v>
      </c>
      <c r="D1105" s="2" t="s">
        <v>42</v>
      </c>
      <c r="E1105" s="2">
        <v>20</v>
      </c>
      <c r="F1105" s="2">
        <v>424.609</v>
      </c>
    </row>
    <row r="1106" spans="3:6" x14ac:dyDescent="0.25">
      <c r="C1106" s="2" t="s">
        <v>9280</v>
      </c>
      <c r="D1106" s="2" t="s">
        <v>42</v>
      </c>
      <c r="E1106" s="2">
        <v>121</v>
      </c>
      <c r="F1106" s="2">
        <v>2464.92</v>
      </c>
    </row>
    <row r="1107" spans="3:6" x14ac:dyDescent="0.25">
      <c r="C1107" s="2" t="s">
        <v>9281</v>
      </c>
      <c r="D1107" s="2" t="s">
        <v>42</v>
      </c>
      <c r="E1107" s="2">
        <v>8</v>
      </c>
      <c r="F1107" s="2">
        <v>127.75</v>
      </c>
    </row>
    <row r="1108" spans="3:6" x14ac:dyDescent="0.25">
      <c r="C1108" s="2" t="s">
        <v>9282</v>
      </c>
      <c r="D1108" s="2" t="s">
        <v>42</v>
      </c>
      <c r="E1108" s="2">
        <v>12</v>
      </c>
      <c r="F1108" s="2">
        <v>126.41</v>
      </c>
    </row>
    <row r="1109" spans="3:6" x14ac:dyDescent="0.25">
      <c r="C1109" s="2" t="s">
        <v>9283</v>
      </c>
      <c r="D1109" s="2" t="s">
        <v>42</v>
      </c>
      <c r="E1109" s="2">
        <v>32</v>
      </c>
      <c r="F1109" s="2">
        <v>622.53</v>
      </c>
    </row>
    <row r="1110" spans="3:6" x14ac:dyDescent="0.25">
      <c r="C1110" s="2" t="s">
        <v>9284</v>
      </c>
      <c r="D1110" s="2" t="s">
        <v>42</v>
      </c>
      <c r="E1110" s="2">
        <v>14</v>
      </c>
      <c r="F1110" s="2">
        <v>233.9</v>
      </c>
    </row>
    <row r="1111" spans="3:6" x14ac:dyDescent="0.25">
      <c r="C1111" s="2" t="s">
        <v>9285</v>
      </c>
      <c r="D1111" s="2" t="s">
        <v>42</v>
      </c>
      <c r="E1111" s="2">
        <v>60</v>
      </c>
      <c r="F1111" s="2">
        <v>315.97</v>
      </c>
    </row>
    <row r="1112" spans="3:6" x14ac:dyDescent="0.25">
      <c r="C1112" s="2" t="s">
        <v>9286</v>
      </c>
      <c r="D1112" s="2" t="s">
        <v>42</v>
      </c>
      <c r="E1112" s="2">
        <v>100</v>
      </c>
      <c r="F1112" s="2">
        <v>2087.93</v>
      </c>
    </row>
    <row r="1113" spans="3:6" x14ac:dyDescent="0.25">
      <c r="C1113" s="2" t="s">
        <v>9287</v>
      </c>
      <c r="D1113" s="2" t="s">
        <v>42</v>
      </c>
      <c r="E1113" s="2">
        <v>141</v>
      </c>
      <c r="F1113" s="2">
        <v>2861.879</v>
      </c>
    </row>
    <row r="1114" spans="3:6" x14ac:dyDescent="0.25">
      <c r="C1114" s="2" t="s">
        <v>9288</v>
      </c>
      <c r="D1114" s="2" t="s">
        <v>42</v>
      </c>
      <c r="E1114" s="2">
        <v>88</v>
      </c>
      <c r="F1114" s="2">
        <v>1741.709</v>
      </c>
    </row>
    <row r="1115" spans="3:6" x14ac:dyDescent="0.25">
      <c r="C1115" s="2" t="s">
        <v>9289</v>
      </c>
      <c r="D1115" s="2" t="s">
        <v>42</v>
      </c>
      <c r="E1115" s="2">
        <v>61</v>
      </c>
      <c r="F1115" s="2">
        <v>1097.96</v>
      </c>
    </row>
    <row r="1116" spans="3:6" x14ac:dyDescent="0.25">
      <c r="C1116" s="2" t="s">
        <v>9290</v>
      </c>
      <c r="D1116" s="2" t="s">
        <v>42</v>
      </c>
      <c r="E1116" s="2">
        <v>80</v>
      </c>
      <c r="F1116" s="2">
        <v>1611.42</v>
      </c>
    </row>
    <row r="1117" spans="3:6" x14ac:dyDescent="0.25">
      <c r="C1117" s="2" t="s">
        <v>9291</v>
      </c>
      <c r="D1117" s="2" t="s">
        <v>42</v>
      </c>
      <c r="E1117" s="2">
        <v>50</v>
      </c>
      <c r="F1117" s="2">
        <v>270.67</v>
      </c>
    </row>
    <row r="1118" spans="3:6" x14ac:dyDescent="0.25">
      <c r="C1118" s="2" t="s">
        <v>9292</v>
      </c>
      <c r="D1118" s="2" t="s">
        <v>42</v>
      </c>
      <c r="E1118" s="2">
        <v>141</v>
      </c>
      <c r="F1118" s="2">
        <v>1997.931</v>
      </c>
    </row>
    <row r="1119" spans="3:6" x14ac:dyDescent="0.25">
      <c r="C1119" s="2" t="s">
        <v>9293</v>
      </c>
      <c r="D1119" s="2" t="s">
        <v>42</v>
      </c>
      <c r="E1119" s="2">
        <v>141</v>
      </c>
      <c r="F1119" s="2">
        <v>3023.79</v>
      </c>
    </row>
    <row r="1120" spans="3:6" x14ac:dyDescent="0.25">
      <c r="C1120" s="2" t="s">
        <v>9294</v>
      </c>
      <c r="D1120" s="2" t="s">
        <v>42</v>
      </c>
      <c r="E1120" s="2">
        <v>104</v>
      </c>
      <c r="F1120" s="2">
        <v>2186.059</v>
      </c>
    </row>
    <row r="1121" spans="3:6" x14ac:dyDescent="0.25">
      <c r="C1121" s="2" t="s">
        <v>9295</v>
      </c>
      <c r="D1121" s="2" t="s">
        <v>42</v>
      </c>
      <c r="E1121" s="2">
        <v>63</v>
      </c>
      <c r="F1121" s="2">
        <v>1412.88</v>
      </c>
    </row>
    <row r="1122" spans="3:6" x14ac:dyDescent="0.25">
      <c r="C1122" s="2" t="s">
        <v>9296</v>
      </c>
      <c r="D1122" s="2" t="s">
        <v>42</v>
      </c>
      <c r="E1122" s="2">
        <v>19</v>
      </c>
      <c r="F1122" s="2">
        <v>543.29</v>
      </c>
    </row>
    <row r="1123" spans="3:6" x14ac:dyDescent="0.25">
      <c r="C1123" s="2" t="s">
        <v>9297</v>
      </c>
      <c r="D1123" s="2" t="s">
        <v>42</v>
      </c>
      <c r="E1123" s="2">
        <v>45</v>
      </c>
      <c r="F1123" s="2">
        <v>234.63</v>
      </c>
    </row>
    <row r="1124" spans="3:6" x14ac:dyDescent="0.25">
      <c r="C1124" s="2" t="s">
        <v>9298</v>
      </c>
      <c r="D1124" s="2" t="s">
        <v>42</v>
      </c>
      <c r="E1124" s="2">
        <v>89</v>
      </c>
      <c r="F1124" s="2">
        <v>1805.921</v>
      </c>
    </row>
    <row r="1125" spans="3:6" x14ac:dyDescent="0.25">
      <c r="C1125" s="2" t="s">
        <v>9299</v>
      </c>
      <c r="D1125" s="2" t="s">
        <v>42</v>
      </c>
      <c r="E1125" s="2">
        <v>141</v>
      </c>
      <c r="F1125" s="2">
        <v>2706.949</v>
      </c>
    </row>
    <row r="1126" spans="3:6" x14ac:dyDescent="0.25">
      <c r="C1126" s="2" t="s">
        <v>9300</v>
      </c>
      <c r="D1126" s="2" t="s">
        <v>42</v>
      </c>
      <c r="E1126" s="2">
        <v>52</v>
      </c>
      <c r="F1126" s="2">
        <v>1050.56</v>
      </c>
    </row>
    <row r="1127" spans="3:6" x14ac:dyDescent="0.25">
      <c r="C1127" s="2" t="s">
        <v>9301</v>
      </c>
      <c r="D1127" s="2" t="s">
        <v>42</v>
      </c>
      <c r="E1127" s="2">
        <v>141</v>
      </c>
      <c r="F1127" s="2">
        <v>2939.66</v>
      </c>
    </row>
    <row r="1128" spans="3:6" x14ac:dyDescent="0.25">
      <c r="C1128" s="2" t="s">
        <v>9302</v>
      </c>
      <c r="D1128" s="2" t="s">
        <v>42</v>
      </c>
      <c r="E1128" s="2">
        <v>141</v>
      </c>
      <c r="F1128" s="2">
        <v>2802.36</v>
      </c>
    </row>
    <row r="1129" spans="3:6" x14ac:dyDescent="0.25">
      <c r="C1129" s="2" t="s">
        <v>9303</v>
      </c>
      <c r="D1129" s="2" t="s">
        <v>42</v>
      </c>
      <c r="E1129" s="2">
        <v>45</v>
      </c>
      <c r="F1129" s="2">
        <v>224.93</v>
      </c>
    </row>
    <row r="1130" spans="3:6" x14ac:dyDescent="0.25">
      <c r="C1130" s="2" t="s">
        <v>9304</v>
      </c>
      <c r="D1130" s="2" t="s">
        <v>42</v>
      </c>
      <c r="E1130" s="2">
        <v>10</v>
      </c>
      <c r="F1130" s="2">
        <v>196.45</v>
      </c>
    </row>
    <row r="1131" spans="3:6" x14ac:dyDescent="0.25">
      <c r="C1131" s="2" t="s">
        <v>9305</v>
      </c>
      <c r="D1131" s="2" t="s">
        <v>42</v>
      </c>
      <c r="E1131" s="2">
        <v>65</v>
      </c>
      <c r="F1131" s="2">
        <v>1343.93</v>
      </c>
    </row>
    <row r="1132" spans="3:6" x14ac:dyDescent="0.25">
      <c r="C1132" s="2" t="s">
        <v>9306</v>
      </c>
      <c r="D1132" s="2" t="s">
        <v>42</v>
      </c>
      <c r="E1132" s="2">
        <v>100</v>
      </c>
      <c r="F1132" s="2">
        <v>1909.539</v>
      </c>
    </row>
    <row r="1133" spans="3:6" x14ac:dyDescent="0.25">
      <c r="C1133" s="2" t="s">
        <v>9307</v>
      </c>
      <c r="D1133" s="2" t="s">
        <v>42</v>
      </c>
      <c r="E1133" s="2">
        <v>141</v>
      </c>
      <c r="F1133" s="2">
        <v>2995.88</v>
      </c>
    </row>
    <row r="1134" spans="3:6" x14ac:dyDescent="0.25">
      <c r="C1134" s="2" t="s">
        <v>9308</v>
      </c>
      <c r="D1134" s="2" t="s">
        <v>42</v>
      </c>
      <c r="E1134" s="2">
        <v>141</v>
      </c>
      <c r="F1134" s="2">
        <v>2805.687</v>
      </c>
    </row>
    <row r="1135" spans="3:6" x14ac:dyDescent="0.25">
      <c r="C1135" s="2" t="s">
        <v>9309</v>
      </c>
      <c r="D1135" s="2" t="s">
        <v>42</v>
      </c>
      <c r="E1135" s="2">
        <v>141</v>
      </c>
      <c r="F1135" s="2">
        <v>2799.21</v>
      </c>
    </row>
    <row r="1136" spans="3:6" x14ac:dyDescent="0.25">
      <c r="C1136" s="2" t="s">
        <v>9310</v>
      </c>
      <c r="D1136" s="2" t="s">
        <v>42</v>
      </c>
      <c r="E1136" s="2">
        <v>141</v>
      </c>
      <c r="F1136" s="2">
        <v>2917.64</v>
      </c>
    </row>
    <row r="1137" spans="3:6" x14ac:dyDescent="0.25">
      <c r="C1137" s="2" t="s">
        <v>9311</v>
      </c>
      <c r="D1137" s="2" t="s">
        <v>42</v>
      </c>
      <c r="E1137" s="2">
        <v>123</v>
      </c>
      <c r="F1137" s="2">
        <v>2435.52</v>
      </c>
    </row>
    <row r="1138" spans="3:6" x14ac:dyDescent="0.25">
      <c r="C1138" s="2" t="s">
        <v>9312</v>
      </c>
      <c r="D1138" s="2" t="s">
        <v>42</v>
      </c>
      <c r="E1138" s="2">
        <v>123</v>
      </c>
      <c r="F1138" s="2">
        <v>2528.103</v>
      </c>
    </row>
    <row r="1139" spans="3:6" x14ac:dyDescent="0.25">
      <c r="C1139" s="2" t="s">
        <v>9313</v>
      </c>
      <c r="D1139" s="2" t="s">
        <v>42</v>
      </c>
      <c r="E1139" s="2">
        <v>100</v>
      </c>
      <c r="F1139" s="2">
        <v>2085.9</v>
      </c>
    </row>
    <row r="1140" spans="3:6" x14ac:dyDescent="0.25">
      <c r="C1140" s="2" t="s">
        <v>9314</v>
      </c>
      <c r="D1140" s="2" t="s">
        <v>42</v>
      </c>
      <c r="E1140" s="2">
        <v>141</v>
      </c>
      <c r="F1140" s="2">
        <v>2749.879</v>
      </c>
    </row>
    <row r="1141" spans="3:6" x14ac:dyDescent="0.25">
      <c r="C1141" s="2" t="s">
        <v>9315</v>
      </c>
      <c r="D1141" s="2" t="s">
        <v>42</v>
      </c>
      <c r="E1141" s="2">
        <v>126</v>
      </c>
      <c r="F1141" s="2">
        <v>2623.95</v>
      </c>
    </row>
    <row r="1142" spans="3:6" x14ac:dyDescent="0.25">
      <c r="C1142" s="2" t="s">
        <v>9316</v>
      </c>
      <c r="D1142" s="2" t="s">
        <v>42</v>
      </c>
      <c r="E1142" s="2">
        <v>15</v>
      </c>
      <c r="F1142" s="2">
        <v>320.31</v>
      </c>
    </row>
    <row r="1143" spans="3:6" x14ac:dyDescent="0.25">
      <c r="C1143" s="2" t="s">
        <v>9317</v>
      </c>
      <c r="D1143" s="2" t="s">
        <v>42</v>
      </c>
      <c r="E1143" s="2">
        <v>92</v>
      </c>
      <c r="F1143" s="2">
        <v>1460.654</v>
      </c>
    </row>
    <row r="1144" spans="3:6" x14ac:dyDescent="0.25">
      <c r="C1144" s="2" t="s">
        <v>9318</v>
      </c>
      <c r="D1144" s="2" t="s">
        <v>42</v>
      </c>
      <c r="E1144" s="2">
        <v>24</v>
      </c>
      <c r="F1144" s="2">
        <v>489.739</v>
      </c>
    </row>
    <row r="1145" spans="3:6" x14ac:dyDescent="0.25">
      <c r="C1145" s="2" t="s">
        <v>9319</v>
      </c>
      <c r="D1145" s="2" t="s">
        <v>42</v>
      </c>
      <c r="E1145" s="2">
        <v>62</v>
      </c>
      <c r="F1145" s="2">
        <v>1456.989</v>
      </c>
    </row>
    <row r="1146" spans="3:6" x14ac:dyDescent="0.25">
      <c r="C1146" s="2" t="s">
        <v>9320</v>
      </c>
      <c r="D1146" s="2" t="s">
        <v>42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10</v>
      </c>
      <c r="C1148" s="2" t="s">
        <v>9321</v>
      </c>
      <c r="D1148" s="2" t="s">
        <v>12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9322</v>
      </c>
      <c r="D1149" s="2" t="s">
        <v>12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375</v>
      </c>
      <c r="C1151" s="2" t="s">
        <v>9323</v>
      </c>
      <c r="D1151" s="2" t="s">
        <v>342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9324</v>
      </c>
      <c r="D1152" s="2" t="s">
        <v>342</v>
      </c>
      <c r="E1152" s="2">
        <v>119</v>
      </c>
      <c r="F1152" s="2">
        <v>2339.03</v>
      </c>
    </row>
    <row r="1153" spans="3:6" x14ac:dyDescent="0.25">
      <c r="C1153" s="2" t="s">
        <v>9325</v>
      </c>
      <c r="D1153" s="2" t="s">
        <v>342</v>
      </c>
      <c r="E1153" s="2">
        <v>37</v>
      </c>
      <c r="F1153" s="2">
        <v>646.57</v>
      </c>
    </row>
    <row r="1154" spans="3:6" x14ac:dyDescent="0.25">
      <c r="C1154" s="2" t="s">
        <v>9326</v>
      </c>
      <c r="D1154" s="2" t="s">
        <v>342</v>
      </c>
      <c r="E1154" s="2">
        <v>156</v>
      </c>
      <c r="F1154" s="2">
        <v>3243.098</v>
      </c>
    </row>
    <row r="1156" spans="3:7" x14ac:dyDescent="0.25">
      <c r="C1156" s="2" t="s">
        <v>9327</v>
      </c>
      <c r="D1156" s="2" t="s">
        <v>204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9328</v>
      </c>
      <c r="D1157" s="2" t="s">
        <v>204</v>
      </c>
      <c r="E1157" s="2">
        <v>39</v>
      </c>
      <c r="F1157" s="2">
        <v>742.03</v>
      </c>
    </row>
    <row r="1158" spans="3:6" x14ac:dyDescent="0.25">
      <c r="C1158" s="2" t="s">
        <v>9329</v>
      </c>
      <c r="D1158" s="2" t="s">
        <v>204</v>
      </c>
      <c r="E1158" s="2">
        <v>163</v>
      </c>
      <c r="F1158" s="2">
        <v>2936.097</v>
      </c>
    </row>
    <row r="1159" spans="3:6" x14ac:dyDescent="0.25">
      <c r="C1159" s="2" t="s">
        <v>9330</v>
      </c>
      <c r="D1159" s="2" t="s">
        <v>204</v>
      </c>
      <c r="E1159" s="2">
        <v>163</v>
      </c>
      <c r="F1159" s="2">
        <v>2888.158</v>
      </c>
    </row>
    <row r="1160" spans="3:6" x14ac:dyDescent="0.25">
      <c r="C1160" s="2" t="s">
        <v>8965</v>
      </c>
      <c r="D1160" s="2" t="s">
        <v>204</v>
      </c>
      <c r="E1160" s="2">
        <v>105</v>
      </c>
      <c r="F1160" s="2">
        <v>2009</v>
      </c>
    </row>
    <row r="1161" spans="3:6" x14ac:dyDescent="0.25">
      <c r="C1161" s="2" t="s">
        <v>9015</v>
      </c>
      <c r="D1161" s="2" t="s">
        <v>204</v>
      </c>
      <c r="E1161" s="2">
        <v>209</v>
      </c>
      <c r="F1161" s="2">
        <v>575.215</v>
      </c>
    </row>
    <row r="1162" spans="3:6" x14ac:dyDescent="0.25">
      <c r="C1162" s="2" t="s">
        <v>9012</v>
      </c>
      <c r="D1162" s="2" t="s">
        <v>204</v>
      </c>
      <c r="E1162" s="2">
        <v>36</v>
      </c>
      <c r="F1162" s="2">
        <v>560.56</v>
      </c>
    </row>
    <row r="1163" spans="3:6" x14ac:dyDescent="0.25">
      <c r="C1163" s="2" t="s">
        <v>9331</v>
      </c>
      <c r="D1163" s="2" t="s">
        <v>204</v>
      </c>
      <c r="E1163" s="2">
        <v>22</v>
      </c>
      <c r="F1163" s="2">
        <v>365.12</v>
      </c>
    </row>
    <row r="1164" spans="3:6" x14ac:dyDescent="0.25">
      <c r="C1164" s="2" t="s">
        <v>9332</v>
      </c>
      <c r="D1164" s="2" t="s">
        <v>204</v>
      </c>
      <c r="E1164" s="2">
        <v>163</v>
      </c>
      <c r="F1164" s="2">
        <v>3009.91</v>
      </c>
    </row>
    <row r="1165" spans="3:6" x14ac:dyDescent="0.25">
      <c r="C1165" s="2" t="s">
        <v>9333</v>
      </c>
      <c r="D1165" s="2" t="s">
        <v>204</v>
      </c>
      <c r="E1165" s="2">
        <v>163</v>
      </c>
      <c r="F1165" s="2">
        <v>2881.05</v>
      </c>
    </row>
    <row r="1166" spans="3:6" x14ac:dyDescent="0.25">
      <c r="C1166" s="2" t="s">
        <v>9334</v>
      </c>
      <c r="D1166" s="2" t="s">
        <v>204</v>
      </c>
      <c r="E1166" s="2">
        <v>103</v>
      </c>
      <c r="F1166" s="2">
        <v>1910.9</v>
      </c>
    </row>
    <row r="1167" spans="3:6" x14ac:dyDescent="0.25">
      <c r="C1167" s="2" t="s">
        <v>9335</v>
      </c>
      <c r="D1167" s="2" t="s">
        <v>204</v>
      </c>
      <c r="E1167" s="2">
        <v>163</v>
      </c>
      <c r="F1167" s="2">
        <v>2792.249</v>
      </c>
    </row>
    <row r="1168" spans="3:6" x14ac:dyDescent="0.25">
      <c r="C1168" s="2" t="s">
        <v>9336</v>
      </c>
      <c r="D1168" s="2" t="s">
        <v>214</v>
      </c>
      <c r="E1168" s="2">
        <v>100</v>
      </c>
      <c r="F1168" s="2">
        <v>1919.029</v>
      </c>
    </row>
    <row r="1169" spans="3:6" x14ac:dyDescent="0.25">
      <c r="C1169" s="2" t="s">
        <v>9337</v>
      </c>
      <c r="D1169" s="2" t="s">
        <v>214</v>
      </c>
      <c r="E1169" s="2">
        <v>56</v>
      </c>
      <c r="F1169" s="2">
        <v>1066.79</v>
      </c>
    </row>
    <row r="1170" spans="3:6" x14ac:dyDescent="0.25">
      <c r="C1170" s="2" t="s">
        <v>9338</v>
      </c>
      <c r="D1170" s="2" t="s">
        <v>214</v>
      </c>
      <c r="E1170" s="2">
        <v>56</v>
      </c>
      <c r="F1170" s="2">
        <v>1119.789</v>
      </c>
    </row>
    <row r="1171" spans="3:6" x14ac:dyDescent="0.25">
      <c r="C1171" s="2" t="s">
        <v>9339</v>
      </c>
      <c r="D1171" s="2" t="s">
        <v>214</v>
      </c>
      <c r="E1171" s="2">
        <v>100</v>
      </c>
      <c r="F1171" s="2">
        <v>1811.51</v>
      </c>
    </row>
    <row r="1172" spans="3:6" x14ac:dyDescent="0.25">
      <c r="C1172" s="2" t="s">
        <v>9340</v>
      </c>
      <c r="D1172" s="2" t="s">
        <v>214</v>
      </c>
      <c r="E1172" s="2">
        <v>100</v>
      </c>
      <c r="F1172" s="2">
        <v>1907.79</v>
      </c>
    </row>
    <row r="1173" spans="3:6" x14ac:dyDescent="0.25">
      <c r="C1173" s="2" t="s">
        <v>9341</v>
      </c>
      <c r="D1173" s="2" t="s">
        <v>214</v>
      </c>
      <c r="E1173" s="2">
        <v>56</v>
      </c>
      <c r="F1173" s="2">
        <v>1041.67</v>
      </c>
    </row>
    <row r="1174" spans="3:6" x14ac:dyDescent="0.25">
      <c r="C1174" s="2" t="s">
        <v>9342</v>
      </c>
      <c r="D1174" s="2" t="s">
        <v>214</v>
      </c>
      <c r="E1174" s="2">
        <v>100</v>
      </c>
      <c r="F1174" s="2">
        <v>1903.389</v>
      </c>
    </row>
    <row r="1175" spans="3:6" x14ac:dyDescent="0.25">
      <c r="C1175" s="2" t="s">
        <v>9343</v>
      </c>
      <c r="D1175" s="2" t="s">
        <v>214</v>
      </c>
      <c r="E1175" s="2">
        <v>56</v>
      </c>
      <c r="F1175" s="2">
        <v>1072.85</v>
      </c>
    </row>
    <row r="1176" spans="3:6" x14ac:dyDescent="0.25">
      <c r="C1176" s="2" t="s">
        <v>9344</v>
      </c>
      <c r="D1176" s="2" t="s">
        <v>214</v>
      </c>
      <c r="E1176" s="2">
        <v>100</v>
      </c>
      <c r="F1176" s="2">
        <v>1841.8</v>
      </c>
    </row>
    <row r="1177" spans="3:6" x14ac:dyDescent="0.25">
      <c r="C1177" s="2" t="s">
        <v>9345</v>
      </c>
      <c r="D1177" s="2" t="s">
        <v>214</v>
      </c>
      <c r="E1177" s="2">
        <v>56</v>
      </c>
      <c r="F1177" s="2">
        <v>1018.32</v>
      </c>
    </row>
    <row r="1178" spans="3:6" x14ac:dyDescent="0.25">
      <c r="C1178" s="2" t="s">
        <v>9346</v>
      </c>
      <c r="D1178" s="2" t="s">
        <v>216</v>
      </c>
      <c r="E1178" s="2">
        <v>134</v>
      </c>
      <c r="F1178" s="2">
        <v>2741.74</v>
      </c>
    </row>
    <row r="1179" spans="3:6" x14ac:dyDescent="0.25">
      <c r="C1179" s="2" t="s">
        <v>9347</v>
      </c>
      <c r="D1179" s="2" t="s">
        <v>216</v>
      </c>
      <c r="E1179" s="2">
        <v>134</v>
      </c>
      <c r="F1179" s="2">
        <v>2765.66</v>
      </c>
    </row>
    <row r="1180" spans="3:6" x14ac:dyDescent="0.25">
      <c r="C1180" s="2" t="s">
        <v>9348</v>
      </c>
      <c r="D1180" s="2" t="s">
        <v>216</v>
      </c>
      <c r="E1180" s="2">
        <v>134</v>
      </c>
      <c r="F1180" s="2">
        <v>2723.93</v>
      </c>
    </row>
    <row r="1181" spans="3:6" x14ac:dyDescent="0.25">
      <c r="C1181" s="2" t="s">
        <v>9349</v>
      </c>
      <c r="D1181" s="2" t="s">
        <v>216</v>
      </c>
      <c r="E1181" s="2">
        <v>134</v>
      </c>
      <c r="F1181" s="2">
        <v>2534.09</v>
      </c>
    </row>
    <row r="1182" spans="3:6" x14ac:dyDescent="0.25">
      <c r="C1182" s="2" t="s">
        <v>9350</v>
      </c>
      <c r="D1182" s="2" t="s">
        <v>216</v>
      </c>
      <c r="E1182" s="2">
        <v>134</v>
      </c>
      <c r="F1182" s="2">
        <v>2634.719</v>
      </c>
    </row>
    <row r="1183" spans="3:6" x14ac:dyDescent="0.25">
      <c r="C1183" s="2" t="s">
        <v>9351</v>
      </c>
      <c r="D1183" s="2" t="s">
        <v>216</v>
      </c>
      <c r="E1183" s="2">
        <v>134</v>
      </c>
      <c r="F1183" s="2">
        <v>2696.07</v>
      </c>
    </row>
    <row r="1184" spans="3:6" x14ac:dyDescent="0.25">
      <c r="C1184" s="2" t="s">
        <v>9352</v>
      </c>
      <c r="D1184" s="2" t="s">
        <v>216</v>
      </c>
      <c r="E1184" s="2">
        <v>163</v>
      </c>
      <c r="F1184" s="2">
        <v>3025</v>
      </c>
    </row>
    <row r="1185" spans="3:6" x14ac:dyDescent="0.25">
      <c r="C1185" s="2" t="s">
        <v>9353</v>
      </c>
      <c r="D1185" s="2" t="s">
        <v>216</v>
      </c>
      <c r="E1185" s="2">
        <v>163</v>
      </c>
      <c r="F1185" s="2">
        <v>3185.9</v>
      </c>
    </row>
    <row r="1186" spans="3:6" x14ac:dyDescent="0.25">
      <c r="C1186" s="2" t="s">
        <v>9354</v>
      </c>
      <c r="D1186" s="2" t="s">
        <v>216</v>
      </c>
      <c r="E1186" s="2">
        <v>163</v>
      </c>
      <c r="F1186" s="2">
        <v>2952.46</v>
      </c>
    </row>
    <row r="1187" spans="3:6" x14ac:dyDescent="0.25">
      <c r="C1187" s="2" t="s">
        <v>9355</v>
      </c>
      <c r="D1187" s="2" t="s">
        <v>236</v>
      </c>
      <c r="E1187" s="2">
        <v>80</v>
      </c>
      <c r="F1187" s="2">
        <v>1533.87</v>
      </c>
    </row>
    <row r="1188" spans="3:6" x14ac:dyDescent="0.25">
      <c r="C1188" s="2" t="s">
        <v>9356</v>
      </c>
      <c r="D1188" s="2" t="s">
        <v>236</v>
      </c>
      <c r="E1188" s="2">
        <v>13</v>
      </c>
      <c r="F1188" s="2">
        <v>252.46</v>
      </c>
    </row>
    <row r="1189" spans="3:6" x14ac:dyDescent="0.25">
      <c r="C1189" s="2" t="s">
        <v>9357</v>
      </c>
      <c r="D1189" s="2" t="s">
        <v>236</v>
      </c>
      <c r="E1189" s="2">
        <v>12</v>
      </c>
      <c r="F1189" s="2">
        <v>265</v>
      </c>
    </row>
    <row r="1190" spans="3:6" x14ac:dyDescent="0.25">
      <c r="C1190" s="2" t="s">
        <v>9358</v>
      </c>
      <c r="D1190" s="2" t="s">
        <v>236</v>
      </c>
      <c r="E1190" s="2">
        <v>45</v>
      </c>
      <c r="F1190" s="2">
        <v>853.23</v>
      </c>
    </row>
    <row r="1191" spans="3:6" x14ac:dyDescent="0.25">
      <c r="C1191" s="2" t="s">
        <v>9359</v>
      </c>
      <c r="D1191" s="2" t="s">
        <v>236</v>
      </c>
      <c r="E1191" s="2">
        <v>60</v>
      </c>
      <c r="F1191" s="2">
        <v>1138.13</v>
      </c>
    </row>
    <row r="1192" spans="3:6" x14ac:dyDescent="0.25">
      <c r="C1192" s="2" t="s">
        <v>9360</v>
      </c>
      <c r="D1192" s="2" t="s">
        <v>347</v>
      </c>
      <c r="E1192" s="2">
        <v>47</v>
      </c>
      <c r="F1192" s="2">
        <v>877.03</v>
      </c>
    </row>
    <row r="1193" spans="3:6" x14ac:dyDescent="0.25">
      <c r="C1193" s="2" t="s">
        <v>9361</v>
      </c>
      <c r="D1193" s="2" t="s">
        <v>347</v>
      </c>
      <c r="E1193" s="2">
        <v>100</v>
      </c>
      <c r="F1193" s="2">
        <v>1864.994</v>
      </c>
    </row>
    <row r="1194" spans="3:6" x14ac:dyDescent="0.25">
      <c r="C1194" s="2" t="s">
        <v>9362</v>
      </c>
      <c r="D1194" s="2" t="s">
        <v>347</v>
      </c>
      <c r="E1194" s="2">
        <v>9</v>
      </c>
      <c r="F1194" s="2">
        <v>167.14</v>
      </c>
    </row>
    <row r="1195" spans="3:6" x14ac:dyDescent="0.25">
      <c r="C1195" s="2" t="s">
        <v>9363</v>
      </c>
      <c r="D1195" s="2" t="s">
        <v>347</v>
      </c>
      <c r="E1195" s="2" t="s">
        <v>8758</v>
      </c>
      <c r="F1195" s="2" t="s">
        <v>8758</v>
      </c>
    </row>
    <row r="1196" spans="3:6" x14ac:dyDescent="0.25">
      <c r="C1196" s="2" t="s">
        <v>9364</v>
      </c>
      <c r="D1196" s="2" t="s">
        <v>347</v>
      </c>
      <c r="E1196" s="2" t="s">
        <v>8758</v>
      </c>
      <c r="F1196" s="2" t="s">
        <v>8758</v>
      </c>
    </row>
    <row r="1197" spans="3:6" x14ac:dyDescent="0.25">
      <c r="C1197" s="2" t="s">
        <v>9365</v>
      </c>
      <c r="D1197" s="2" t="s">
        <v>347</v>
      </c>
      <c r="E1197" s="2">
        <v>100</v>
      </c>
      <c r="F1197" s="2">
        <v>1862.93</v>
      </c>
    </row>
    <row r="1198" spans="3:6" x14ac:dyDescent="0.25">
      <c r="C1198" s="2" t="s">
        <v>9366</v>
      </c>
      <c r="D1198" s="2" t="s">
        <v>347</v>
      </c>
      <c r="E1198" s="2">
        <v>56</v>
      </c>
      <c r="F1198" s="2">
        <v>1062.56</v>
      </c>
    </row>
    <row r="1200" spans="2:7" x14ac:dyDescent="0.25">
      <c r="B1200" s="2" t="s">
        <v>2077</v>
      </c>
      <c r="C1200" s="2" t="s">
        <v>9367</v>
      </c>
      <c r="D1200" s="2" t="s">
        <v>216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9368</v>
      </c>
      <c r="D1201" s="2" t="s">
        <v>216</v>
      </c>
      <c r="E1201" s="2">
        <v>156</v>
      </c>
      <c r="F1201" s="2">
        <v>2876</v>
      </c>
    </row>
    <row r="1202" spans="3:6" x14ac:dyDescent="0.25">
      <c r="C1202" s="2" t="s">
        <v>9369</v>
      </c>
      <c r="D1202" s="2" t="s">
        <v>297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9370</v>
      </c>
      <c r="C1204" s="2" t="s">
        <v>9371</v>
      </c>
      <c r="D1204" s="2" t="s">
        <v>20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9372</v>
      </c>
      <c r="D1205" s="2" t="s">
        <v>20</v>
      </c>
      <c r="E1205" s="2">
        <v>128</v>
      </c>
      <c r="F1205" s="2">
        <v>2531.474</v>
      </c>
    </row>
    <row r="1206" spans="3:6" x14ac:dyDescent="0.25">
      <c r="C1206" s="2" t="s">
        <v>9373</v>
      </c>
      <c r="D1206" s="2" t="s">
        <v>20</v>
      </c>
      <c r="E1206" s="2">
        <v>163</v>
      </c>
      <c r="F1206" s="2">
        <v>3096.12</v>
      </c>
    </row>
    <row r="1207" spans="3:6" x14ac:dyDescent="0.25">
      <c r="C1207" s="2" t="s">
        <v>9374</v>
      </c>
      <c r="D1207" s="2" t="s">
        <v>20</v>
      </c>
      <c r="E1207" s="2">
        <v>163</v>
      </c>
      <c r="F1207" s="2">
        <v>3046.34</v>
      </c>
    </row>
    <row r="1208" spans="3:6" x14ac:dyDescent="0.25">
      <c r="C1208" s="2" t="s">
        <v>9375</v>
      </c>
      <c r="D1208" s="2" t="s">
        <v>20</v>
      </c>
      <c r="E1208" s="2">
        <v>163</v>
      </c>
      <c r="F1208" s="2">
        <v>2986.428</v>
      </c>
    </row>
    <row r="1209" spans="3:6" x14ac:dyDescent="0.25">
      <c r="C1209" s="2" t="s">
        <v>9376</v>
      </c>
      <c r="D1209" s="2" t="s">
        <v>20</v>
      </c>
      <c r="E1209" s="2">
        <v>105</v>
      </c>
      <c r="F1209" s="2">
        <v>2082.26</v>
      </c>
    </row>
    <row r="1210" spans="3:6" x14ac:dyDescent="0.25">
      <c r="C1210" s="2" t="s">
        <v>9377</v>
      </c>
      <c r="D1210" s="2" t="s">
        <v>20</v>
      </c>
      <c r="E1210" s="2">
        <v>163</v>
      </c>
      <c r="F1210" s="2">
        <v>3208.84</v>
      </c>
    </row>
    <row r="1211" spans="3:6" x14ac:dyDescent="0.25">
      <c r="C1211" s="2" t="s">
        <v>9378</v>
      </c>
      <c r="D1211" s="2" t="s">
        <v>20</v>
      </c>
      <c r="E1211" s="2">
        <v>268</v>
      </c>
      <c r="F1211" s="2">
        <v>5023.5</v>
      </c>
    </row>
    <row r="1212" spans="3:6" x14ac:dyDescent="0.25">
      <c r="C1212" s="2" t="s">
        <v>9379</v>
      </c>
      <c r="D1212" s="2" t="s">
        <v>20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380</v>
      </c>
      <c r="C1214" s="2" t="s">
        <v>9380</v>
      </c>
      <c r="D1214" s="2" t="s">
        <v>20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9381</v>
      </c>
      <c r="D1215" s="2" t="s">
        <v>20</v>
      </c>
      <c r="E1215" s="2">
        <v>149</v>
      </c>
      <c r="F1215" s="2">
        <v>2839.486</v>
      </c>
    </row>
    <row r="1216" spans="3:6" x14ac:dyDescent="0.25">
      <c r="C1216" s="2" t="s">
        <v>9382</v>
      </c>
      <c r="D1216" s="2" t="s">
        <v>20</v>
      </c>
      <c r="E1216" s="2">
        <v>102</v>
      </c>
      <c r="F1216" s="2">
        <v>2015.699</v>
      </c>
    </row>
    <row r="1217" spans="3:6" x14ac:dyDescent="0.25">
      <c r="C1217" s="2" t="s">
        <v>9383</v>
      </c>
      <c r="D1217" s="2" t="s">
        <v>20</v>
      </c>
      <c r="E1217" s="2">
        <v>149</v>
      </c>
      <c r="F1217" s="2">
        <v>2735.2</v>
      </c>
    </row>
    <row r="1218" spans="3:6" x14ac:dyDescent="0.25">
      <c r="C1218" s="2" t="s">
        <v>9384</v>
      </c>
      <c r="D1218" s="2" t="s">
        <v>20</v>
      </c>
      <c r="E1218" s="2">
        <v>102</v>
      </c>
      <c r="F1218" s="2">
        <v>2105.2</v>
      </c>
    </row>
    <row r="1219" spans="3:6" x14ac:dyDescent="0.25">
      <c r="C1219" s="2" t="s">
        <v>9385</v>
      </c>
      <c r="D1219" s="2" t="s">
        <v>20</v>
      </c>
      <c r="E1219" s="2">
        <v>251</v>
      </c>
      <c r="F1219" s="2">
        <v>4903.659</v>
      </c>
    </row>
    <row r="1220" spans="3:6" x14ac:dyDescent="0.25">
      <c r="C1220" s="2" t="s">
        <v>9386</v>
      </c>
      <c r="D1220" s="2" t="s">
        <v>20</v>
      </c>
      <c r="E1220" s="2">
        <v>102</v>
      </c>
      <c r="F1220" s="2">
        <v>1932.79</v>
      </c>
    </row>
    <row r="1221" spans="3:6" x14ac:dyDescent="0.25">
      <c r="C1221" s="2" t="s">
        <v>9387</v>
      </c>
      <c r="D1221" s="2" t="s">
        <v>20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2375</v>
      </c>
      <c r="C1223" s="2" t="s">
        <v>9388</v>
      </c>
      <c r="D1223" s="2" t="s">
        <v>342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9389</v>
      </c>
      <c r="D1224" s="2" t="s">
        <v>342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2378</v>
      </c>
      <c r="C1226" s="2" t="s">
        <v>9390</v>
      </c>
      <c r="D1226" s="2" t="s">
        <v>2096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1434</v>
      </c>
      <c r="C1228" s="2" t="s">
        <v>9391</v>
      </c>
      <c r="D1228" s="2" t="s">
        <v>122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9392</v>
      </c>
      <c r="D1229" s="2" t="s">
        <v>122</v>
      </c>
      <c r="E1229" s="2">
        <v>121</v>
      </c>
      <c r="F1229" s="2">
        <v>2524.4</v>
      </c>
    </row>
    <row r="1230" spans="3:6" x14ac:dyDescent="0.25">
      <c r="C1230" s="2" t="s">
        <v>9393</v>
      </c>
      <c r="D1230" s="2" t="s">
        <v>122</v>
      </c>
      <c r="E1230" s="2">
        <v>141</v>
      </c>
      <c r="F1230" s="2">
        <v>2913.69</v>
      </c>
    </row>
    <row r="1231" spans="3:6" x14ac:dyDescent="0.25">
      <c r="C1231" s="2" t="s">
        <v>9394</v>
      </c>
      <c r="D1231" s="2" t="s">
        <v>122</v>
      </c>
      <c r="E1231" s="2">
        <v>141</v>
      </c>
      <c r="F1231" s="2">
        <v>2913.7</v>
      </c>
    </row>
    <row r="1232" spans="3:6" x14ac:dyDescent="0.25">
      <c r="C1232" s="2" t="s">
        <v>9395</v>
      </c>
      <c r="D1232" s="2" t="s">
        <v>122</v>
      </c>
      <c r="E1232" s="2">
        <v>141</v>
      </c>
      <c r="F1232" s="2">
        <v>2858.769</v>
      </c>
    </row>
    <row r="1233" spans="3:6" x14ac:dyDescent="0.25">
      <c r="C1233" s="2" t="s">
        <v>9396</v>
      </c>
      <c r="D1233" s="2" t="s">
        <v>122</v>
      </c>
      <c r="E1233" s="2">
        <v>141</v>
      </c>
      <c r="F1233" s="2">
        <v>2761.54</v>
      </c>
    </row>
    <row r="1234" spans="3:6" x14ac:dyDescent="0.25">
      <c r="C1234" s="2" t="s">
        <v>9397</v>
      </c>
      <c r="D1234" s="2" t="s">
        <v>122</v>
      </c>
      <c r="E1234" s="2">
        <v>141</v>
      </c>
      <c r="F1234" s="2">
        <v>2863.8</v>
      </c>
    </row>
    <row r="1235" spans="3:6" x14ac:dyDescent="0.25">
      <c r="C1235" s="2" t="s">
        <v>9398</v>
      </c>
      <c r="D1235" s="2" t="s">
        <v>122</v>
      </c>
      <c r="E1235" s="2">
        <v>141</v>
      </c>
      <c r="F1235" s="2">
        <v>2851.978</v>
      </c>
    </row>
    <row r="1236" spans="3:6" x14ac:dyDescent="0.25">
      <c r="C1236" s="2" t="s">
        <v>9399</v>
      </c>
      <c r="D1236" s="2" t="s">
        <v>122</v>
      </c>
      <c r="E1236" s="2">
        <v>72</v>
      </c>
      <c r="F1236" s="2">
        <v>1446.72</v>
      </c>
    </row>
    <row r="1237" spans="3:6" x14ac:dyDescent="0.25">
      <c r="C1237" s="2" t="s">
        <v>9400</v>
      </c>
      <c r="D1237" s="2" t="s">
        <v>122</v>
      </c>
      <c r="E1237" s="2">
        <v>69</v>
      </c>
      <c r="F1237" s="2">
        <v>1432.07</v>
      </c>
    </row>
    <row r="1238" spans="3:6" x14ac:dyDescent="0.25">
      <c r="C1238" s="2" t="s">
        <v>9401</v>
      </c>
      <c r="D1238" s="2" t="s">
        <v>122</v>
      </c>
      <c r="E1238" s="2">
        <v>141</v>
      </c>
      <c r="F1238" s="2">
        <v>2928.25</v>
      </c>
    </row>
    <row r="1239" spans="3:6" x14ac:dyDescent="0.25">
      <c r="C1239" s="2" t="s">
        <v>9402</v>
      </c>
      <c r="D1239" s="2" t="s">
        <v>122</v>
      </c>
      <c r="E1239" s="2">
        <v>100</v>
      </c>
      <c r="F1239" s="2">
        <v>2022.6</v>
      </c>
    </row>
    <row r="1240" spans="3:6" x14ac:dyDescent="0.25">
      <c r="C1240" s="2" t="s">
        <v>9403</v>
      </c>
      <c r="D1240" s="2" t="s">
        <v>122</v>
      </c>
      <c r="E1240" s="2">
        <v>42</v>
      </c>
      <c r="F1240" s="2">
        <v>809.189</v>
      </c>
    </row>
    <row r="1241" spans="3:6" x14ac:dyDescent="0.25">
      <c r="C1241" s="2" t="s">
        <v>9404</v>
      </c>
      <c r="D1241" s="2" t="s">
        <v>122</v>
      </c>
      <c r="E1241" s="2">
        <v>53</v>
      </c>
      <c r="F1241" s="2">
        <v>1029.68</v>
      </c>
    </row>
    <row r="1242" spans="3:6" x14ac:dyDescent="0.25">
      <c r="C1242" s="2" t="s">
        <v>9405</v>
      </c>
      <c r="D1242" s="2" t="s">
        <v>122</v>
      </c>
      <c r="E1242" s="2">
        <v>16</v>
      </c>
      <c r="F1242" s="2">
        <v>324.46</v>
      </c>
    </row>
    <row r="1243" spans="3:6" x14ac:dyDescent="0.25">
      <c r="C1243" s="2" t="s">
        <v>9406</v>
      </c>
      <c r="D1243" s="2" t="s">
        <v>122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324</v>
      </c>
      <c r="C1245" s="2" t="s">
        <v>9407</v>
      </c>
      <c r="D1245" s="2" t="s">
        <v>27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9408</v>
      </c>
      <c r="D1246" s="2" t="s">
        <v>27</v>
      </c>
      <c r="E1246" s="2">
        <v>122</v>
      </c>
      <c r="F1246" s="2">
        <v>2489.529</v>
      </c>
    </row>
    <row r="1247" spans="3:6" x14ac:dyDescent="0.25">
      <c r="C1247" s="2" t="s">
        <v>9409</v>
      </c>
      <c r="D1247" s="2" t="s">
        <v>27</v>
      </c>
      <c r="E1247" s="2">
        <v>30</v>
      </c>
      <c r="F1247" s="2">
        <v>596.32</v>
      </c>
    </row>
    <row r="1248" spans="3:6" x14ac:dyDescent="0.25">
      <c r="C1248" s="2" t="s">
        <v>9410</v>
      </c>
      <c r="D1248" s="2" t="s">
        <v>27</v>
      </c>
      <c r="E1248" s="2">
        <v>66</v>
      </c>
      <c r="F1248" s="2">
        <v>1187.38</v>
      </c>
    </row>
    <row r="1249" spans="3:6" x14ac:dyDescent="0.25">
      <c r="C1249" s="2" t="s">
        <v>9411</v>
      </c>
      <c r="D1249" s="2" t="s">
        <v>27</v>
      </c>
      <c r="E1249" s="2">
        <v>49</v>
      </c>
      <c r="F1249" s="2">
        <v>879.71</v>
      </c>
    </row>
    <row r="1250" spans="3:6" x14ac:dyDescent="0.25">
      <c r="C1250" s="2" t="s">
        <v>9412</v>
      </c>
      <c r="D1250" s="2" t="s">
        <v>27</v>
      </c>
      <c r="E1250" s="2">
        <v>52</v>
      </c>
      <c r="F1250" s="2">
        <v>990.54</v>
      </c>
    </row>
    <row r="1251" spans="3:6" x14ac:dyDescent="0.25">
      <c r="C1251" s="2" t="s">
        <v>9413</v>
      </c>
      <c r="D1251" s="2" t="s">
        <v>27</v>
      </c>
      <c r="E1251" s="2">
        <v>34</v>
      </c>
      <c r="F1251" s="2">
        <v>716.61</v>
      </c>
    </row>
    <row r="1252" spans="3:6" x14ac:dyDescent="0.25">
      <c r="C1252" s="2" t="s">
        <v>9414</v>
      </c>
      <c r="D1252" s="2" t="s">
        <v>27</v>
      </c>
      <c r="E1252" s="2">
        <v>67</v>
      </c>
      <c r="F1252" s="2">
        <v>1206.48</v>
      </c>
    </row>
    <row r="1253" spans="3:6" x14ac:dyDescent="0.25">
      <c r="C1253" s="2" t="s">
        <v>9415</v>
      </c>
      <c r="D1253" s="2" t="s">
        <v>27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794</v>
      </c>
      <c r="C1255" s="2" t="s">
        <v>9416</v>
      </c>
      <c r="D1255" s="2" t="s">
        <v>204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10</v>
      </c>
      <c r="C1257" s="2" t="s">
        <v>9417</v>
      </c>
      <c r="D1257" s="2" t="s">
        <v>12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9418</v>
      </c>
      <c r="D1258" s="2" t="s">
        <v>12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338</v>
      </c>
      <c r="C1260" s="2" t="s">
        <v>9419</v>
      </c>
      <c r="D1260" s="2" t="s">
        <v>9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238</v>
      </c>
      <c r="C1262" s="2" t="s">
        <v>9420</v>
      </c>
      <c r="D1262" s="2" t="s">
        <v>204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9421</v>
      </c>
      <c r="D1263" s="2" t="s">
        <v>204</v>
      </c>
      <c r="E1263" s="2">
        <v>163</v>
      </c>
      <c r="F1263" s="2">
        <v>3058.089</v>
      </c>
    </row>
    <row r="1264" spans="3:6" x14ac:dyDescent="0.25">
      <c r="C1264" s="2" t="s">
        <v>9422</v>
      </c>
      <c r="D1264" s="2" t="s">
        <v>204</v>
      </c>
      <c r="E1264" s="2">
        <v>134</v>
      </c>
      <c r="F1264" s="2">
        <v>2696.36</v>
      </c>
    </row>
    <row r="1265" spans="3:6" x14ac:dyDescent="0.25">
      <c r="C1265" s="2" t="s">
        <v>9423</v>
      </c>
      <c r="D1265" s="2" t="s">
        <v>204</v>
      </c>
      <c r="E1265" s="2">
        <v>134</v>
      </c>
      <c r="F1265" s="2">
        <v>2653.179</v>
      </c>
    </row>
    <row r="1266" spans="3:6" x14ac:dyDescent="0.25">
      <c r="C1266" s="2" t="s">
        <v>9424</v>
      </c>
      <c r="D1266" s="2" t="s">
        <v>204</v>
      </c>
      <c r="E1266" s="2">
        <v>134</v>
      </c>
      <c r="F1266" s="2">
        <v>2686.679</v>
      </c>
    </row>
    <row r="1267" spans="3:6" x14ac:dyDescent="0.25">
      <c r="C1267" s="2" t="s">
        <v>9425</v>
      </c>
      <c r="D1267" s="2" t="s">
        <v>204</v>
      </c>
      <c r="E1267" s="2">
        <v>134</v>
      </c>
      <c r="F1267" s="2">
        <v>2640.16</v>
      </c>
    </row>
    <row r="1268" spans="3:6" x14ac:dyDescent="0.25">
      <c r="C1268" s="2" t="s">
        <v>9426</v>
      </c>
      <c r="D1268" s="2" t="s">
        <v>204</v>
      </c>
      <c r="E1268" s="2">
        <v>134</v>
      </c>
      <c r="F1268" s="2">
        <v>2632.51</v>
      </c>
    </row>
    <row r="1269" spans="3:6" x14ac:dyDescent="0.25">
      <c r="C1269" s="2" t="s">
        <v>9427</v>
      </c>
      <c r="D1269" s="2" t="s">
        <v>204</v>
      </c>
      <c r="E1269" s="2">
        <v>163</v>
      </c>
      <c r="F1269" s="2">
        <v>2704.907</v>
      </c>
    </row>
    <row r="1270" spans="3:6" x14ac:dyDescent="0.25">
      <c r="C1270" s="2" t="s">
        <v>9428</v>
      </c>
      <c r="D1270" s="2" t="s">
        <v>204</v>
      </c>
      <c r="E1270" s="2">
        <v>163</v>
      </c>
      <c r="F1270" s="2">
        <v>3097.379</v>
      </c>
    </row>
    <row r="1271" spans="3:6" x14ac:dyDescent="0.25">
      <c r="C1271" s="2" t="s">
        <v>9429</v>
      </c>
      <c r="D1271" s="2" t="s">
        <v>204</v>
      </c>
      <c r="E1271" s="2">
        <v>163</v>
      </c>
      <c r="F1271" s="2">
        <v>3150.38</v>
      </c>
    </row>
    <row r="1272" spans="3:6" x14ac:dyDescent="0.25">
      <c r="C1272" s="2" t="s">
        <v>9430</v>
      </c>
      <c r="D1272" s="2" t="s">
        <v>204</v>
      </c>
      <c r="E1272" s="2">
        <v>163</v>
      </c>
      <c r="F1272" s="2">
        <v>2989.629</v>
      </c>
    </row>
    <row r="1273" spans="3:6" x14ac:dyDescent="0.25">
      <c r="C1273" s="2" t="s">
        <v>9431</v>
      </c>
      <c r="D1273" s="2" t="s">
        <v>204</v>
      </c>
      <c r="E1273" s="2">
        <v>163</v>
      </c>
      <c r="F1273" s="2">
        <v>3002.34</v>
      </c>
    </row>
    <row r="1274" spans="3:6" x14ac:dyDescent="0.25">
      <c r="C1274" s="2" t="s">
        <v>9432</v>
      </c>
      <c r="D1274" s="2" t="s">
        <v>204</v>
      </c>
      <c r="E1274" s="2">
        <v>106</v>
      </c>
      <c r="F1274" s="2">
        <v>1879.528</v>
      </c>
    </row>
    <row r="1275" spans="3:6" x14ac:dyDescent="0.25">
      <c r="C1275" s="2" t="s">
        <v>9433</v>
      </c>
      <c r="D1275" s="2" t="s">
        <v>204</v>
      </c>
      <c r="E1275" s="2" t="s">
        <v>8758</v>
      </c>
      <c r="F1275" s="2" t="s">
        <v>8758</v>
      </c>
    </row>
    <row r="1276" spans="3:6" x14ac:dyDescent="0.25">
      <c r="C1276" s="2" t="s">
        <v>9434</v>
      </c>
      <c r="D1276" s="2" t="s">
        <v>204</v>
      </c>
      <c r="E1276" s="2">
        <v>105</v>
      </c>
      <c r="F1276" s="2">
        <v>1962.489</v>
      </c>
    </row>
    <row r="1277" spans="3:6" x14ac:dyDescent="0.25">
      <c r="C1277" s="2" t="s">
        <v>9435</v>
      </c>
      <c r="D1277" s="2" t="s">
        <v>204</v>
      </c>
      <c r="E1277" s="2">
        <v>105</v>
      </c>
      <c r="F1277" s="2">
        <v>2023.83</v>
      </c>
    </row>
    <row r="1278" spans="3:6" x14ac:dyDescent="0.25">
      <c r="C1278" s="2" t="s">
        <v>9436</v>
      </c>
      <c r="D1278" s="2" t="s">
        <v>204</v>
      </c>
      <c r="E1278" s="2">
        <v>105</v>
      </c>
      <c r="F1278" s="2">
        <v>2095.31</v>
      </c>
    </row>
    <row r="1279" spans="3:6" x14ac:dyDescent="0.25">
      <c r="C1279" s="2" t="s">
        <v>9437</v>
      </c>
      <c r="D1279" s="2" t="s">
        <v>204</v>
      </c>
      <c r="E1279" s="2">
        <v>105</v>
      </c>
      <c r="F1279" s="2">
        <v>2072.33</v>
      </c>
    </row>
    <row r="1280" spans="3:6" x14ac:dyDescent="0.25">
      <c r="C1280" s="2" t="s">
        <v>9438</v>
      </c>
      <c r="D1280" s="2" t="s">
        <v>204</v>
      </c>
      <c r="E1280" s="2">
        <v>163</v>
      </c>
      <c r="F1280" s="2">
        <v>3080.969</v>
      </c>
    </row>
    <row r="1281" spans="3:6" x14ac:dyDescent="0.25">
      <c r="C1281" s="2" t="s">
        <v>9439</v>
      </c>
      <c r="D1281" s="2" t="s">
        <v>204</v>
      </c>
      <c r="E1281" s="2">
        <v>163</v>
      </c>
      <c r="F1281" s="2">
        <v>2957.52</v>
      </c>
    </row>
    <row r="1282" spans="3:6" x14ac:dyDescent="0.25">
      <c r="C1282" s="2" t="s">
        <v>9440</v>
      </c>
      <c r="D1282" s="2" t="s">
        <v>204</v>
      </c>
      <c r="E1282" s="2">
        <v>266</v>
      </c>
      <c r="F1282" s="2">
        <v>750.54</v>
      </c>
    </row>
    <row r="1283" spans="3:6" x14ac:dyDescent="0.25">
      <c r="C1283" s="2" t="s">
        <v>9441</v>
      </c>
      <c r="D1283" s="2" t="s">
        <v>204</v>
      </c>
      <c r="E1283" s="2">
        <v>264</v>
      </c>
      <c r="F1283" s="2">
        <v>689.4</v>
      </c>
    </row>
    <row r="1284" spans="3:6" x14ac:dyDescent="0.25">
      <c r="C1284" s="2" t="s">
        <v>9442</v>
      </c>
      <c r="D1284" s="2" t="s">
        <v>204</v>
      </c>
      <c r="E1284" s="2">
        <v>105</v>
      </c>
      <c r="F1284" s="2">
        <v>2060.17</v>
      </c>
    </row>
    <row r="1285" spans="3:6" x14ac:dyDescent="0.25">
      <c r="C1285" s="2" t="s">
        <v>9443</v>
      </c>
      <c r="D1285" s="2" t="s">
        <v>214</v>
      </c>
      <c r="E1285" s="2">
        <v>100</v>
      </c>
      <c r="F1285" s="2">
        <v>1891.37</v>
      </c>
    </row>
    <row r="1286" spans="3:6" x14ac:dyDescent="0.25">
      <c r="C1286" s="2" t="s">
        <v>9444</v>
      </c>
      <c r="D1286" s="2" t="s">
        <v>214</v>
      </c>
      <c r="E1286" s="2">
        <v>56</v>
      </c>
      <c r="F1286" s="2">
        <v>1116.56</v>
      </c>
    </row>
    <row r="1287" spans="3:6" x14ac:dyDescent="0.25">
      <c r="C1287" s="2" t="s">
        <v>9445</v>
      </c>
      <c r="D1287" s="2" t="s">
        <v>214</v>
      </c>
      <c r="E1287" s="2">
        <v>100</v>
      </c>
      <c r="F1287" s="2">
        <v>1953.52</v>
      </c>
    </row>
    <row r="1288" spans="3:6" x14ac:dyDescent="0.25">
      <c r="C1288" s="2" t="s">
        <v>9446</v>
      </c>
      <c r="D1288" s="2" t="s">
        <v>214</v>
      </c>
      <c r="E1288" s="2">
        <v>56</v>
      </c>
      <c r="F1288" s="2">
        <v>948.13</v>
      </c>
    </row>
    <row r="1289" spans="3:6" x14ac:dyDescent="0.25">
      <c r="C1289" s="2" t="s">
        <v>9447</v>
      </c>
      <c r="D1289" s="2" t="s">
        <v>214</v>
      </c>
      <c r="E1289" s="2">
        <v>56</v>
      </c>
      <c r="F1289" s="2">
        <v>1052.9</v>
      </c>
    </row>
    <row r="1290" spans="3:6" x14ac:dyDescent="0.25">
      <c r="C1290" s="2" t="s">
        <v>9448</v>
      </c>
      <c r="D1290" s="2" t="s">
        <v>214</v>
      </c>
      <c r="E1290" s="2">
        <v>100</v>
      </c>
      <c r="F1290" s="2">
        <v>1963.46</v>
      </c>
    </row>
    <row r="1291" spans="3:6" x14ac:dyDescent="0.25">
      <c r="C1291" s="2" t="s">
        <v>9449</v>
      </c>
      <c r="D1291" s="2" t="s">
        <v>214</v>
      </c>
      <c r="E1291" s="2">
        <v>56</v>
      </c>
      <c r="F1291" s="2">
        <v>1072.91</v>
      </c>
    </row>
    <row r="1292" spans="3:6" x14ac:dyDescent="0.25">
      <c r="C1292" s="2" t="s">
        <v>9450</v>
      </c>
      <c r="D1292" s="2" t="s">
        <v>214</v>
      </c>
      <c r="E1292" s="2">
        <v>100</v>
      </c>
      <c r="F1292" s="2">
        <v>1912.429</v>
      </c>
    </row>
    <row r="1293" spans="3:6" x14ac:dyDescent="0.25">
      <c r="C1293" s="2" t="s">
        <v>9451</v>
      </c>
      <c r="D1293" s="2" t="s">
        <v>214</v>
      </c>
      <c r="E1293" s="2">
        <v>100</v>
      </c>
      <c r="F1293" s="2">
        <v>1876.8</v>
      </c>
    </row>
    <row r="1294" spans="3:6" x14ac:dyDescent="0.25">
      <c r="C1294" s="2" t="s">
        <v>9452</v>
      </c>
      <c r="D1294" s="2" t="s">
        <v>214</v>
      </c>
      <c r="E1294" s="2">
        <v>56</v>
      </c>
      <c r="F1294" s="2">
        <v>1066.57</v>
      </c>
    </row>
    <row r="1295" spans="3:6" x14ac:dyDescent="0.25">
      <c r="C1295" s="2" t="s">
        <v>9453</v>
      </c>
      <c r="D1295" s="2" t="s">
        <v>347</v>
      </c>
      <c r="E1295" s="2">
        <v>14</v>
      </c>
      <c r="F1295" s="2">
        <v>267.67</v>
      </c>
    </row>
    <row r="1296" spans="3:6" x14ac:dyDescent="0.25">
      <c r="C1296" s="2" t="s">
        <v>9454</v>
      </c>
      <c r="D1296" s="2" t="s">
        <v>347</v>
      </c>
      <c r="E1296" s="2">
        <v>27</v>
      </c>
      <c r="F1296" s="2">
        <v>513</v>
      </c>
    </row>
    <row r="1297" spans="3:6" x14ac:dyDescent="0.25">
      <c r="C1297" s="2" t="s">
        <v>9455</v>
      </c>
      <c r="D1297" s="2" t="s">
        <v>347</v>
      </c>
      <c r="E1297" s="2">
        <v>15</v>
      </c>
      <c r="F1297" s="2">
        <v>273.85</v>
      </c>
    </row>
    <row r="1298" spans="3:6" x14ac:dyDescent="0.25">
      <c r="C1298" s="2" t="s">
        <v>9456</v>
      </c>
      <c r="D1298" s="2" t="s">
        <v>347</v>
      </c>
      <c r="E1298" s="2">
        <v>100</v>
      </c>
      <c r="F1298" s="2">
        <v>1894.18</v>
      </c>
    </row>
    <row r="1299" spans="3:6" x14ac:dyDescent="0.25">
      <c r="C1299" s="2" t="s">
        <v>9457</v>
      </c>
      <c r="D1299" s="2" t="s">
        <v>236</v>
      </c>
      <c r="E1299" s="2">
        <v>45</v>
      </c>
      <c r="F1299" s="2">
        <v>817.13</v>
      </c>
    </row>
    <row r="1300" spans="3:6" x14ac:dyDescent="0.25">
      <c r="C1300" s="2" t="s">
        <v>9458</v>
      </c>
      <c r="D1300" s="2" t="s">
        <v>236</v>
      </c>
      <c r="E1300" s="2">
        <v>60</v>
      </c>
      <c r="F1300" s="2">
        <v>1134.43</v>
      </c>
    </row>
    <row r="1301" spans="3:6" x14ac:dyDescent="0.25">
      <c r="C1301" s="2" t="s">
        <v>9459</v>
      </c>
      <c r="D1301" s="2" t="s">
        <v>342</v>
      </c>
      <c r="E1301" s="2">
        <v>18</v>
      </c>
      <c r="F1301" s="2">
        <v>338.09</v>
      </c>
    </row>
    <row r="1302" spans="3:6" x14ac:dyDescent="0.25">
      <c r="C1302" s="2" t="s">
        <v>9003</v>
      </c>
      <c r="D1302" s="2" t="s">
        <v>342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9460</v>
      </c>
      <c r="C1304" s="2" t="s">
        <v>9461</v>
      </c>
      <c r="D1304" s="2" t="s">
        <v>20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9462</v>
      </c>
      <c r="D1305" s="2" t="s">
        <v>20</v>
      </c>
      <c r="E1305" s="2">
        <v>186</v>
      </c>
      <c r="F1305" s="2">
        <v>3818.337</v>
      </c>
    </row>
    <row r="1306" spans="3:6" x14ac:dyDescent="0.25">
      <c r="C1306" s="2" t="s">
        <v>9463</v>
      </c>
      <c r="D1306" s="2" t="s">
        <v>20</v>
      </c>
      <c r="E1306" s="2">
        <v>268</v>
      </c>
      <c r="F1306" s="2">
        <v>5027.184</v>
      </c>
    </row>
    <row r="1307" spans="3:6" x14ac:dyDescent="0.25">
      <c r="C1307" s="2" t="s">
        <v>9464</v>
      </c>
      <c r="D1307" s="2" t="s">
        <v>20</v>
      </c>
      <c r="E1307" s="2">
        <v>105</v>
      </c>
      <c r="F1307" s="2">
        <v>2056.78</v>
      </c>
    </row>
    <row r="1308" spans="3:6" x14ac:dyDescent="0.25">
      <c r="C1308" s="2" t="s">
        <v>9465</v>
      </c>
      <c r="D1308" s="2" t="s">
        <v>20</v>
      </c>
      <c r="E1308" s="2">
        <v>163</v>
      </c>
      <c r="F1308" s="2">
        <v>3186.72</v>
      </c>
    </row>
    <row r="1309" spans="3:6" x14ac:dyDescent="0.25">
      <c r="C1309" s="2" t="s">
        <v>9466</v>
      </c>
      <c r="D1309" s="2" t="s">
        <v>20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9467</v>
      </c>
      <c r="C1311" s="2" t="s">
        <v>9468</v>
      </c>
      <c r="D1311" s="2" t="s">
        <v>204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120</v>
      </c>
      <c r="C1313" s="2" t="s">
        <v>9469</v>
      </c>
      <c r="D1313" s="2" t="s">
        <v>42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9470</v>
      </c>
      <c r="D1314" s="2" t="s">
        <v>42</v>
      </c>
      <c r="E1314" s="2">
        <v>141</v>
      </c>
      <c r="F1314" s="2">
        <v>2947.68</v>
      </c>
    </row>
    <row r="1315" spans="3:6" x14ac:dyDescent="0.25">
      <c r="C1315" s="2" t="s">
        <v>9471</v>
      </c>
      <c r="D1315" s="2" t="s">
        <v>42</v>
      </c>
      <c r="E1315" s="2">
        <v>82</v>
      </c>
      <c r="F1315" s="2">
        <v>1609.01</v>
      </c>
    </row>
    <row r="1316" spans="3:6" x14ac:dyDescent="0.25">
      <c r="C1316" s="2" t="s">
        <v>9472</v>
      </c>
      <c r="D1316" s="2" t="s">
        <v>42</v>
      </c>
      <c r="E1316" s="2">
        <v>59</v>
      </c>
      <c r="F1316" s="2">
        <v>1217.169</v>
      </c>
    </row>
    <row r="1317" spans="3:6" x14ac:dyDescent="0.25">
      <c r="C1317" s="2" t="s">
        <v>9473</v>
      </c>
      <c r="D1317" s="2" t="s">
        <v>42</v>
      </c>
      <c r="E1317" s="2">
        <v>100</v>
      </c>
      <c r="F1317" s="2">
        <v>1969.239</v>
      </c>
    </row>
    <row r="1318" spans="3:6" x14ac:dyDescent="0.25">
      <c r="C1318" s="2" t="s">
        <v>9474</v>
      </c>
      <c r="D1318" s="2" t="s">
        <v>42</v>
      </c>
      <c r="E1318" s="2">
        <v>100</v>
      </c>
      <c r="F1318" s="2">
        <v>2040.449</v>
      </c>
    </row>
    <row r="1319" spans="3:6" x14ac:dyDescent="0.25">
      <c r="C1319" s="2" t="s">
        <v>9475</v>
      </c>
      <c r="D1319" s="2" t="s">
        <v>42</v>
      </c>
      <c r="E1319" s="2">
        <v>96</v>
      </c>
      <c r="F1319" s="2">
        <v>1907.133</v>
      </c>
    </row>
    <row r="1320" spans="3:6" x14ac:dyDescent="0.25">
      <c r="C1320" s="2" t="s">
        <v>9476</v>
      </c>
      <c r="D1320" s="2" t="s">
        <v>42</v>
      </c>
      <c r="E1320" s="2">
        <v>123</v>
      </c>
      <c r="F1320" s="2">
        <v>2483.41</v>
      </c>
    </row>
    <row r="1321" spans="3:6" x14ac:dyDescent="0.25">
      <c r="C1321" s="2" t="s">
        <v>9477</v>
      </c>
      <c r="D1321" s="2" t="s">
        <v>42</v>
      </c>
      <c r="E1321" s="2">
        <v>108</v>
      </c>
      <c r="F1321" s="2">
        <v>2129.47</v>
      </c>
    </row>
    <row r="1322" spans="3:6" x14ac:dyDescent="0.25">
      <c r="C1322" s="2" t="s">
        <v>9478</v>
      </c>
      <c r="D1322" s="2" t="s">
        <v>42</v>
      </c>
      <c r="E1322" s="2">
        <v>123</v>
      </c>
      <c r="F1322" s="2">
        <v>2602.92</v>
      </c>
    </row>
    <row r="1323" spans="3:6" x14ac:dyDescent="0.25">
      <c r="C1323" s="2" t="s">
        <v>9479</v>
      </c>
      <c r="D1323" s="2" t="s">
        <v>42</v>
      </c>
      <c r="E1323" s="2">
        <v>141</v>
      </c>
      <c r="F1323" s="2">
        <v>3009.819</v>
      </c>
    </row>
    <row r="1324" spans="3:6" x14ac:dyDescent="0.25">
      <c r="C1324" s="2" t="s">
        <v>9480</v>
      </c>
      <c r="D1324" s="2" t="s">
        <v>42</v>
      </c>
      <c r="E1324" s="2">
        <v>141</v>
      </c>
      <c r="F1324" s="2">
        <v>2882.16</v>
      </c>
    </row>
    <row r="1325" spans="3:6" x14ac:dyDescent="0.25">
      <c r="C1325" s="2" t="s">
        <v>9481</v>
      </c>
      <c r="D1325" s="2" t="s">
        <v>42</v>
      </c>
      <c r="E1325" s="2">
        <v>50</v>
      </c>
      <c r="F1325" s="2">
        <v>265.22</v>
      </c>
    </row>
    <row r="1326" spans="3:6" x14ac:dyDescent="0.25">
      <c r="C1326" s="2" t="s">
        <v>9482</v>
      </c>
      <c r="D1326" s="2" t="s">
        <v>42</v>
      </c>
      <c r="E1326" s="2">
        <v>141</v>
      </c>
      <c r="F1326" s="2">
        <v>2993.13</v>
      </c>
    </row>
    <row r="1327" spans="3:6" x14ac:dyDescent="0.25">
      <c r="C1327" s="2" t="s">
        <v>9483</v>
      </c>
      <c r="D1327" s="2" t="s">
        <v>42</v>
      </c>
      <c r="E1327" s="2">
        <v>141</v>
      </c>
      <c r="F1327" s="2">
        <v>2954.64</v>
      </c>
    </row>
    <row r="1328" spans="3:6" x14ac:dyDescent="0.25">
      <c r="C1328" s="2" t="s">
        <v>9484</v>
      </c>
      <c r="D1328" s="2" t="s">
        <v>42</v>
      </c>
      <c r="E1328" s="2">
        <v>69</v>
      </c>
      <c r="F1328" s="2">
        <v>1360.289</v>
      </c>
    </row>
    <row r="1329" spans="3:6" x14ac:dyDescent="0.25">
      <c r="C1329" s="2" t="s">
        <v>9485</v>
      </c>
      <c r="D1329" s="2" t="s">
        <v>42</v>
      </c>
      <c r="E1329" s="2">
        <v>72</v>
      </c>
      <c r="F1329" s="2">
        <v>1453.93</v>
      </c>
    </row>
    <row r="1330" spans="3:6" x14ac:dyDescent="0.25">
      <c r="C1330" s="2" t="s">
        <v>9486</v>
      </c>
      <c r="D1330" s="2" t="s">
        <v>42</v>
      </c>
      <c r="E1330" s="2">
        <v>84</v>
      </c>
      <c r="F1330" s="2">
        <v>1732.77</v>
      </c>
    </row>
    <row r="1331" spans="3:6" x14ac:dyDescent="0.25">
      <c r="C1331" s="2" t="s">
        <v>9487</v>
      </c>
      <c r="D1331" s="2" t="s">
        <v>42</v>
      </c>
      <c r="E1331" s="2">
        <v>57</v>
      </c>
      <c r="F1331" s="2">
        <v>1293.46</v>
      </c>
    </row>
    <row r="1332" spans="3:6" x14ac:dyDescent="0.25">
      <c r="C1332" s="2" t="s">
        <v>9488</v>
      </c>
      <c r="D1332" s="2" t="s">
        <v>42</v>
      </c>
      <c r="E1332" s="2">
        <v>60</v>
      </c>
      <c r="F1332" s="2">
        <v>320.06</v>
      </c>
    </row>
    <row r="1333" spans="3:6" x14ac:dyDescent="0.25">
      <c r="C1333" s="2" t="s">
        <v>9489</v>
      </c>
      <c r="D1333" s="2" t="s">
        <v>42</v>
      </c>
      <c r="E1333" s="2">
        <v>132</v>
      </c>
      <c r="F1333" s="2">
        <v>1931.694</v>
      </c>
    </row>
    <row r="1334" spans="3:6" x14ac:dyDescent="0.25">
      <c r="C1334" s="2" t="s">
        <v>9490</v>
      </c>
      <c r="D1334" s="2" t="s">
        <v>42</v>
      </c>
      <c r="E1334" s="2">
        <v>141</v>
      </c>
      <c r="F1334" s="2">
        <v>2875.31</v>
      </c>
    </row>
    <row r="1335" spans="3:6" x14ac:dyDescent="0.25">
      <c r="C1335" s="2" t="s">
        <v>9491</v>
      </c>
      <c r="D1335" s="2" t="s">
        <v>42</v>
      </c>
      <c r="E1335" s="2">
        <v>87</v>
      </c>
      <c r="F1335" s="2">
        <v>1785.52</v>
      </c>
    </row>
    <row r="1336" spans="3:6" x14ac:dyDescent="0.25">
      <c r="C1336" s="2" t="s">
        <v>9492</v>
      </c>
      <c r="D1336" s="2" t="s">
        <v>42</v>
      </c>
      <c r="E1336" s="2">
        <v>54</v>
      </c>
      <c r="F1336" s="2">
        <v>1071.419</v>
      </c>
    </row>
    <row r="1337" spans="3:6" x14ac:dyDescent="0.25">
      <c r="C1337" s="2" t="s">
        <v>9493</v>
      </c>
      <c r="D1337" s="2" t="s">
        <v>42</v>
      </c>
      <c r="E1337" s="2">
        <v>45</v>
      </c>
      <c r="F1337" s="2">
        <v>225.96</v>
      </c>
    </row>
    <row r="1338" spans="3:6" x14ac:dyDescent="0.25">
      <c r="C1338" s="2" t="s">
        <v>9494</v>
      </c>
      <c r="D1338" s="2" t="s">
        <v>42</v>
      </c>
      <c r="E1338" s="2">
        <v>141</v>
      </c>
      <c r="F1338" s="2">
        <v>2877.62</v>
      </c>
    </row>
    <row r="1339" spans="3:6" x14ac:dyDescent="0.25">
      <c r="C1339" s="2" t="s">
        <v>9495</v>
      </c>
      <c r="D1339" s="2" t="s">
        <v>42</v>
      </c>
      <c r="E1339" s="2">
        <v>54</v>
      </c>
      <c r="F1339" s="2">
        <v>994.31</v>
      </c>
    </row>
    <row r="1340" spans="3:6" x14ac:dyDescent="0.25">
      <c r="C1340" s="2" t="s">
        <v>9496</v>
      </c>
      <c r="D1340" s="2" t="s">
        <v>42</v>
      </c>
      <c r="E1340" s="2">
        <v>87</v>
      </c>
      <c r="F1340" s="2">
        <v>1758.16</v>
      </c>
    </row>
    <row r="1341" spans="3:6" x14ac:dyDescent="0.25">
      <c r="C1341" s="2" t="s">
        <v>9497</v>
      </c>
      <c r="D1341" s="2" t="s">
        <v>42</v>
      </c>
      <c r="E1341" s="2">
        <v>92</v>
      </c>
      <c r="F1341" s="2">
        <v>1863.24</v>
      </c>
    </row>
    <row r="1342" spans="3:6" x14ac:dyDescent="0.25">
      <c r="C1342" s="2" t="s">
        <v>9498</v>
      </c>
      <c r="D1342" s="2" t="s">
        <v>42</v>
      </c>
      <c r="E1342" s="2">
        <v>49</v>
      </c>
      <c r="F1342" s="2">
        <v>950.02</v>
      </c>
    </row>
    <row r="1343" spans="3:6" x14ac:dyDescent="0.25">
      <c r="C1343" s="2" t="s">
        <v>9499</v>
      </c>
      <c r="D1343" s="2" t="s">
        <v>42</v>
      </c>
      <c r="E1343" s="2">
        <v>45</v>
      </c>
      <c r="F1343" s="2">
        <v>228.24</v>
      </c>
    </row>
    <row r="1344" spans="3:6" x14ac:dyDescent="0.25">
      <c r="C1344" s="2" t="s">
        <v>9500</v>
      </c>
      <c r="D1344" s="2" t="s">
        <v>42</v>
      </c>
      <c r="E1344" s="2">
        <v>97</v>
      </c>
      <c r="F1344" s="2">
        <v>1990.6</v>
      </c>
    </row>
    <row r="1345" spans="3:6" x14ac:dyDescent="0.25">
      <c r="C1345" s="2" t="s">
        <v>9501</v>
      </c>
      <c r="D1345" s="2" t="s">
        <v>42</v>
      </c>
      <c r="E1345" s="2">
        <v>37</v>
      </c>
      <c r="F1345" s="2">
        <v>700.65</v>
      </c>
    </row>
    <row r="1346" spans="3:6" x14ac:dyDescent="0.25">
      <c r="C1346" s="2" t="s">
        <v>9502</v>
      </c>
      <c r="D1346" s="2" t="s">
        <v>42</v>
      </c>
      <c r="E1346" s="2">
        <v>61</v>
      </c>
      <c r="F1346" s="2">
        <v>1210.01</v>
      </c>
    </row>
    <row r="1347" spans="3:6" x14ac:dyDescent="0.25">
      <c r="C1347" s="2" t="s">
        <v>9503</v>
      </c>
      <c r="D1347" s="2" t="s">
        <v>42</v>
      </c>
      <c r="E1347" s="2">
        <v>31</v>
      </c>
      <c r="F1347" s="2">
        <v>578.98</v>
      </c>
    </row>
    <row r="1348" spans="3:6" x14ac:dyDescent="0.25">
      <c r="C1348" s="2" t="s">
        <v>9504</v>
      </c>
      <c r="D1348" s="2" t="s">
        <v>42</v>
      </c>
      <c r="E1348" s="2">
        <v>10</v>
      </c>
      <c r="F1348" s="2">
        <v>122.65</v>
      </c>
    </row>
    <row r="1349" spans="3:6" x14ac:dyDescent="0.25">
      <c r="C1349" s="2" t="s">
        <v>9505</v>
      </c>
      <c r="D1349" s="2" t="s">
        <v>42</v>
      </c>
      <c r="E1349" s="2">
        <v>44</v>
      </c>
      <c r="F1349" s="2">
        <v>972.04</v>
      </c>
    </row>
    <row r="1350" spans="3:6" x14ac:dyDescent="0.25">
      <c r="C1350" s="2" t="s">
        <v>9506</v>
      </c>
      <c r="D1350" s="2" t="s">
        <v>42</v>
      </c>
      <c r="E1350" s="2">
        <v>56</v>
      </c>
      <c r="F1350" s="2">
        <v>1232.02</v>
      </c>
    </row>
    <row r="1351" spans="3:6" x14ac:dyDescent="0.25">
      <c r="C1351" s="2" t="s">
        <v>9507</v>
      </c>
      <c r="D1351" s="2" t="s">
        <v>42</v>
      </c>
      <c r="E1351" s="2">
        <v>80</v>
      </c>
      <c r="F1351" s="2">
        <v>1589.09</v>
      </c>
    </row>
    <row r="1352" spans="3:6" x14ac:dyDescent="0.25">
      <c r="C1352" s="2" t="s">
        <v>9508</v>
      </c>
      <c r="D1352" s="2" t="s">
        <v>42</v>
      </c>
      <c r="E1352" s="2">
        <v>20</v>
      </c>
      <c r="F1352" s="2">
        <v>399.34</v>
      </c>
    </row>
    <row r="1353" spans="3:6" x14ac:dyDescent="0.25">
      <c r="C1353" s="2" t="s">
        <v>9509</v>
      </c>
      <c r="D1353" s="2" t="s">
        <v>42</v>
      </c>
      <c r="E1353" s="2">
        <v>10</v>
      </c>
      <c r="F1353" s="2">
        <v>208.01</v>
      </c>
    </row>
    <row r="1354" spans="3:6" x14ac:dyDescent="0.25">
      <c r="C1354" s="2" t="s">
        <v>9510</v>
      </c>
      <c r="D1354" s="2" t="s">
        <v>42</v>
      </c>
      <c r="E1354" s="2">
        <v>65</v>
      </c>
      <c r="F1354" s="2">
        <v>1349.65</v>
      </c>
    </row>
    <row r="1355" spans="3:6" x14ac:dyDescent="0.25">
      <c r="C1355" s="2" t="s">
        <v>9511</v>
      </c>
      <c r="D1355" s="2" t="s">
        <v>42</v>
      </c>
      <c r="E1355" s="2">
        <v>0</v>
      </c>
      <c r="F1355" s="2">
        <v>0</v>
      </c>
    </row>
    <row r="1356" spans="3:6" x14ac:dyDescent="0.25">
      <c r="C1356" s="2" t="s">
        <v>9512</v>
      </c>
      <c r="D1356" s="2" t="s">
        <v>42</v>
      </c>
      <c r="E1356" s="2">
        <v>0</v>
      </c>
      <c r="F1356" s="2">
        <v>0</v>
      </c>
    </row>
    <row r="1357" spans="3:6" x14ac:dyDescent="0.25">
      <c r="C1357" s="2" t="s">
        <v>9513</v>
      </c>
      <c r="D1357" s="2" t="s">
        <v>42</v>
      </c>
      <c r="E1357" s="2">
        <v>0</v>
      </c>
      <c r="F1357" s="2">
        <v>0</v>
      </c>
    </row>
    <row r="1358" spans="3:6" x14ac:dyDescent="0.25">
      <c r="C1358" s="2" t="s">
        <v>9514</v>
      </c>
      <c r="D1358" s="2" t="s">
        <v>42</v>
      </c>
      <c r="E1358" s="2">
        <v>141</v>
      </c>
      <c r="F1358" s="2">
        <v>2926.1</v>
      </c>
    </row>
    <row r="1359" spans="3:6" x14ac:dyDescent="0.25">
      <c r="C1359" s="2" t="s">
        <v>9515</v>
      </c>
      <c r="D1359" s="2" t="s">
        <v>42</v>
      </c>
      <c r="E1359" s="2">
        <v>141</v>
      </c>
      <c r="F1359" s="2">
        <v>2879.19</v>
      </c>
    </row>
    <row r="1360" spans="3:6" x14ac:dyDescent="0.25">
      <c r="C1360" s="2" t="s">
        <v>9516</v>
      </c>
      <c r="D1360" s="2" t="s">
        <v>42</v>
      </c>
      <c r="E1360" s="2">
        <v>102</v>
      </c>
      <c r="F1360" s="2">
        <v>2062.11</v>
      </c>
    </row>
    <row r="1361" spans="3:6" x14ac:dyDescent="0.25">
      <c r="C1361" s="2" t="s">
        <v>9517</v>
      </c>
      <c r="D1361" s="2" t="s">
        <v>42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10</v>
      </c>
      <c r="C1363" s="2" t="s">
        <v>9518</v>
      </c>
      <c r="D1363" s="2" t="s">
        <v>12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9519</v>
      </c>
      <c r="D1364" s="2" t="s">
        <v>12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212</v>
      </c>
      <c r="C1366" s="2" t="s">
        <v>9520</v>
      </c>
      <c r="D1366" s="2" t="s">
        <v>204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9521</v>
      </c>
      <c r="D1367" s="2" t="s">
        <v>204</v>
      </c>
      <c r="E1367" s="2">
        <v>146</v>
      </c>
      <c r="F1367" s="2" t="s">
        <v>8758</v>
      </c>
    </row>
    <row r="1368" spans="3:6" x14ac:dyDescent="0.25">
      <c r="C1368" s="2" t="s">
        <v>9522</v>
      </c>
      <c r="D1368" s="2" t="s">
        <v>204</v>
      </c>
      <c r="E1368" s="2">
        <v>243</v>
      </c>
      <c r="F1368" s="2">
        <v>720.352</v>
      </c>
    </row>
    <row r="1369" spans="3:6" x14ac:dyDescent="0.25">
      <c r="C1369" s="2" t="s">
        <v>9523</v>
      </c>
      <c r="D1369" s="2" t="s">
        <v>204</v>
      </c>
      <c r="E1369" s="2">
        <v>105</v>
      </c>
      <c r="F1369" s="2">
        <v>2065.98</v>
      </c>
    </row>
    <row r="1370" spans="3:6" x14ac:dyDescent="0.25">
      <c r="C1370" s="2" t="s">
        <v>9524</v>
      </c>
      <c r="D1370" s="2" t="s">
        <v>204</v>
      </c>
      <c r="E1370" s="2">
        <v>105</v>
      </c>
      <c r="F1370" s="2">
        <v>2118.13</v>
      </c>
    </row>
    <row r="1371" spans="3:6" x14ac:dyDescent="0.25">
      <c r="C1371" s="2" t="s">
        <v>9525</v>
      </c>
      <c r="D1371" s="2" t="s">
        <v>204</v>
      </c>
      <c r="E1371" s="2">
        <v>163</v>
      </c>
      <c r="F1371" s="2">
        <v>2987.949</v>
      </c>
    </row>
    <row r="1372" spans="3:6" x14ac:dyDescent="0.25">
      <c r="C1372" s="2" t="s">
        <v>9526</v>
      </c>
      <c r="D1372" s="2" t="s">
        <v>204</v>
      </c>
      <c r="E1372" s="2">
        <v>105</v>
      </c>
      <c r="F1372" s="2">
        <v>1710.349</v>
      </c>
    </row>
    <row r="1373" spans="3:6" x14ac:dyDescent="0.25">
      <c r="C1373" s="2" t="s">
        <v>9527</v>
      </c>
      <c r="D1373" s="2" t="s">
        <v>204</v>
      </c>
      <c r="E1373" s="2">
        <v>36</v>
      </c>
      <c r="F1373" s="2">
        <v>543.971</v>
      </c>
    </row>
    <row r="1374" spans="3:6" x14ac:dyDescent="0.25">
      <c r="C1374" s="2" t="s">
        <v>9528</v>
      </c>
      <c r="D1374" s="2" t="s">
        <v>204</v>
      </c>
      <c r="E1374" s="2">
        <v>163</v>
      </c>
      <c r="F1374" s="2">
        <v>2835.12</v>
      </c>
    </row>
    <row r="1375" spans="3:6" x14ac:dyDescent="0.25">
      <c r="C1375" s="2" t="s">
        <v>9529</v>
      </c>
      <c r="D1375" s="2" t="s">
        <v>214</v>
      </c>
      <c r="E1375" s="2">
        <v>100</v>
      </c>
      <c r="F1375" s="2">
        <v>1971.81</v>
      </c>
    </row>
    <row r="1376" spans="3:6" x14ac:dyDescent="0.25">
      <c r="C1376" s="2" t="s">
        <v>9530</v>
      </c>
      <c r="D1376" s="2" t="s">
        <v>214</v>
      </c>
      <c r="E1376" s="2">
        <v>56</v>
      </c>
      <c r="F1376" s="2">
        <v>995.86</v>
      </c>
    </row>
    <row r="1377" spans="3:6" x14ac:dyDescent="0.25">
      <c r="C1377" s="2" t="s">
        <v>9531</v>
      </c>
      <c r="D1377" s="2" t="s">
        <v>214</v>
      </c>
      <c r="E1377" s="2">
        <v>100</v>
      </c>
      <c r="F1377" s="2">
        <v>1954.03</v>
      </c>
    </row>
    <row r="1378" spans="3:6" x14ac:dyDescent="0.25">
      <c r="C1378" s="2" t="s">
        <v>9532</v>
      </c>
      <c r="D1378" s="2" t="s">
        <v>214</v>
      </c>
      <c r="E1378" s="2">
        <v>56</v>
      </c>
      <c r="F1378" s="2">
        <v>1097.28</v>
      </c>
    </row>
    <row r="1379" spans="3:6" x14ac:dyDescent="0.25">
      <c r="C1379" s="2" t="s">
        <v>9533</v>
      </c>
      <c r="D1379" s="2" t="s">
        <v>214</v>
      </c>
      <c r="E1379" s="2">
        <v>100</v>
      </c>
      <c r="F1379" s="2">
        <v>1985.079</v>
      </c>
    </row>
    <row r="1380" spans="3:6" x14ac:dyDescent="0.25">
      <c r="C1380" s="2" t="s">
        <v>9534</v>
      </c>
      <c r="D1380" s="2" t="s">
        <v>214</v>
      </c>
      <c r="E1380" s="2">
        <v>56</v>
      </c>
      <c r="F1380" s="2">
        <v>1162.7</v>
      </c>
    </row>
    <row r="1381" spans="3:6" x14ac:dyDescent="0.25">
      <c r="C1381" s="2" t="s">
        <v>9535</v>
      </c>
      <c r="D1381" s="2" t="s">
        <v>214</v>
      </c>
      <c r="E1381" s="2">
        <v>100</v>
      </c>
      <c r="F1381" s="2">
        <v>1903.19</v>
      </c>
    </row>
    <row r="1382" spans="3:6" x14ac:dyDescent="0.25">
      <c r="C1382" s="2" t="s">
        <v>9536</v>
      </c>
      <c r="D1382" s="2" t="s">
        <v>214</v>
      </c>
      <c r="E1382" s="2">
        <v>56</v>
      </c>
      <c r="F1382" s="2">
        <v>1087.77</v>
      </c>
    </row>
    <row r="1383" spans="3:6" x14ac:dyDescent="0.25">
      <c r="C1383" s="2" t="s">
        <v>9537</v>
      </c>
      <c r="D1383" s="2" t="s">
        <v>214</v>
      </c>
      <c r="E1383" s="2">
        <v>100</v>
      </c>
      <c r="F1383" s="2">
        <v>1592.818</v>
      </c>
    </row>
    <row r="1384" spans="3:6" x14ac:dyDescent="0.25">
      <c r="C1384" s="2" t="s">
        <v>9538</v>
      </c>
      <c r="D1384" s="2" t="s">
        <v>214</v>
      </c>
      <c r="E1384" s="2">
        <v>56</v>
      </c>
      <c r="F1384" s="2">
        <v>1130.03</v>
      </c>
    </row>
    <row r="1385" spans="3:6" x14ac:dyDescent="0.25">
      <c r="C1385" s="2" t="s">
        <v>9539</v>
      </c>
      <c r="D1385" s="2" t="s">
        <v>214</v>
      </c>
      <c r="E1385" s="2">
        <v>100</v>
      </c>
      <c r="F1385" s="2">
        <v>1925.179</v>
      </c>
    </row>
    <row r="1386" spans="3:6" x14ac:dyDescent="0.25">
      <c r="C1386" s="2" t="s">
        <v>9540</v>
      </c>
      <c r="D1386" s="2" t="s">
        <v>214</v>
      </c>
      <c r="E1386" s="2">
        <v>56</v>
      </c>
      <c r="F1386" s="2">
        <v>988.12</v>
      </c>
    </row>
    <row r="1387" spans="3:6" x14ac:dyDescent="0.25">
      <c r="C1387" s="2" t="s">
        <v>9541</v>
      </c>
      <c r="D1387" s="2" t="s">
        <v>216</v>
      </c>
      <c r="E1387" s="2">
        <v>134</v>
      </c>
      <c r="F1387" s="2">
        <v>2585.76</v>
      </c>
    </row>
    <row r="1388" spans="3:6" x14ac:dyDescent="0.25">
      <c r="C1388" s="2" t="s">
        <v>9542</v>
      </c>
      <c r="D1388" s="2" t="s">
        <v>216</v>
      </c>
      <c r="E1388" s="2">
        <v>134</v>
      </c>
      <c r="F1388" s="2">
        <v>2539.38</v>
      </c>
    </row>
    <row r="1389" spans="3:6" x14ac:dyDescent="0.25">
      <c r="C1389" s="2" t="s">
        <v>9543</v>
      </c>
      <c r="D1389" s="2" t="s">
        <v>216</v>
      </c>
      <c r="E1389" s="2">
        <v>134</v>
      </c>
      <c r="F1389" s="2">
        <v>2809.89</v>
      </c>
    </row>
    <row r="1390" spans="3:6" x14ac:dyDescent="0.25">
      <c r="C1390" s="2" t="s">
        <v>9544</v>
      </c>
      <c r="D1390" s="2" t="s">
        <v>216</v>
      </c>
      <c r="E1390" s="2">
        <v>134</v>
      </c>
      <c r="F1390" s="2">
        <v>2706.89</v>
      </c>
    </row>
    <row r="1391" spans="3:6" x14ac:dyDescent="0.25">
      <c r="C1391" s="2" t="s">
        <v>9545</v>
      </c>
      <c r="D1391" s="2" t="s">
        <v>216</v>
      </c>
      <c r="E1391" s="2">
        <v>134</v>
      </c>
      <c r="F1391" s="2">
        <v>2649.61</v>
      </c>
    </row>
    <row r="1392" spans="3:6" x14ac:dyDescent="0.25">
      <c r="C1392" s="2" t="s">
        <v>9546</v>
      </c>
      <c r="D1392" s="2" t="s">
        <v>216</v>
      </c>
      <c r="E1392" s="2">
        <v>69</v>
      </c>
      <c r="F1392" s="2">
        <v>1485.77</v>
      </c>
    </row>
    <row r="1393" spans="3:6" x14ac:dyDescent="0.25">
      <c r="C1393" s="2" t="s">
        <v>9547</v>
      </c>
      <c r="D1393" s="2" t="s">
        <v>216</v>
      </c>
      <c r="E1393" s="2">
        <v>66</v>
      </c>
      <c r="F1393" s="2">
        <v>1181.6</v>
      </c>
    </row>
    <row r="1394" spans="3:6" x14ac:dyDescent="0.25">
      <c r="C1394" s="2" t="s">
        <v>9548</v>
      </c>
      <c r="D1394" s="2" t="s">
        <v>216</v>
      </c>
      <c r="E1394" s="2">
        <v>163</v>
      </c>
      <c r="F1394" s="2">
        <v>2963.229</v>
      </c>
    </row>
    <row r="1395" spans="3:6" x14ac:dyDescent="0.25">
      <c r="C1395" s="2" t="s">
        <v>9549</v>
      </c>
      <c r="D1395" s="2" t="s">
        <v>216</v>
      </c>
      <c r="E1395" s="2">
        <v>163</v>
      </c>
      <c r="F1395" s="2">
        <v>3103.859</v>
      </c>
    </row>
    <row r="1396" spans="3:6" x14ac:dyDescent="0.25">
      <c r="C1396" s="2" t="s">
        <v>9550</v>
      </c>
      <c r="D1396" s="2" t="s">
        <v>216</v>
      </c>
      <c r="E1396" s="2">
        <v>163</v>
      </c>
      <c r="F1396" s="2">
        <v>3290.289</v>
      </c>
    </row>
    <row r="1397" spans="3:6" x14ac:dyDescent="0.25">
      <c r="C1397" s="2" t="s">
        <v>9551</v>
      </c>
      <c r="D1397" s="2" t="s">
        <v>216</v>
      </c>
      <c r="E1397" s="2">
        <v>163</v>
      </c>
      <c r="F1397" s="2">
        <v>3185.2</v>
      </c>
    </row>
    <row r="1398" spans="3:6" x14ac:dyDescent="0.25">
      <c r="C1398" s="2" t="s">
        <v>9552</v>
      </c>
      <c r="D1398" s="2" t="s">
        <v>216</v>
      </c>
      <c r="E1398" s="2">
        <v>163</v>
      </c>
      <c r="F1398" s="2">
        <v>2978.56</v>
      </c>
    </row>
    <row r="1399" spans="3:6" x14ac:dyDescent="0.25">
      <c r="C1399" s="2" t="s">
        <v>9553</v>
      </c>
      <c r="D1399" s="2" t="s">
        <v>216</v>
      </c>
      <c r="E1399" s="2">
        <v>163</v>
      </c>
      <c r="F1399" s="2">
        <v>3110.18</v>
      </c>
    </row>
    <row r="1400" spans="3:6" x14ac:dyDescent="0.25">
      <c r="C1400" s="2" t="s">
        <v>9554</v>
      </c>
      <c r="D1400" s="2" t="s">
        <v>216</v>
      </c>
      <c r="E1400" s="2">
        <v>163</v>
      </c>
      <c r="F1400" s="2">
        <v>3246.59</v>
      </c>
    </row>
    <row r="1401" spans="3:6" x14ac:dyDescent="0.25">
      <c r="C1401" s="2" t="s">
        <v>9555</v>
      </c>
      <c r="D1401" s="2" t="s">
        <v>216</v>
      </c>
      <c r="E1401" s="2">
        <v>163</v>
      </c>
      <c r="F1401" s="2">
        <v>3194.06</v>
      </c>
    </row>
    <row r="1402" spans="3:6" x14ac:dyDescent="0.25">
      <c r="C1402" s="2" t="s">
        <v>9556</v>
      </c>
      <c r="D1402" s="2" t="s">
        <v>236</v>
      </c>
      <c r="E1402" s="2">
        <v>25</v>
      </c>
      <c r="F1402" s="2">
        <v>465.17</v>
      </c>
    </row>
    <row r="1403" spans="3:6" x14ac:dyDescent="0.25">
      <c r="C1403" s="2" t="s">
        <v>9557</v>
      </c>
      <c r="D1403" s="2" t="s">
        <v>236</v>
      </c>
      <c r="E1403" s="2">
        <v>80</v>
      </c>
      <c r="F1403" s="2">
        <v>1576.849</v>
      </c>
    </row>
    <row r="1404" spans="3:6" x14ac:dyDescent="0.25">
      <c r="C1404" s="2" t="s">
        <v>9558</v>
      </c>
      <c r="D1404" s="2" t="s">
        <v>236</v>
      </c>
      <c r="E1404" s="2">
        <v>60</v>
      </c>
      <c r="F1404" s="2">
        <v>1088.27</v>
      </c>
    </row>
    <row r="1405" spans="3:6" x14ac:dyDescent="0.25">
      <c r="C1405" s="2" t="s">
        <v>9559</v>
      </c>
      <c r="D1405" s="2" t="s">
        <v>236</v>
      </c>
      <c r="E1405" s="2">
        <v>45</v>
      </c>
      <c r="F1405" s="2">
        <v>828.119</v>
      </c>
    </row>
    <row r="1406" spans="3:6" x14ac:dyDescent="0.25">
      <c r="C1406" s="2" t="s">
        <v>9560</v>
      </c>
      <c r="D1406" s="2" t="s">
        <v>236</v>
      </c>
      <c r="E1406" s="2">
        <v>25</v>
      </c>
      <c r="F1406" s="2">
        <v>479.4</v>
      </c>
    </row>
    <row r="1407" spans="3:6" x14ac:dyDescent="0.25">
      <c r="C1407" s="2" t="s">
        <v>9561</v>
      </c>
      <c r="D1407" s="2" t="s">
        <v>236</v>
      </c>
      <c r="E1407" s="2">
        <v>80</v>
      </c>
      <c r="F1407" s="2">
        <v>1539.88</v>
      </c>
    </row>
    <row r="1409" spans="2:7" x14ac:dyDescent="0.25">
      <c r="B1409" s="2" t="s">
        <v>2077</v>
      </c>
      <c r="C1409" s="2" t="s">
        <v>9562</v>
      </c>
      <c r="D1409" s="2" t="s">
        <v>297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9563</v>
      </c>
      <c r="D1410" s="2" t="s">
        <v>216</v>
      </c>
      <c r="E1410" s="2">
        <v>22</v>
      </c>
      <c r="F1410" s="2">
        <v>318.44</v>
      </c>
    </row>
    <row r="1411" spans="3:6" x14ac:dyDescent="0.25">
      <c r="C1411" s="2" t="s">
        <v>9564</v>
      </c>
      <c r="D1411" s="2" t="s">
        <v>216</v>
      </c>
      <c r="E1411" s="2">
        <v>134</v>
      </c>
      <c r="F1411" s="2">
        <v>2448.138</v>
      </c>
    </row>
    <row r="1412" spans="3:6" x14ac:dyDescent="0.25">
      <c r="C1412" s="2" t="s">
        <v>9565</v>
      </c>
      <c r="D1412" s="2" t="s">
        <v>216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1101</v>
      </c>
      <c r="C1414" s="2" t="s">
        <v>9566</v>
      </c>
      <c r="D1414" s="2" t="s">
        <v>20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9567</v>
      </c>
      <c r="D1415" s="2" t="s">
        <v>20</v>
      </c>
      <c r="E1415" s="2">
        <v>164</v>
      </c>
      <c r="F1415" s="2">
        <v>2220.241</v>
      </c>
    </row>
    <row r="1416" spans="3:6" x14ac:dyDescent="0.25">
      <c r="C1416" s="2" t="s">
        <v>9568</v>
      </c>
      <c r="D1416" s="2" t="s">
        <v>20</v>
      </c>
      <c r="E1416" s="2">
        <v>163</v>
      </c>
      <c r="F1416" s="2">
        <v>3126.18</v>
      </c>
    </row>
    <row r="1417" spans="3:6" x14ac:dyDescent="0.25">
      <c r="C1417" s="2" t="s">
        <v>9569</v>
      </c>
      <c r="D1417" s="2" t="s">
        <v>20</v>
      </c>
      <c r="E1417" s="2">
        <v>210</v>
      </c>
      <c r="F1417" s="2">
        <v>4020.45</v>
      </c>
    </row>
    <row r="1418" spans="3:6" x14ac:dyDescent="0.25">
      <c r="C1418" s="2" t="s">
        <v>9570</v>
      </c>
      <c r="D1418" s="2" t="s">
        <v>20</v>
      </c>
      <c r="E1418" s="2">
        <v>105</v>
      </c>
      <c r="F1418" s="2">
        <v>1958.1</v>
      </c>
    </row>
    <row r="1419" spans="3:6" x14ac:dyDescent="0.25">
      <c r="C1419" s="2" t="s">
        <v>9571</v>
      </c>
      <c r="D1419" s="2" t="s">
        <v>20</v>
      </c>
      <c r="E1419" s="2">
        <v>163</v>
      </c>
      <c r="F1419" s="2">
        <v>3120.29</v>
      </c>
    </row>
    <row r="1420" spans="3:6" x14ac:dyDescent="0.25">
      <c r="C1420" s="2" t="s">
        <v>9572</v>
      </c>
      <c r="D1420" s="2" t="s">
        <v>20</v>
      </c>
      <c r="E1420" s="2">
        <v>155</v>
      </c>
      <c r="F1420" s="2">
        <v>3137.41</v>
      </c>
    </row>
    <row r="1421" spans="3:6" x14ac:dyDescent="0.25">
      <c r="C1421" s="2" t="s">
        <v>9573</v>
      </c>
      <c r="D1421" s="2" t="s">
        <v>20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335</v>
      </c>
      <c r="C1423" s="2" t="s">
        <v>9574</v>
      </c>
      <c r="D1423" s="2" t="s">
        <v>122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335</v>
      </c>
      <c r="C1425" s="2" t="s">
        <v>9575</v>
      </c>
      <c r="D1425" s="2" t="s">
        <v>20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9576</v>
      </c>
      <c r="D1426" s="2" t="s">
        <v>20</v>
      </c>
      <c r="E1426" s="2">
        <v>142</v>
      </c>
      <c r="F1426" s="2">
        <v>3036.8</v>
      </c>
    </row>
    <row r="1427" spans="3:6" x14ac:dyDescent="0.25">
      <c r="C1427" s="2" t="s">
        <v>9577</v>
      </c>
      <c r="D1427" s="2" t="s">
        <v>20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206</v>
      </c>
      <c r="C1429" s="2" t="s">
        <v>9578</v>
      </c>
      <c r="D1429" s="2" t="s">
        <v>27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9579</v>
      </c>
      <c r="D1430" s="2" t="s">
        <v>27</v>
      </c>
      <c r="E1430" s="2">
        <v>101</v>
      </c>
      <c r="F1430" s="2">
        <v>1822.797</v>
      </c>
    </row>
    <row r="1431" spans="3:6" x14ac:dyDescent="0.25">
      <c r="C1431" s="2" t="s">
        <v>9580</v>
      </c>
      <c r="D1431" s="2" t="s">
        <v>27</v>
      </c>
      <c r="E1431" s="2">
        <v>54</v>
      </c>
      <c r="F1431" s="2">
        <v>975.02</v>
      </c>
    </row>
    <row r="1432" spans="3:6" x14ac:dyDescent="0.25">
      <c r="C1432" s="2" t="s">
        <v>9581</v>
      </c>
      <c r="D1432" s="2" t="s">
        <v>27</v>
      </c>
      <c r="E1432" s="2">
        <v>39</v>
      </c>
      <c r="F1432" s="2">
        <v>742.999</v>
      </c>
    </row>
    <row r="1433" spans="3:6" x14ac:dyDescent="0.25">
      <c r="C1433" s="2" t="s">
        <v>9582</v>
      </c>
      <c r="D1433" s="2" t="s">
        <v>27</v>
      </c>
      <c r="E1433" s="2">
        <v>82</v>
      </c>
      <c r="F1433" s="2">
        <v>1351.539</v>
      </c>
    </row>
    <row r="1434" spans="3:6" x14ac:dyDescent="0.25">
      <c r="C1434" s="2" t="s">
        <v>9583</v>
      </c>
      <c r="D1434" s="2" t="s">
        <v>27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120</v>
      </c>
      <c r="C1436" s="2" t="s">
        <v>9584</v>
      </c>
      <c r="D1436" s="2" t="s">
        <v>122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9585</v>
      </c>
      <c r="D1437" s="2" t="s">
        <v>122</v>
      </c>
      <c r="E1437" s="2">
        <v>75</v>
      </c>
      <c r="F1437" s="2">
        <v>331.017</v>
      </c>
    </row>
    <row r="1438" spans="3:6" x14ac:dyDescent="0.25">
      <c r="C1438" s="2" t="s">
        <v>9586</v>
      </c>
      <c r="D1438" s="2" t="s">
        <v>122</v>
      </c>
      <c r="E1438" s="2">
        <v>40</v>
      </c>
      <c r="F1438" s="2">
        <v>179</v>
      </c>
    </row>
    <row r="1439" spans="3:6" x14ac:dyDescent="0.25">
      <c r="C1439" s="2" t="s">
        <v>9587</v>
      </c>
      <c r="D1439" s="2" t="s">
        <v>122</v>
      </c>
      <c r="E1439" s="2">
        <v>60</v>
      </c>
      <c r="F1439" s="2">
        <v>257.64</v>
      </c>
    </row>
    <row r="1440" spans="3:6" x14ac:dyDescent="0.25">
      <c r="C1440" s="2" t="s">
        <v>9588</v>
      </c>
      <c r="D1440" s="2" t="s">
        <v>122</v>
      </c>
      <c r="E1440" s="2">
        <v>122</v>
      </c>
      <c r="F1440" s="2">
        <v>2482.54</v>
      </c>
    </row>
    <row r="1441" spans="3:6" x14ac:dyDescent="0.25">
      <c r="C1441" s="2" t="s">
        <v>9589</v>
      </c>
      <c r="D1441" s="2" t="s">
        <v>122</v>
      </c>
      <c r="E1441" s="2">
        <v>121</v>
      </c>
      <c r="F1441" s="2">
        <v>2463.81</v>
      </c>
    </row>
    <row r="1442" spans="3:6" x14ac:dyDescent="0.25">
      <c r="C1442" s="2" t="s">
        <v>9590</v>
      </c>
      <c r="D1442" s="2" t="s">
        <v>122</v>
      </c>
      <c r="E1442" s="2">
        <v>122</v>
      </c>
      <c r="F1442" s="2">
        <v>2369.61</v>
      </c>
    </row>
    <row r="1443" spans="3:6" x14ac:dyDescent="0.25">
      <c r="C1443" s="2" t="s">
        <v>9591</v>
      </c>
      <c r="D1443" s="2" t="s">
        <v>122</v>
      </c>
      <c r="E1443" s="2">
        <v>121</v>
      </c>
      <c r="F1443" s="2">
        <v>2377.23</v>
      </c>
    </row>
    <row r="1444" spans="3:6" x14ac:dyDescent="0.25">
      <c r="C1444" s="2" t="s">
        <v>9592</v>
      </c>
      <c r="D1444" s="2" t="s">
        <v>122</v>
      </c>
      <c r="E1444" s="2">
        <v>135</v>
      </c>
      <c r="F1444" s="2">
        <v>2809.89</v>
      </c>
    </row>
    <row r="1445" spans="3:6" x14ac:dyDescent="0.25">
      <c r="C1445" s="2" t="s">
        <v>9593</v>
      </c>
      <c r="D1445" s="2" t="s">
        <v>122</v>
      </c>
      <c r="E1445" s="2">
        <v>141</v>
      </c>
      <c r="F1445" s="2">
        <v>2906.8</v>
      </c>
    </row>
    <row r="1446" spans="3:6" x14ac:dyDescent="0.25">
      <c r="C1446" s="2" t="s">
        <v>9594</v>
      </c>
      <c r="D1446" s="2" t="s">
        <v>122</v>
      </c>
      <c r="E1446" s="2">
        <v>141</v>
      </c>
      <c r="F1446" s="2">
        <v>2835.68</v>
      </c>
    </row>
    <row r="1447" spans="3:6" x14ac:dyDescent="0.25">
      <c r="C1447" s="2" t="s">
        <v>9595</v>
      </c>
      <c r="D1447" s="2" t="s">
        <v>122</v>
      </c>
      <c r="E1447" s="2">
        <v>75</v>
      </c>
      <c r="F1447" s="2">
        <v>1518.54</v>
      </c>
    </row>
    <row r="1448" spans="3:6" x14ac:dyDescent="0.25">
      <c r="C1448" s="2" t="s">
        <v>9596</v>
      </c>
      <c r="D1448" s="2" t="s">
        <v>122</v>
      </c>
      <c r="E1448" s="2">
        <v>67</v>
      </c>
      <c r="F1448" s="2">
        <v>1371.02</v>
      </c>
    </row>
    <row r="1449" spans="3:6" x14ac:dyDescent="0.25">
      <c r="C1449" s="2" t="s">
        <v>9597</v>
      </c>
      <c r="D1449" s="2" t="s">
        <v>122</v>
      </c>
      <c r="E1449" s="2">
        <v>124</v>
      </c>
      <c r="F1449" s="2">
        <v>2620.74</v>
      </c>
    </row>
    <row r="1450" spans="3:6" x14ac:dyDescent="0.25">
      <c r="C1450" s="2" t="s">
        <v>9598</v>
      </c>
      <c r="D1450" s="2" t="s">
        <v>122</v>
      </c>
      <c r="E1450" s="2">
        <v>18</v>
      </c>
      <c r="F1450" s="2">
        <v>345.81</v>
      </c>
    </row>
    <row r="1451" spans="3:6" x14ac:dyDescent="0.25">
      <c r="C1451" s="2" t="s">
        <v>9599</v>
      </c>
      <c r="D1451" s="2" t="s">
        <v>122</v>
      </c>
      <c r="E1451" s="2">
        <v>83</v>
      </c>
      <c r="F1451" s="2">
        <v>1633.24</v>
      </c>
    </row>
    <row r="1452" spans="3:6" x14ac:dyDescent="0.25">
      <c r="C1452" s="2" t="s">
        <v>9600</v>
      </c>
      <c r="D1452" s="2" t="s">
        <v>122</v>
      </c>
      <c r="E1452" s="2">
        <v>23</v>
      </c>
      <c r="F1452" s="2">
        <v>454.78</v>
      </c>
    </row>
    <row r="1453" spans="3:6" x14ac:dyDescent="0.25">
      <c r="C1453" s="2" t="s">
        <v>9601</v>
      </c>
      <c r="D1453" s="2" t="s">
        <v>122</v>
      </c>
      <c r="E1453" s="2">
        <v>35</v>
      </c>
      <c r="F1453" s="2">
        <v>39.64</v>
      </c>
    </row>
    <row r="1454" spans="3:6" x14ac:dyDescent="0.25">
      <c r="C1454" s="2" t="s">
        <v>9602</v>
      </c>
      <c r="D1454" s="2" t="s">
        <v>122</v>
      </c>
      <c r="E1454" s="2">
        <v>141</v>
      </c>
      <c r="F1454" s="2">
        <v>2913.64</v>
      </c>
    </row>
    <row r="1455" spans="3:6" x14ac:dyDescent="0.25">
      <c r="C1455" s="2" t="s">
        <v>9603</v>
      </c>
      <c r="D1455" s="2" t="s">
        <v>122</v>
      </c>
      <c r="E1455" s="2">
        <v>141</v>
      </c>
      <c r="F1455" s="2">
        <v>2861.2</v>
      </c>
    </row>
    <row r="1456" spans="3:6" x14ac:dyDescent="0.25">
      <c r="C1456" s="2" t="s">
        <v>9604</v>
      </c>
      <c r="D1456" s="2" t="s">
        <v>122</v>
      </c>
      <c r="E1456" s="2">
        <v>102</v>
      </c>
      <c r="F1456" s="2">
        <v>1868.037</v>
      </c>
    </row>
    <row r="1457" spans="3:6" x14ac:dyDescent="0.25">
      <c r="C1457" s="2" t="s">
        <v>9605</v>
      </c>
      <c r="D1457" s="2" t="s">
        <v>122</v>
      </c>
      <c r="E1457" s="2">
        <v>42</v>
      </c>
      <c r="F1457" s="2">
        <v>837.27</v>
      </c>
    </row>
    <row r="1458" spans="3:6" x14ac:dyDescent="0.25">
      <c r="C1458" s="2" t="s">
        <v>9606</v>
      </c>
      <c r="D1458" s="2" t="s">
        <v>122</v>
      </c>
      <c r="E1458" s="2">
        <v>30</v>
      </c>
      <c r="F1458" s="2">
        <v>556</v>
      </c>
    </row>
    <row r="1459" spans="3:6" x14ac:dyDescent="0.25">
      <c r="C1459" s="2" t="s">
        <v>9607</v>
      </c>
      <c r="D1459" s="2" t="s">
        <v>122</v>
      </c>
      <c r="E1459" s="2">
        <v>32</v>
      </c>
      <c r="F1459" s="2">
        <v>535.4</v>
      </c>
    </row>
    <row r="1460" spans="3:6" x14ac:dyDescent="0.25">
      <c r="C1460" s="2" t="s">
        <v>9608</v>
      </c>
      <c r="D1460" s="2" t="s">
        <v>122</v>
      </c>
      <c r="E1460" s="2">
        <v>103</v>
      </c>
      <c r="F1460" s="2">
        <v>2011.27</v>
      </c>
    </row>
    <row r="1461" spans="3:6" x14ac:dyDescent="0.25">
      <c r="C1461" s="2" t="s">
        <v>9609</v>
      </c>
      <c r="D1461" s="2" t="s">
        <v>122</v>
      </c>
      <c r="E1461" s="2">
        <v>103</v>
      </c>
      <c r="F1461" s="2">
        <v>2052.1</v>
      </c>
    </row>
    <row r="1462" spans="3:6" x14ac:dyDescent="0.25">
      <c r="C1462" s="2" t="s">
        <v>9610</v>
      </c>
      <c r="D1462" s="2" t="s">
        <v>122</v>
      </c>
      <c r="E1462" s="2">
        <v>75</v>
      </c>
      <c r="F1462" s="2">
        <v>1519.91</v>
      </c>
    </row>
    <row r="1463" spans="3:6" x14ac:dyDescent="0.25">
      <c r="C1463" s="2" t="s">
        <v>9611</v>
      </c>
      <c r="D1463" s="2" t="s">
        <v>122</v>
      </c>
      <c r="E1463" s="2">
        <v>141</v>
      </c>
      <c r="F1463" s="2">
        <v>2888.85</v>
      </c>
    </row>
    <row r="1464" spans="3:6" x14ac:dyDescent="0.25">
      <c r="C1464" s="2" t="s">
        <v>9612</v>
      </c>
      <c r="D1464" s="2" t="s">
        <v>122</v>
      </c>
      <c r="E1464" s="2">
        <v>141</v>
      </c>
      <c r="F1464" s="2">
        <v>2950.48</v>
      </c>
    </row>
    <row r="1465" spans="3:6" x14ac:dyDescent="0.25">
      <c r="C1465" s="2" t="s">
        <v>9613</v>
      </c>
      <c r="D1465" s="2" t="s">
        <v>122</v>
      </c>
      <c r="E1465" s="2">
        <v>141</v>
      </c>
      <c r="F1465" s="2">
        <v>2872.79</v>
      </c>
    </row>
    <row r="1466" spans="3:6" x14ac:dyDescent="0.25">
      <c r="C1466" s="2" t="s">
        <v>9614</v>
      </c>
      <c r="D1466" s="2" t="s">
        <v>122</v>
      </c>
      <c r="E1466" s="2">
        <v>100</v>
      </c>
      <c r="F1466" s="2">
        <v>2072.97</v>
      </c>
    </row>
    <row r="1467" spans="3:6" x14ac:dyDescent="0.25">
      <c r="C1467" s="2" t="s">
        <v>9615</v>
      </c>
      <c r="D1467" s="2" t="s">
        <v>122</v>
      </c>
      <c r="E1467" s="2">
        <v>41</v>
      </c>
      <c r="F1467" s="2">
        <v>818.14</v>
      </c>
    </row>
    <row r="1468" spans="3:6" x14ac:dyDescent="0.25">
      <c r="C1468" s="2" t="s">
        <v>9616</v>
      </c>
      <c r="D1468" s="2" t="s">
        <v>122</v>
      </c>
      <c r="E1468" s="2">
        <v>85</v>
      </c>
      <c r="F1468" s="2">
        <v>1722.36</v>
      </c>
    </row>
    <row r="1469" spans="3:6" x14ac:dyDescent="0.25">
      <c r="C1469" s="2" t="s">
        <v>9617</v>
      </c>
      <c r="D1469" s="2" t="s">
        <v>122</v>
      </c>
      <c r="E1469" s="2">
        <v>56</v>
      </c>
      <c r="F1469" s="2">
        <v>1140.82</v>
      </c>
    </row>
    <row r="1470" spans="3:6" x14ac:dyDescent="0.25">
      <c r="C1470" s="2" t="s">
        <v>9618</v>
      </c>
      <c r="D1470" s="2" t="s">
        <v>122</v>
      </c>
      <c r="E1470" s="2">
        <v>70</v>
      </c>
      <c r="F1470" s="2">
        <v>1366.05</v>
      </c>
    </row>
    <row r="1471" spans="3:6" x14ac:dyDescent="0.25">
      <c r="C1471" s="2" t="s">
        <v>9619</v>
      </c>
      <c r="D1471" s="2" t="s">
        <v>122</v>
      </c>
      <c r="E1471" s="2">
        <v>71</v>
      </c>
      <c r="F1471" s="2">
        <v>1308.15</v>
      </c>
    </row>
    <row r="1472" spans="3:6" x14ac:dyDescent="0.25">
      <c r="C1472" s="2" t="s">
        <v>9620</v>
      </c>
      <c r="D1472" s="2" t="s">
        <v>122</v>
      </c>
      <c r="E1472" s="2">
        <v>102</v>
      </c>
      <c r="F1472" s="2" t="s">
        <v>8758</v>
      </c>
    </row>
    <row r="1473" spans="3:6" x14ac:dyDescent="0.25">
      <c r="C1473" s="2" t="s">
        <v>9621</v>
      </c>
      <c r="D1473" s="2" t="s">
        <v>122</v>
      </c>
      <c r="E1473" s="2" t="s">
        <v>8758</v>
      </c>
      <c r="F1473" s="2" t="s">
        <v>8758</v>
      </c>
    </row>
    <row r="1475" spans="1:7" x14ac:dyDescent="0.25">
      <c r="A1475" s="1">
        <v>46184</v>
      </c>
      <c r="B1475" s="2" t="s">
        <v>10</v>
      </c>
      <c r="C1475" s="2" t="s">
        <v>9622</v>
      </c>
      <c r="D1475" s="2" t="s">
        <v>12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9623</v>
      </c>
      <c r="D1476" s="2" t="s">
        <v>12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9624</v>
      </c>
      <c r="C1478" s="2" t="s">
        <v>9526</v>
      </c>
      <c r="D1478" s="2" t="s">
        <v>204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9528</v>
      </c>
      <c r="D1479" s="2" t="s">
        <v>204</v>
      </c>
      <c r="E1479" s="2">
        <v>163</v>
      </c>
      <c r="F1479" s="2">
        <v>2835.12</v>
      </c>
    </row>
    <row r="1480" spans="3:6" x14ac:dyDescent="0.25">
      <c r="C1480" s="2" t="s">
        <v>9625</v>
      </c>
      <c r="D1480" s="2" t="s">
        <v>204</v>
      </c>
      <c r="E1480" s="2">
        <v>100</v>
      </c>
      <c r="F1480" s="2">
        <v>1674.78</v>
      </c>
    </row>
    <row r="1481" spans="3:6" x14ac:dyDescent="0.25">
      <c r="C1481" s="2" t="s">
        <v>9626</v>
      </c>
      <c r="D1481" s="2" t="s">
        <v>204</v>
      </c>
      <c r="E1481" s="2">
        <v>95</v>
      </c>
      <c r="F1481" s="2">
        <v>1965.028</v>
      </c>
    </row>
    <row r="1482" spans="3:6" x14ac:dyDescent="0.25">
      <c r="C1482" s="2" t="s">
        <v>9627</v>
      </c>
      <c r="D1482" s="2" t="s">
        <v>204</v>
      </c>
      <c r="E1482" s="2">
        <v>134</v>
      </c>
      <c r="F1482" s="2">
        <v>2731.16</v>
      </c>
    </row>
    <row r="1483" spans="3:6" x14ac:dyDescent="0.25">
      <c r="C1483" s="2" t="s">
        <v>9628</v>
      </c>
      <c r="D1483" s="2" t="s">
        <v>204</v>
      </c>
      <c r="E1483" s="2">
        <v>134</v>
      </c>
      <c r="F1483" s="2">
        <v>2697.79</v>
      </c>
    </row>
    <row r="1484" spans="3:6" x14ac:dyDescent="0.25">
      <c r="C1484" s="2" t="s">
        <v>9629</v>
      </c>
      <c r="D1484" s="2" t="s">
        <v>204</v>
      </c>
      <c r="E1484" s="2">
        <v>134</v>
      </c>
      <c r="F1484" s="2">
        <v>2668.43</v>
      </c>
    </row>
    <row r="1485" spans="3:6" x14ac:dyDescent="0.25">
      <c r="C1485" s="2" t="s">
        <v>9630</v>
      </c>
      <c r="D1485" s="2" t="s">
        <v>204</v>
      </c>
      <c r="E1485" s="2">
        <v>134</v>
      </c>
      <c r="F1485" s="2">
        <v>2593.48</v>
      </c>
    </row>
    <row r="1486" spans="3:6" x14ac:dyDescent="0.25">
      <c r="C1486" s="2" t="s">
        <v>9631</v>
      </c>
      <c r="D1486" s="2" t="s">
        <v>204</v>
      </c>
      <c r="E1486" s="2">
        <v>134</v>
      </c>
      <c r="F1486" s="2">
        <v>2603.769</v>
      </c>
    </row>
    <row r="1487" spans="3:6" x14ac:dyDescent="0.25">
      <c r="C1487" s="2" t="s">
        <v>9632</v>
      </c>
      <c r="D1487" s="2" t="s">
        <v>204</v>
      </c>
      <c r="E1487" s="2">
        <v>134</v>
      </c>
      <c r="F1487" s="2">
        <v>2494.56</v>
      </c>
    </row>
    <row r="1488" spans="3:6" x14ac:dyDescent="0.25">
      <c r="C1488" s="2" t="s">
        <v>9633</v>
      </c>
      <c r="D1488" s="2" t="s">
        <v>204</v>
      </c>
      <c r="E1488" s="2">
        <v>163</v>
      </c>
      <c r="F1488" s="2">
        <v>2852.96</v>
      </c>
    </row>
    <row r="1489" spans="3:6" x14ac:dyDescent="0.25">
      <c r="C1489" s="2" t="s">
        <v>9634</v>
      </c>
      <c r="D1489" s="2" t="s">
        <v>204</v>
      </c>
      <c r="E1489" s="2">
        <v>163</v>
      </c>
      <c r="F1489" s="2">
        <v>3074.879</v>
      </c>
    </row>
    <row r="1490" spans="3:6" x14ac:dyDescent="0.25">
      <c r="C1490" s="2" t="s">
        <v>9635</v>
      </c>
      <c r="D1490" s="2" t="s">
        <v>204</v>
      </c>
      <c r="E1490" s="2">
        <v>163</v>
      </c>
      <c r="F1490" s="2">
        <v>3052.41</v>
      </c>
    </row>
    <row r="1491" spans="3:6" x14ac:dyDescent="0.25">
      <c r="C1491" s="2" t="s">
        <v>9636</v>
      </c>
      <c r="D1491" s="2" t="s">
        <v>204</v>
      </c>
      <c r="E1491" s="2">
        <v>163</v>
      </c>
      <c r="F1491" s="2">
        <v>3137.657</v>
      </c>
    </row>
    <row r="1492" spans="3:6" x14ac:dyDescent="0.25">
      <c r="C1492" s="2" t="s">
        <v>9637</v>
      </c>
      <c r="D1492" s="2" t="s">
        <v>204</v>
      </c>
      <c r="E1492" s="2">
        <v>163</v>
      </c>
      <c r="F1492" s="2">
        <v>3131.31</v>
      </c>
    </row>
    <row r="1493" spans="3:6" x14ac:dyDescent="0.25">
      <c r="C1493" s="2" t="s">
        <v>9638</v>
      </c>
      <c r="D1493" s="2" t="s">
        <v>204</v>
      </c>
      <c r="E1493" s="2">
        <v>163</v>
      </c>
      <c r="F1493" s="2">
        <v>3120.929</v>
      </c>
    </row>
    <row r="1494" spans="3:6" x14ac:dyDescent="0.25">
      <c r="C1494" s="2" t="s">
        <v>9639</v>
      </c>
      <c r="D1494" s="2" t="s">
        <v>204</v>
      </c>
      <c r="E1494" s="2">
        <v>163</v>
      </c>
      <c r="F1494" s="2">
        <v>3174.95</v>
      </c>
    </row>
    <row r="1495" spans="3:6" x14ac:dyDescent="0.25">
      <c r="C1495" s="2" t="s">
        <v>9640</v>
      </c>
      <c r="D1495" s="2" t="s">
        <v>204</v>
      </c>
      <c r="E1495" s="2">
        <v>163</v>
      </c>
      <c r="F1495" s="2">
        <v>3031.67</v>
      </c>
    </row>
    <row r="1496" spans="3:6" x14ac:dyDescent="0.25">
      <c r="C1496" s="2" t="s">
        <v>9641</v>
      </c>
      <c r="D1496" s="2" t="s">
        <v>204</v>
      </c>
      <c r="E1496" s="2">
        <v>163</v>
      </c>
      <c r="F1496" s="2">
        <v>2948.2</v>
      </c>
    </row>
    <row r="1497" spans="3:6" x14ac:dyDescent="0.25">
      <c r="C1497" s="2" t="s">
        <v>9642</v>
      </c>
      <c r="D1497" s="2" t="s">
        <v>204</v>
      </c>
      <c r="E1497" s="2">
        <v>163</v>
      </c>
      <c r="F1497" s="2">
        <v>3120.19</v>
      </c>
    </row>
    <row r="1498" spans="3:6" x14ac:dyDescent="0.25">
      <c r="C1498" s="2" t="s">
        <v>9643</v>
      </c>
      <c r="D1498" s="2" t="s">
        <v>204</v>
      </c>
      <c r="E1498" s="2">
        <v>163</v>
      </c>
      <c r="F1498" s="2">
        <v>3162.39</v>
      </c>
    </row>
    <row r="1499" spans="3:6" x14ac:dyDescent="0.25">
      <c r="C1499" s="2" t="s">
        <v>9644</v>
      </c>
      <c r="D1499" s="2" t="s">
        <v>204</v>
      </c>
      <c r="E1499" s="2">
        <v>163</v>
      </c>
      <c r="F1499" s="2">
        <v>3101.63</v>
      </c>
    </row>
    <row r="1500" spans="3:6" x14ac:dyDescent="0.25">
      <c r="C1500" s="2" t="s">
        <v>9645</v>
      </c>
      <c r="D1500" s="2" t="s">
        <v>204</v>
      </c>
      <c r="E1500" s="2">
        <v>163</v>
      </c>
      <c r="F1500" s="2">
        <v>2808.31</v>
      </c>
    </row>
    <row r="1501" spans="3:6" x14ac:dyDescent="0.25">
      <c r="C1501" s="2" t="s">
        <v>9646</v>
      </c>
      <c r="D1501" s="2" t="s">
        <v>204</v>
      </c>
      <c r="E1501" s="2">
        <v>163</v>
      </c>
      <c r="F1501" s="2">
        <v>3144.22</v>
      </c>
    </row>
    <row r="1502" spans="3:6" x14ac:dyDescent="0.25">
      <c r="C1502" s="2" t="s">
        <v>9647</v>
      </c>
      <c r="D1502" s="2" t="s">
        <v>204</v>
      </c>
      <c r="E1502" s="2">
        <v>163</v>
      </c>
      <c r="F1502" s="2">
        <v>3075.069</v>
      </c>
    </row>
    <row r="1503" spans="3:6" x14ac:dyDescent="0.25">
      <c r="C1503" s="2" t="s">
        <v>9648</v>
      </c>
      <c r="D1503" s="2" t="s">
        <v>204</v>
      </c>
      <c r="E1503" s="2">
        <v>163</v>
      </c>
      <c r="F1503" s="2">
        <v>2648.549</v>
      </c>
    </row>
    <row r="1504" spans="3:6" x14ac:dyDescent="0.25">
      <c r="C1504" s="2" t="s">
        <v>9649</v>
      </c>
      <c r="D1504" s="2" t="s">
        <v>204</v>
      </c>
      <c r="E1504" s="2">
        <v>148</v>
      </c>
      <c r="F1504" s="2">
        <v>2708.999</v>
      </c>
    </row>
    <row r="1505" spans="3:6" x14ac:dyDescent="0.25">
      <c r="C1505" s="2" t="s">
        <v>9650</v>
      </c>
      <c r="D1505" s="2" t="s">
        <v>204</v>
      </c>
      <c r="E1505" s="2">
        <v>105</v>
      </c>
      <c r="F1505" s="2">
        <v>2054.86</v>
      </c>
    </row>
    <row r="1506" spans="3:6" x14ac:dyDescent="0.25">
      <c r="C1506" s="2" t="s">
        <v>9651</v>
      </c>
      <c r="D1506" s="2" t="s">
        <v>204</v>
      </c>
      <c r="E1506" s="2">
        <v>105</v>
      </c>
      <c r="F1506" s="2">
        <v>2063.57</v>
      </c>
    </row>
    <row r="1507" spans="3:6" x14ac:dyDescent="0.25">
      <c r="C1507" s="2" t="s">
        <v>9652</v>
      </c>
      <c r="D1507" s="2" t="s">
        <v>204</v>
      </c>
      <c r="E1507" s="2">
        <v>105</v>
      </c>
      <c r="F1507" s="2">
        <v>1812.02</v>
      </c>
    </row>
    <row r="1508" spans="3:6" x14ac:dyDescent="0.25">
      <c r="C1508" s="2" t="s">
        <v>9653</v>
      </c>
      <c r="D1508" s="2" t="s">
        <v>204</v>
      </c>
      <c r="E1508" s="2">
        <v>105</v>
      </c>
      <c r="F1508" s="2">
        <v>2087.37</v>
      </c>
    </row>
    <row r="1509" spans="3:6" x14ac:dyDescent="0.25">
      <c r="C1509" s="2" t="s">
        <v>9654</v>
      </c>
      <c r="D1509" s="2" t="s">
        <v>204</v>
      </c>
      <c r="E1509" s="2">
        <v>105</v>
      </c>
      <c r="F1509" s="2">
        <v>2080.06</v>
      </c>
    </row>
    <row r="1510" spans="3:6" x14ac:dyDescent="0.25">
      <c r="C1510" s="2" t="s">
        <v>9655</v>
      </c>
      <c r="D1510" s="2" t="s">
        <v>204</v>
      </c>
      <c r="E1510" s="2">
        <v>105</v>
      </c>
      <c r="F1510" s="2">
        <v>2088.03</v>
      </c>
    </row>
    <row r="1511" spans="3:6" x14ac:dyDescent="0.25">
      <c r="C1511" s="2" t="s">
        <v>9656</v>
      </c>
      <c r="D1511" s="2" t="s">
        <v>204</v>
      </c>
      <c r="E1511" s="2">
        <v>105</v>
      </c>
      <c r="F1511" s="2">
        <v>1819.079</v>
      </c>
    </row>
    <row r="1512" spans="3:6" x14ac:dyDescent="0.25">
      <c r="C1512" s="2" t="s">
        <v>9657</v>
      </c>
      <c r="D1512" s="2" t="s">
        <v>204</v>
      </c>
      <c r="E1512" s="2">
        <v>100</v>
      </c>
      <c r="F1512" s="2">
        <v>1937.7</v>
      </c>
    </row>
    <row r="1513" spans="3:6" x14ac:dyDescent="0.25">
      <c r="C1513" s="2" t="s">
        <v>9658</v>
      </c>
      <c r="D1513" s="2" t="s">
        <v>204</v>
      </c>
      <c r="E1513" s="2">
        <v>163</v>
      </c>
      <c r="F1513" s="2">
        <v>3241.15</v>
      </c>
    </row>
    <row r="1514" spans="3:6" x14ac:dyDescent="0.25">
      <c r="C1514" s="2" t="s">
        <v>9659</v>
      </c>
      <c r="D1514" s="2" t="s">
        <v>204</v>
      </c>
      <c r="E1514" s="2">
        <v>163</v>
      </c>
      <c r="F1514" s="2">
        <v>3103.69</v>
      </c>
    </row>
    <row r="1515" spans="3:6" x14ac:dyDescent="0.25">
      <c r="C1515" s="2" t="s">
        <v>9660</v>
      </c>
      <c r="D1515" s="2" t="s">
        <v>204</v>
      </c>
      <c r="E1515" s="2">
        <v>163</v>
      </c>
      <c r="F1515" s="2">
        <v>3117.469</v>
      </c>
    </row>
    <row r="1516" spans="3:6" x14ac:dyDescent="0.25">
      <c r="C1516" s="2" t="s">
        <v>9661</v>
      </c>
      <c r="D1516" s="2" t="s">
        <v>204</v>
      </c>
      <c r="E1516" s="2">
        <v>105</v>
      </c>
      <c r="F1516" s="2">
        <v>1996</v>
      </c>
    </row>
    <row r="1517" spans="3:6" x14ac:dyDescent="0.25">
      <c r="C1517" s="2" t="s">
        <v>9662</v>
      </c>
      <c r="D1517" s="2" t="s">
        <v>204</v>
      </c>
      <c r="E1517" s="2">
        <v>92</v>
      </c>
      <c r="F1517" s="2">
        <v>1634.309</v>
      </c>
    </row>
    <row r="1518" spans="3:6" x14ac:dyDescent="0.25">
      <c r="C1518" s="2" t="s">
        <v>9663</v>
      </c>
      <c r="D1518" s="2" t="s">
        <v>204</v>
      </c>
      <c r="E1518" s="2">
        <v>71</v>
      </c>
      <c r="F1518" s="2">
        <v>1329</v>
      </c>
    </row>
    <row r="1519" spans="3:6" x14ac:dyDescent="0.25">
      <c r="C1519" s="2" t="s">
        <v>9664</v>
      </c>
      <c r="D1519" s="2" t="s">
        <v>204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2097</v>
      </c>
      <c r="C1521" s="2" t="s">
        <v>9665</v>
      </c>
      <c r="D1521" s="2" t="s">
        <v>122</v>
      </c>
      <c r="E1521" s="2">
        <v>121</v>
      </c>
      <c r="G1521" s="1">
        <v>46186</v>
      </c>
    </row>
    <row r="1522" spans="3:5" x14ac:dyDescent="0.25">
      <c r="C1522" s="2" t="s">
        <v>9666</v>
      </c>
      <c r="D1522" s="2" t="s">
        <v>122</v>
      </c>
      <c r="E1522" s="2">
        <v>121</v>
      </c>
    </row>
    <row r="1523" spans="3:5" x14ac:dyDescent="0.25">
      <c r="C1523" s="2" t="s">
        <v>9667</v>
      </c>
      <c r="D1523" s="2" t="s">
        <v>122</v>
      </c>
      <c r="E1523" s="2">
        <v>141</v>
      </c>
    </row>
    <row r="1524" spans="3:5" x14ac:dyDescent="0.25">
      <c r="C1524" s="2" t="s">
        <v>9668</v>
      </c>
      <c r="D1524" s="2" t="s">
        <v>122</v>
      </c>
      <c r="E1524" s="2">
        <v>141</v>
      </c>
    </row>
    <row r="1525" spans="3:5" x14ac:dyDescent="0.25">
      <c r="C1525" s="2" t="s">
        <v>9669</v>
      </c>
      <c r="D1525" s="2" t="s">
        <v>122</v>
      </c>
      <c r="E1525" s="2">
        <v>101</v>
      </c>
    </row>
    <row r="1527" spans="1:7" x14ac:dyDescent="0.25">
      <c r="A1527" s="1">
        <v>46185</v>
      </c>
      <c r="B1527" s="2" t="s">
        <v>2097</v>
      </c>
      <c r="C1527" s="2" t="s">
        <v>9670</v>
      </c>
      <c r="D1527" s="2" t="s">
        <v>27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9671</v>
      </c>
      <c r="D1528" s="2" t="s">
        <v>27</v>
      </c>
      <c r="E1528" s="2">
        <v>93</v>
      </c>
      <c r="F1528" s="2">
        <v>1733.789</v>
      </c>
    </row>
    <row r="1529" spans="3:6" x14ac:dyDescent="0.25">
      <c r="C1529" s="2" t="s">
        <v>9672</v>
      </c>
      <c r="D1529" s="2" t="s">
        <v>27</v>
      </c>
      <c r="E1529" s="2">
        <v>43</v>
      </c>
      <c r="F1529" s="2">
        <v>767.11</v>
      </c>
    </row>
    <row r="1530" spans="3:6" x14ac:dyDescent="0.25">
      <c r="C1530" s="2" t="s">
        <v>9673</v>
      </c>
      <c r="D1530" s="2" t="s">
        <v>27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1289</v>
      </c>
      <c r="C1532" s="2" t="s">
        <v>9674</v>
      </c>
      <c r="D1532" s="2" t="s">
        <v>9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9675</v>
      </c>
      <c r="D1533" s="2" t="s">
        <v>9</v>
      </c>
      <c r="E1533" s="2">
        <v>102</v>
      </c>
      <c r="F1533" s="2">
        <v>2096.83</v>
      </c>
    </row>
    <row r="1534" spans="3:6" x14ac:dyDescent="0.25">
      <c r="C1534" s="2" t="s">
        <v>9676</v>
      </c>
      <c r="D1534" s="2" t="s">
        <v>9</v>
      </c>
      <c r="E1534" s="2">
        <v>60</v>
      </c>
      <c r="F1534" s="2">
        <v>250.299</v>
      </c>
    </row>
    <row r="1535" spans="3:6" x14ac:dyDescent="0.25">
      <c r="C1535" s="2" t="s">
        <v>9677</v>
      </c>
      <c r="D1535" s="2" t="s">
        <v>9</v>
      </c>
      <c r="E1535" s="2">
        <v>141</v>
      </c>
      <c r="F1535" s="2">
        <v>2864.209</v>
      </c>
    </row>
    <row r="1536" spans="3:6" x14ac:dyDescent="0.25">
      <c r="C1536" s="2" t="s">
        <v>9678</v>
      </c>
      <c r="D1536" s="2" t="s">
        <v>9</v>
      </c>
      <c r="E1536" s="2">
        <v>142</v>
      </c>
      <c r="F1536" s="2">
        <v>2745.549</v>
      </c>
    </row>
    <row r="1537" spans="3:6" x14ac:dyDescent="0.25">
      <c r="C1537" s="2" t="s">
        <v>9679</v>
      </c>
      <c r="D1537" s="2" t="s">
        <v>9</v>
      </c>
      <c r="E1537" s="2">
        <v>102</v>
      </c>
      <c r="F1537" s="2">
        <v>1837.978</v>
      </c>
    </row>
    <row r="1538" spans="3:6" x14ac:dyDescent="0.25">
      <c r="C1538" s="2" t="s">
        <v>9680</v>
      </c>
      <c r="D1538" s="2" t="s">
        <v>9</v>
      </c>
      <c r="E1538" s="2">
        <v>62</v>
      </c>
      <c r="F1538" s="2">
        <v>1147.279</v>
      </c>
    </row>
    <row r="1539" spans="3:6" x14ac:dyDescent="0.25">
      <c r="C1539" s="2" t="s">
        <v>9681</v>
      </c>
      <c r="D1539" s="2" t="s">
        <v>9</v>
      </c>
      <c r="E1539" s="2">
        <v>40</v>
      </c>
      <c r="F1539" s="2">
        <v>761.679</v>
      </c>
    </row>
    <row r="1540" spans="3:6" x14ac:dyDescent="0.25">
      <c r="C1540" s="2" t="s">
        <v>9682</v>
      </c>
      <c r="D1540" s="2" t="s">
        <v>9</v>
      </c>
      <c r="E1540" s="2">
        <v>134</v>
      </c>
      <c r="F1540" s="2">
        <v>2595.018</v>
      </c>
    </row>
    <row r="1541" spans="3:6" x14ac:dyDescent="0.25">
      <c r="C1541" s="2" t="s">
        <v>9683</v>
      </c>
      <c r="D1541" s="2" t="s">
        <v>9</v>
      </c>
      <c r="E1541" s="2">
        <v>123</v>
      </c>
      <c r="F1541" s="2">
        <v>2347.359</v>
      </c>
    </row>
    <row r="1542" spans="3:6" x14ac:dyDescent="0.25">
      <c r="C1542" s="2" t="s">
        <v>9684</v>
      </c>
      <c r="D1542" s="2" t="s">
        <v>9</v>
      </c>
      <c r="E1542" s="2">
        <v>141</v>
      </c>
      <c r="F1542" s="2">
        <v>2703.86</v>
      </c>
    </row>
    <row r="1543" spans="3:6" x14ac:dyDescent="0.25">
      <c r="C1543" s="2" t="s">
        <v>9685</v>
      </c>
      <c r="D1543" s="2" t="s">
        <v>9</v>
      </c>
      <c r="E1543" s="2">
        <v>102</v>
      </c>
      <c r="F1543" s="2">
        <v>1956.43</v>
      </c>
    </row>
    <row r="1544" spans="3:6" x14ac:dyDescent="0.25">
      <c r="C1544" s="2" t="s">
        <v>9686</v>
      </c>
      <c r="D1544" s="2" t="s">
        <v>9</v>
      </c>
      <c r="E1544" s="2">
        <v>123</v>
      </c>
      <c r="F1544" s="2">
        <v>2467.749</v>
      </c>
    </row>
    <row r="1545" spans="3:6" x14ac:dyDescent="0.25">
      <c r="C1545" s="2" t="s">
        <v>9687</v>
      </c>
      <c r="D1545" s="2" t="s">
        <v>9</v>
      </c>
      <c r="E1545" s="2">
        <v>123</v>
      </c>
      <c r="F1545" s="2">
        <v>2534.19</v>
      </c>
    </row>
    <row r="1546" spans="3:6" x14ac:dyDescent="0.25">
      <c r="C1546" s="2" t="s">
        <v>9688</v>
      </c>
      <c r="D1546" s="2" t="s">
        <v>9</v>
      </c>
      <c r="E1546" s="2">
        <v>123</v>
      </c>
      <c r="F1546" s="2">
        <v>2500.6</v>
      </c>
    </row>
    <row r="1547" spans="3:6" x14ac:dyDescent="0.25">
      <c r="C1547" s="2" t="s">
        <v>9689</v>
      </c>
      <c r="D1547" s="2" t="s">
        <v>9</v>
      </c>
      <c r="E1547" s="2">
        <v>23</v>
      </c>
      <c r="F1547" s="2">
        <v>375.809</v>
      </c>
    </row>
    <row r="1548" spans="3:6" x14ac:dyDescent="0.25">
      <c r="C1548" s="2" t="s">
        <v>9690</v>
      </c>
      <c r="D1548" s="2" t="s">
        <v>9</v>
      </c>
      <c r="E1548" s="2">
        <v>55</v>
      </c>
      <c r="F1548" s="2">
        <v>1034.51</v>
      </c>
    </row>
    <row r="1549" spans="3:6" x14ac:dyDescent="0.25">
      <c r="C1549" s="2" t="s">
        <v>9691</v>
      </c>
      <c r="D1549" s="2" t="s">
        <v>9</v>
      </c>
      <c r="E1549" s="2">
        <v>63</v>
      </c>
      <c r="F1549" s="2">
        <v>1195.199</v>
      </c>
    </row>
    <row r="1550" spans="3:6" x14ac:dyDescent="0.25">
      <c r="C1550" s="2" t="s">
        <v>9692</v>
      </c>
      <c r="D1550" s="2" t="s">
        <v>9</v>
      </c>
      <c r="E1550" s="2">
        <v>141</v>
      </c>
      <c r="F1550" s="2">
        <v>2829.87</v>
      </c>
    </row>
    <row r="1551" spans="3:6" x14ac:dyDescent="0.25">
      <c r="C1551" s="2" t="s">
        <v>9693</v>
      </c>
      <c r="D1551" s="2" t="s">
        <v>9</v>
      </c>
      <c r="E1551" s="2">
        <v>102</v>
      </c>
      <c r="F1551" s="2">
        <v>1715.569</v>
      </c>
    </row>
    <row r="1552" spans="3:6" x14ac:dyDescent="0.25">
      <c r="C1552" s="2" t="s">
        <v>9694</v>
      </c>
      <c r="D1552" s="2" t="s">
        <v>9</v>
      </c>
      <c r="E1552" s="2">
        <v>141</v>
      </c>
      <c r="F1552" s="2">
        <v>2798.889</v>
      </c>
    </row>
    <row r="1553" spans="3:6" x14ac:dyDescent="0.25">
      <c r="C1553" s="2" t="s">
        <v>9695</v>
      </c>
      <c r="D1553" s="2" t="s">
        <v>9</v>
      </c>
      <c r="E1553" s="2">
        <v>44</v>
      </c>
      <c r="F1553" s="2">
        <v>783.55</v>
      </c>
    </row>
    <row r="1554" spans="3:6" x14ac:dyDescent="0.25">
      <c r="C1554" s="2" t="s">
        <v>9696</v>
      </c>
      <c r="D1554" s="2" t="s">
        <v>9</v>
      </c>
      <c r="E1554" s="2">
        <v>59</v>
      </c>
      <c r="F1554" s="2">
        <v>1171.59</v>
      </c>
    </row>
    <row r="1555" spans="3:6" x14ac:dyDescent="0.25">
      <c r="C1555" s="2" t="s">
        <v>9697</v>
      </c>
      <c r="D1555" s="2" t="s">
        <v>9</v>
      </c>
      <c r="E1555" s="2">
        <v>39</v>
      </c>
      <c r="F1555" s="2">
        <v>758.539</v>
      </c>
    </row>
    <row r="1556" spans="3:6" x14ac:dyDescent="0.25">
      <c r="C1556" s="2" t="s">
        <v>9698</v>
      </c>
      <c r="D1556" s="2" t="s">
        <v>9</v>
      </c>
      <c r="E1556" s="2">
        <v>75</v>
      </c>
      <c r="F1556" s="2">
        <v>1406.729</v>
      </c>
    </row>
    <row r="1557" spans="3:6" x14ac:dyDescent="0.25">
      <c r="C1557" s="2" t="s">
        <v>9699</v>
      </c>
      <c r="D1557" s="2" t="s">
        <v>9</v>
      </c>
      <c r="E1557" s="2">
        <v>66</v>
      </c>
      <c r="F1557" s="2">
        <v>1264.249</v>
      </c>
    </row>
    <row r="1558" spans="3:6" x14ac:dyDescent="0.25">
      <c r="C1558" s="2" t="s">
        <v>9700</v>
      </c>
      <c r="D1558" s="2" t="s">
        <v>9</v>
      </c>
      <c r="E1558" s="2">
        <v>100</v>
      </c>
      <c r="F1558" s="2">
        <v>1622.959</v>
      </c>
    </row>
    <row r="1559" spans="3:6" x14ac:dyDescent="0.25">
      <c r="C1559" s="2" t="s">
        <v>9701</v>
      </c>
      <c r="D1559" s="2" t="s">
        <v>9</v>
      </c>
      <c r="E1559" s="2">
        <v>41</v>
      </c>
      <c r="F1559" s="2">
        <v>873.85</v>
      </c>
    </row>
    <row r="1560" spans="3:6" x14ac:dyDescent="0.25">
      <c r="C1560" s="2" t="s">
        <v>9702</v>
      </c>
      <c r="D1560" s="2" t="s">
        <v>9</v>
      </c>
      <c r="E1560" s="2">
        <v>141</v>
      </c>
      <c r="F1560" s="2">
        <v>2860.48</v>
      </c>
    </row>
    <row r="1561" spans="3:6" x14ac:dyDescent="0.25">
      <c r="C1561" s="2" t="s">
        <v>9703</v>
      </c>
      <c r="D1561" s="2" t="s">
        <v>9</v>
      </c>
      <c r="E1561" s="2">
        <v>102</v>
      </c>
      <c r="F1561" s="2">
        <v>2079.96</v>
      </c>
    </row>
    <row r="1562" spans="3:6" x14ac:dyDescent="0.25">
      <c r="C1562" s="2" t="s">
        <v>9704</v>
      </c>
      <c r="D1562" s="2" t="s">
        <v>9</v>
      </c>
      <c r="E1562" s="2">
        <v>34</v>
      </c>
      <c r="F1562" s="2">
        <v>648.62</v>
      </c>
    </row>
    <row r="1563" spans="3:6" x14ac:dyDescent="0.25">
      <c r="C1563" s="2" t="s">
        <v>9705</v>
      </c>
      <c r="D1563" s="2" t="s">
        <v>9</v>
      </c>
      <c r="E1563" s="2">
        <v>107</v>
      </c>
      <c r="F1563" s="2">
        <v>2181.119</v>
      </c>
    </row>
    <row r="1564" spans="3:6" x14ac:dyDescent="0.25">
      <c r="C1564" s="2" t="s">
        <v>9706</v>
      </c>
      <c r="D1564" s="2" t="s">
        <v>9</v>
      </c>
      <c r="E1564" s="2">
        <v>82</v>
      </c>
      <c r="F1564" s="2">
        <v>1614.35</v>
      </c>
    </row>
    <row r="1565" spans="3:6" x14ac:dyDescent="0.25">
      <c r="C1565" s="2" t="s">
        <v>9707</v>
      </c>
      <c r="D1565" s="2" t="s">
        <v>9</v>
      </c>
      <c r="E1565" s="2">
        <v>59</v>
      </c>
      <c r="F1565" s="2">
        <v>1143.91</v>
      </c>
    </row>
    <row r="1566" spans="3:6" x14ac:dyDescent="0.25">
      <c r="C1566" s="2" t="s">
        <v>9708</v>
      </c>
      <c r="D1566" s="2" t="s">
        <v>9</v>
      </c>
      <c r="E1566" s="2">
        <v>141</v>
      </c>
      <c r="F1566" s="2">
        <v>2929.48</v>
      </c>
    </row>
    <row r="1567" spans="3:6" x14ac:dyDescent="0.25">
      <c r="C1567" s="2" t="s">
        <v>9709</v>
      </c>
      <c r="D1567" s="2" t="s">
        <v>9</v>
      </c>
      <c r="E1567" s="2">
        <v>29</v>
      </c>
      <c r="F1567" s="2">
        <v>467.23</v>
      </c>
    </row>
    <row r="1568" spans="3:6" x14ac:dyDescent="0.25">
      <c r="C1568" s="2" t="s">
        <v>9710</v>
      </c>
      <c r="D1568" s="2" t="s">
        <v>9</v>
      </c>
      <c r="E1568" s="2">
        <v>42</v>
      </c>
      <c r="F1568" s="2">
        <v>747.939</v>
      </c>
    </row>
    <row r="1569" spans="3:6" x14ac:dyDescent="0.25">
      <c r="C1569" s="2" t="s">
        <v>9711</v>
      </c>
      <c r="D1569" s="2" t="s">
        <v>9</v>
      </c>
      <c r="E1569" s="2">
        <v>2</v>
      </c>
      <c r="F1569" s="2" t="s">
        <v>8758</v>
      </c>
    </row>
    <row r="1570" spans="3:6" x14ac:dyDescent="0.25">
      <c r="C1570" s="2" t="s">
        <v>9712</v>
      </c>
      <c r="D1570" s="2" t="s">
        <v>9</v>
      </c>
      <c r="E1570" s="2">
        <v>2</v>
      </c>
      <c r="F1570" s="2" t="s">
        <v>8758</v>
      </c>
    </row>
    <row r="1571" spans="3:6" x14ac:dyDescent="0.25">
      <c r="C1571" s="2" t="s">
        <v>9713</v>
      </c>
      <c r="D1571" s="2" t="s">
        <v>9</v>
      </c>
      <c r="E1571" s="2">
        <v>142</v>
      </c>
      <c r="F1571" s="2">
        <v>2771.88</v>
      </c>
    </row>
    <row r="1572" spans="3:6" x14ac:dyDescent="0.25">
      <c r="C1572" s="2" t="s">
        <v>9714</v>
      </c>
      <c r="D1572" s="2" t="s">
        <v>9</v>
      </c>
      <c r="E1572" s="2">
        <v>45</v>
      </c>
      <c r="F1572" s="2">
        <v>844.54</v>
      </c>
    </row>
    <row r="1573" spans="3:6" x14ac:dyDescent="0.25">
      <c r="C1573" s="2" t="s">
        <v>9715</v>
      </c>
      <c r="D1573" s="2" t="s">
        <v>9</v>
      </c>
      <c r="E1573" s="2">
        <v>96</v>
      </c>
      <c r="F1573" s="2">
        <v>1844.909</v>
      </c>
    </row>
    <row r="1574" spans="3:6" x14ac:dyDescent="0.25">
      <c r="C1574" s="2" t="s">
        <v>9716</v>
      </c>
      <c r="D1574" s="2" t="s">
        <v>9</v>
      </c>
      <c r="E1574" s="2">
        <v>141</v>
      </c>
      <c r="F1574" s="2">
        <v>2843.779</v>
      </c>
    </row>
    <row r="1575" spans="3:6" x14ac:dyDescent="0.25">
      <c r="C1575" s="2" t="s">
        <v>9717</v>
      </c>
      <c r="D1575" s="2" t="s">
        <v>9</v>
      </c>
      <c r="E1575" s="2">
        <v>46</v>
      </c>
      <c r="F1575" s="2">
        <v>873.24</v>
      </c>
    </row>
    <row r="1576" spans="3:6" x14ac:dyDescent="0.25">
      <c r="C1576" s="2" t="s">
        <v>9718</v>
      </c>
      <c r="D1576" s="2" t="s">
        <v>9</v>
      </c>
      <c r="E1576" s="2">
        <v>95</v>
      </c>
      <c r="F1576" s="2">
        <v>1904.899</v>
      </c>
    </row>
    <row r="1577" spans="3:6" x14ac:dyDescent="0.25">
      <c r="C1577" s="2" t="s">
        <v>9719</v>
      </c>
      <c r="D1577" s="2" t="s">
        <v>9</v>
      </c>
      <c r="E1577" s="2">
        <v>49</v>
      </c>
      <c r="F1577" s="2">
        <v>992.57</v>
      </c>
    </row>
    <row r="1578" spans="3:6" x14ac:dyDescent="0.25">
      <c r="C1578" s="2" t="s">
        <v>9720</v>
      </c>
      <c r="D1578" s="2" t="s">
        <v>9</v>
      </c>
      <c r="E1578" s="2">
        <v>92</v>
      </c>
      <c r="F1578" s="2">
        <v>1674.18</v>
      </c>
    </row>
    <row r="1579" spans="3:6" x14ac:dyDescent="0.25">
      <c r="C1579" s="2" t="s">
        <v>9721</v>
      </c>
      <c r="D1579" s="2" t="s">
        <v>9</v>
      </c>
      <c r="E1579" s="2">
        <v>46</v>
      </c>
      <c r="F1579" s="2">
        <v>883.62</v>
      </c>
    </row>
    <row r="1580" spans="3:6" x14ac:dyDescent="0.25">
      <c r="C1580" s="2" t="s">
        <v>9722</v>
      </c>
      <c r="D1580" s="2" t="s">
        <v>9</v>
      </c>
      <c r="E1580" s="2">
        <v>32</v>
      </c>
      <c r="F1580" s="2">
        <v>653.11</v>
      </c>
    </row>
    <row r="1581" spans="3:6" x14ac:dyDescent="0.25">
      <c r="C1581" s="2" t="s">
        <v>9723</v>
      </c>
      <c r="D1581" s="2" t="s">
        <v>9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9724</v>
      </c>
      <c r="C1583" s="2" t="s">
        <v>9725</v>
      </c>
      <c r="D1583" s="2" t="s">
        <v>204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14</v>
      </c>
      <c r="C1585" s="2" t="s">
        <v>9726</v>
      </c>
      <c r="D1585" s="2" t="s">
        <v>12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9727</v>
      </c>
      <c r="D1586" s="2" t="s">
        <v>12</v>
      </c>
      <c r="E1586" s="2">
        <v>156</v>
      </c>
      <c r="F1586" s="2">
        <v>2952.343</v>
      </c>
    </row>
    <row r="1587" spans="3:6" x14ac:dyDescent="0.25">
      <c r="C1587" s="2" t="s">
        <v>9728</v>
      </c>
      <c r="D1587" s="2" t="s">
        <v>12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10</v>
      </c>
      <c r="C1589" s="2" t="s">
        <v>9729</v>
      </c>
      <c r="D1589" s="2" t="s">
        <v>12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9730</v>
      </c>
      <c r="D1590" s="2" t="s">
        <v>12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40</v>
      </c>
      <c r="C1592" s="2" t="s">
        <v>9731</v>
      </c>
      <c r="D1592" s="2" t="s">
        <v>42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9732</v>
      </c>
      <c r="D1593" s="2" t="s">
        <v>42</v>
      </c>
      <c r="E1593" s="2">
        <v>141</v>
      </c>
      <c r="F1593" s="2">
        <v>2976.84</v>
      </c>
    </row>
    <row r="1594" spans="3:6" x14ac:dyDescent="0.25">
      <c r="C1594" s="2" t="s">
        <v>9733</v>
      </c>
      <c r="D1594" s="2" t="s">
        <v>42</v>
      </c>
      <c r="E1594" s="2">
        <v>26</v>
      </c>
      <c r="F1594" s="2">
        <v>502.88</v>
      </c>
    </row>
    <row r="1595" spans="3:6" x14ac:dyDescent="0.25">
      <c r="C1595" s="2" t="s">
        <v>9734</v>
      </c>
      <c r="D1595" s="2" t="s">
        <v>42</v>
      </c>
      <c r="E1595" s="2">
        <v>104</v>
      </c>
      <c r="F1595" s="2">
        <v>2196.12</v>
      </c>
    </row>
    <row r="1596" spans="3:6" x14ac:dyDescent="0.25">
      <c r="C1596" s="2" t="s">
        <v>9735</v>
      </c>
      <c r="D1596" s="2" t="s">
        <v>42</v>
      </c>
      <c r="E1596" s="2">
        <v>50</v>
      </c>
      <c r="F1596" s="2">
        <v>241.61</v>
      </c>
    </row>
    <row r="1597" spans="3:6" x14ac:dyDescent="0.25">
      <c r="C1597" s="2" t="s">
        <v>9736</v>
      </c>
      <c r="D1597" s="2" t="s">
        <v>42</v>
      </c>
      <c r="E1597" s="2">
        <v>121</v>
      </c>
      <c r="F1597" s="2">
        <v>2161.126</v>
      </c>
    </row>
    <row r="1598" spans="3:6" x14ac:dyDescent="0.25">
      <c r="C1598" s="2" t="s">
        <v>9737</v>
      </c>
      <c r="D1598" s="2" t="s">
        <v>42</v>
      </c>
      <c r="E1598" s="2">
        <v>78</v>
      </c>
      <c r="F1598" s="2">
        <v>1541.019</v>
      </c>
    </row>
    <row r="1599" spans="3:6" x14ac:dyDescent="0.25">
      <c r="C1599" s="2" t="s">
        <v>9738</v>
      </c>
      <c r="D1599" s="2" t="s">
        <v>42</v>
      </c>
      <c r="E1599" s="2">
        <v>141</v>
      </c>
      <c r="F1599" s="2">
        <v>2907.85</v>
      </c>
    </row>
    <row r="1600" spans="3:6" x14ac:dyDescent="0.25">
      <c r="C1600" s="2" t="s">
        <v>9739</v>
      </c>
      <c r="D1600" s="2" t="s">
        <v>42</v>
      </c>
      <c r="E1600" s="2">
        <v>65</v>
      </c>
      <c r="F1600" s="2">
        <v>1304.61</v>
      </c>
    </row>
    <row r="1601" spans="3:6" x14ac:dyDescent="0.25">
      <c r="C1601" s="2" t="s">
        <v>9740</v>
      </c>
      <c r="D1601" s="2" t="s">
        <v>42</v>
      </c>
      <c r="E1601" s="2">
        <v>11</v>
      </c>
      <c r="F1601" s="2">
        <v>202.36</v>
      </c>
    </row>
    <row r="1602" spans="3:6" x14ac:dyDescent="0.25">
      <c r="C1602" s="2" t="s">
        <v>9741</v>
      </c>
      <c r="D1602" s="2" t="s">
        <v>42</v>
      </c>
      <c r="E1602" s="2">
        <v>45</v>
      </c>
      <c r="F1602" s="2">
        <v>221.33</v>
      </c>
    </row>
    <row r="1603" spans="3:6" x14ac:dyDescent="0.25">
      <c r="C1603" s="2" t="s">
        <v>9742</v>
      </c>
      <c r="D1603" s="2" t="s">
        <v>42</v>
      </c>
      <c r="E1603" s="2">
        <v>141</v>
      </c>
      <c r="F1603" s="2">
        <v>1360.071</v>
      </c>
    </row>
    <row r="1604" spans="3:6" x14ac:dyDescent="0.25">
      <c r="C1604" s="2" t="s">
        <v>9743</v>
      </c>
      <c r="D1604" s="2" t="s">
        <v>42</v>
      </c>
      <c r="E1604" s="2">
        <v>141</v>
      </c>
      <c r="F1604" s="2">
        <v>3167.05</v>
      </c>
    </row>
    <row r="1605" spans="3:6" x14ac:dyDescent="0.25">
      <c r="C1605" s="2" t="s">
        <v>9744</v>
      </c>
      <c r="D1605" s="2" t="s">
        <v>42</v>
      </c>
      <c r="E1605" s="2">
        <v>141</v>
      </c>
      <c r="F1605" s="2">
        <v>2868.45</v>
      </c>
    </row>
    <row r="1606" spans="3:6" x14ac:dyDescent="0.25">
      <c r="C1606" s="2" t="s">
        <v>9745</v>
      </c>
      <c r="D1606" s="2" t="s">
        <v>42</v>
      </c>
      <c r="E1606" s="2">
        <v>141</v>
      </c>
      <c r="F1606" s="2">
        <v>2862.24</v>
      </c>
    </row>
    <row r="1607" spans="3:6" x14ac:dyDescent="0.25">
      <c r="C1607" s="2" t="s">
        <v>9746</v>
      </c>
      <c r="D1607" s="2" t="s">
        <v>42</v>
      </c>
      <c r="E1607" s="2">
        <v>29</v>
      </c>
      <c r="F1607" s="2">
        <v>515.03</v>
      </c>
    </row>
    <row r="1608" spans="3:6" x14ac:dyDescent="0.25">
      <c r="C1608" s="2" t="s">
        <v>9747</v>
      </c>
      <c r="D1608" s="2" t="s">
        <v>42</v>
      </c>
      <c r="E1608" s="2">
        <v>94</v>
      </c>
      <c r="F1608" s="2">
        <v>1891</v>
      </c>
    </row>
    <row r="1609" spans="3:6" x14ac:dyDescent="0.25">
      <c r="C1609" s="2" t="s">
        <v>9748</v>
      </c>
      <c r="D1609" s="2" t="s">
        <v>42</v>
      </c>
      <c r="E1609" s="2">
        <v>71</v>
      </c>
      <c r="F1609" s="2">
        <v>1464.11</v>
      </c>
    </row>
    <row r="1610" spans="3:6" x14ac:dyDescent="0.25">
      <c r="C1610" s="2" t="s">
        <v>9749</v>
      </c>
      <c r="D1610" s="2" t="s">
        <v>42</v>
      </c>
      <c r="E1610" s="2">
        <v>12</v>
      </c>
      <c r="F1610" s="2">
        <v>167.56</v>
      </c>
    </row>
    <row r="1611" spans="3:6" x14ac:dyDescent="0.25">
      <c r="C1611" s="2" t="s">
        <v>9750</v>
      </c>
      <c r="D1611" s="2" t="s">
        <v>42</v>
      </c>
      <c r="E1611" s="2">
        <v>17</v>
      </c>
      <c r="F1611" s="2">
        <v>300.339</v>
      </c>
    </row>
    <row r="1612" spans="3:6" x14ac:dyDescent="0.25">
      <c r="C1612" s="2" t="s">
        <v>9751</v>
      </c>
      <c r="D1612" s="2" t="s">
        <v>42</v>
      </c>
      <c r="E1612" s="2">
        <v>124</v>
      </c>
      <c r="F1612" s="2">
        <v>2154.77</v>
      </c>
    </row>
    <row r="1613" spans="3:6" x14ac:dyDescent="0.25">
      <c r="C1613" s="2" t="s">
        <v>9752</v>
      </c>
      <c r="D1613" s="2" t="s">
        <v>42</v>
      </c>
      <c r="E1613" s="2">
        <v>99</v>
      </c>
      <c r="F1613" s="2">
        <v>1932.26</v>
      </c>
    </row>
    <row r="1614" spans="3:6" x14ac:dyDescent="0.25">
      <c r="C1614" s="2" t="s">
        <v>9753</v>
      </c>
      <c r="D1614" s="2" t="s">
        <v>42</v>
      </c>
      <c r="E1614" s="2">
        <v>42</v>
      </c>
      <c r="F1614" s="2">
        <v>838.32</v>
      </c>
    </row>
    <row r="1615" spans="3:6" x14ac:dyDescent="0.25">
      <c r="C1615" s="2" t="s">
        <v>9754</v>
      </c>
      <c r="D1615" s="2" t="s">
        <v>42</v>
      </c>
      <c r="E1615" s="2">
        <v>141</v>
      </c>
      <c r="F1615" s="2">
        <v>2859.189</v>
      </c>
    </row>
    <row r="1616" spans="3:6" x14ac:dyDescent="0.25">
      <c r="C1616" s="2" t="s">
        <v>9755</v>
      </c>
      <c r="D1616" s="2" t="s">
        <v>42</v>
      </c>
      <c r="E1616" s="2">
        <v>60</v>
      </c>
      <c r="F1616" s="2">
        <v>317.27</v>
      </c>
    </row>
    <row r="1617" spans="3:6" x14ac:dyDescent="0.25">
      <c r="C1617" s="2" t="s">
        <v>9756</v>
      </c>
      <c r="D1617" s="2" t="s">
        <v>42</v>
      </c>
      <c r="E1617" s="2">
        <v>141</v>
      </c>
      <c r="F1617" s="2">
        <v>1450.164</v>
      </c>
    </row>
    <row r="1618" spans="3:6" x14ac:dyDescent="0.25">
      <c r="C1618" s="2" t="s">
        <v>9757</v>
      </c>
      <c r="D1618" s="2" t="s">
        <v>42</v>
      </c>
      <c r="E1618" s="2">
        <v>87</v>
      </c>
      <c r="F1618" s="2">
        <v>1775.259</v>
      </c>
    </row>
    <row r="1619" spans="3:6" x14ac:dyDescent="0.25">
      <c r="C1619" s="2" t="s">
        <v>9758</v>
      </c>
      <c r="D1619" s="2" t="s">
        <v>42</v>
      </c>
      <c r="E1619" s="2">
        <v>142</v>
      </c>
      <c r="F1619" s="2">
        <v>2885.1</v>
      </c>
    </row>
    <row r="1620" spans="3:6" x14ac:dyDescent="0.25">
      <c r="C1620" s="2" t="s">
        <v>9759</v>
      </c>
      <c r="D1620" s="2" t="s">
        <v>42</v>
      </c>
      <c r="E1620" s="2">
        <v>50</v>
      </c>
      <c r="F1620" s="2">
        <v>1123.32</v>
      </c>
    </row>
    <row r="1621" spans="3:6" x14ac:dyDescent="0.25">
      <c r="C1621" s="2" t="s">
        <v>9760</v>
      </c>
      <c r="D1621" s="2" t="s">
        <v>42</v>
      </c>
      <c r="E1621" s="2">
        <v>47</v>
      </c>
      <c r="F1621" s="2">
        <v>977.388</v>
      </c>
    </row>
    <row r="1622" spans="3:6" x14ac:dyDescent="0.25">
      <c r="C1622" s="2" t="s">
        <v>9761</v>
      </c>
      <c r="D1622" s="2" t="s">
        <v>42</v>
      </c>
      <c r="E1622" s="2">
        <v>36</v>
      </c>
      <c r="F1622" s="2">
        <v>744.639</v>
      </c>
    </row>
    <row r="1623" spans="3:6" x14ac:dyDescent="0.25">
      <c r="C1623" s="2" t="s">
        <v>9762</v>
      </c>
      <c r="D1623" s="2" t="s">
        <v>42</v>
      </c>
      <c r="E1623" s="2">
        <v>102</v>
      </c>
      <c r="F1623" s="2">
        <v>2055.47</v>
      </c>
    </row>
    <row r="1624" spans="3:6" x14ac:dyDescent="0.25">
      <c r="C1624" s="2" t="s">
        <v>9763</v>
      </c>
      <c r="D1624" s="2" t="s">
        <v>42</v>
      </c>
      <c r="E1624" s="2">
        <v>102</v>
      </c>
      <c r="F1624" s="2">
        <v>2118.399</v>
      </c>
    </row>
    <row r="1625" spans="3:6" x14ac:dyDescent="0.25">
      <c r="C1625" s="2" t="s">
        <v>9764</v>
      </c>
      <c r="D1625" s="2" t="s">
        <v>42</v>
      </c>
      <c r="E1625" s="2">
        <v>102</v>
      </c>
      <c r="F1625" s="2">
        <v>2115.08</v>
      </c>
    </row>
    <row r="1626" spans="3:6" x14ac:dyDescent="0.25">
      <c r="C1626" s="2" t="s">
        <v>9765</v>
      </c>
      <c r="D1626" s="2" t="s">
        <v>42</v>
      </c>
      <c r="E1626" s="2">
        <v>49</v>
      </c>
      <c r="F1626" s="2">
        <v>1009.32</v>
      </c>
    </row>
    <row r="1627" spans="3:6" x14ac:dyDescent="0.25">
      <c r="C1627" s="2" t="s">
        <v>9766</v>
      </c>
      <c r="D1627" s="2" t="s">
        <v>42</v>
      </c>
      <c r="E1627" s="2">
        <v>59</v>
      </c>
      <c r="F1627" s="2">
        <v>1306.84</v>
      </c>
    </row>
    <row r="1628" spans="3:6" x14ac:dyDescent="0.25">
      <c r="C1628" s="2" t="s">
        <v>9767</v>
      </c>
      <c r="D1628" s="2" t="s">
        <v>42</v>
      </c>
      <c r="E1628" s="2">
        <v>71</v>
      </c>
      <c r="F1628" s="2">
        <v>1439.88</v>
      </c>
    </row>
    <row r="1629" spans="3:6" x14ac:dyDescent="0.25">
      <c r="C1629" s="2" t="s">
        <v>9768</v>
      </c>
      <c r="D1629" s="2" t="s">
        <v>42</v>
      </c>
      <c r="E1629" s="2">
        <v>10</v>
      </c>
      <c r="F1629" s="2">
        <v>119.45</v>
      </c>
    </row>
    <row r="1630" spans="3:6" x14ac:dyDescent="0.25">
      <c r="C1630" s="2" t="s">
        <v>9769</v>
      </c>
      <c r="D1630" s="2" t="s">
        <v>42</v>
      </c>
      <c r="E1630" s="2">
        <v>55</v>
      </c>
      <c r="F1630" s="2">
        <v>1157.15</v>
      </c>
    </row>
    <row r="1631" spans="3:6" x14ac:dyDescent="0.25">
      <c r="C1631" s="2" t="s">
        <v>9770</v>
      </c>
      <c r="D1631" s="2" t="s">
        <v>42</v>
      </c>
      <c r="E1631" s="2">
        <v>63</v>
      </c>
      <c r="F1631" s="2">
        <v>1280.65</v>
      </c>
    </row>
    <row r="1632" spans="3:6" x14ac:dyDescent="0.25">
      <c r="C1632" s="2" t="s">
        <v>9771</v>
      </c>
      <c r="D1632" s="2" t="s">
        <v>42</v>
      </c>
      <c r="E1632" s="2">
        <v>78</v>
      </c>
      <c r="F1632" s="2">
        <v>1551.06</v>
      </c>
    </row>
    <row r="1633" spans="3:6" x14ac:dyDescent="0.25">
      <c r="C1633" s="2" t="s">
        <v>9772</v>
      </c>
      <c r="D1633" s="2" t="s">
        <v>42</v>
      </c>
      <c r="E1633" s="2">
        <v>62</v>
      </c>
      <c r="F1633" s="2">
        <v>1039.476</v>
      </c>
    </row>
    <row r="1634" spans="3:6" x14ac:dyDescent="0.25">
      <c r="C1634" s="2" t="s">
        <v>9773</v>
      </c>
      <c r="D1634" s="2" t="s">
        <v>42</v>
      </c>
      <c r="E1634" s="2">
        <v>102</v>
      </c>
      <c r="F1634" s="2">
        <v>2077.72</v>
      </c>
    </row>
    <row r="1635" spans="3:6" x14ac:dyDescent="0.25">
      <c r="C1635" s="2" t="s">
        <v>9774</v>
      </c>
      <c r="D1635" s="2" t="s">
        <v>42</v>
      </c>
      <c r="E1635" s="2">
        <v>39</v>
      </c>
      <c r="F1635" s="2">
        <v>575.026</v>
      </c>
    </row>
    <row r="1636" spans="3:6" x14ac:dyDescent="0.25">
      <c r="C1636" s="2" t="s">
        <v>9775</v>
      </c>
      <c r="D1636" s="2" t="s">
        <v>42</v>
      </c>
      <c r="E1636" s="2">
        <v>102</v>
      </c>
      <c r="F1636" s="2">
        <v>2098.958</v>
      </c>
    </row>
    <row r="1637" spans="3:6" x14ac:dyDescent="0.25">
      <c r="C1637" s="2" t="s">
        <v>9776</v>
      </c>
      <c r="D1637" s="2" t="s">
        <v>42</v>
      </c>
      <c r="E1637" s="2">
        <v>102</v>
      </c>
      <c r="F1637" s="2">
        <v>1823.559</v>
      </c>
    </row>
    <row r="1638" spans="3:6" x14ac:dyDescent="0.25">
      <c r="C1638" s="2" t="s">
        <v>9777</v>
      </c>
      <c r="D1638" s="2" t="s">
        <v>42</v>
      </c>
      <c r="E1638" s="2">
        <v>173</v>
      </c>
      <c r="F1638" s="2">
        <v>0</v>
      </c>
    </row>
    <row r="1639" spans="3:6" x14ac:dyDescent="0.25">
      <c r="C1639" s="2" t="s">
        <v>9778</v>
      </c>
      <c r="D1639" s="2" t="s">
        <v>42</v>
      </c>
      <c r="E1639" s="2">
        <v>144</v>
      </c>
      <c r="F1639" s="2">
        <v>0</v>
      </c>
    </row>
    <row r="1640" spans="3:6" x14ac:dyDescent="0.25">
      <c r="C1640" s="2" t="s">
        <v>9762</v>
      </c>
      <c r="D1640" s="2" t="s">
        <v>42</v>
      </c>
      <c r="E1640" s="2">
        <v>102</v>
      </c>
      <c r="F1640" s="2">
        <v>0</v>
      </c>
    </row>
    <row r="1641" spans="3:6" x14ac:dyDescent="0.25">
      <c r="C1641" s="2" t="s">
        <v>9764</v>
      </c>
      <c r="D1641" s="2" t="s">
        <v>42</v>
      </c>
      <c r="E1641" s="2">
        <v>102</v>
      </c>
      <c r="F1641" s="2">
        <v>0</v>
      </c>
    </row>
    <row r="1642" spans="3:6" x14ac:dyDescent="0.25">
      <c r="C1642" s="2" t="s">
        <v>9763</v>
      </c>
      <c r="D1642" s="2" t="s">
        <v>42</v>
      </c>
      <c r="E1642" s="2">
        <v>102</v>
      </c>
      <c r="F1642" s="2">
        <v>0</v>
      </c>
    </row>
    <row r="1643" spans="3:6" x14ac:dyDescent="0.25">
      <c r="C1643" s="2" t="s">
        <v>9776</v>
      </c>
      <c r="D1643" s="2" t="s">
        <v>42</v>
      </c>
      <c r="E1643" s="2">
        <v>102</v>
      </c>
      <c r="F1643" s="2">
        <v>0</v>
      </c>
    </row>
    <row r="1644" spans="3:6" x14ac:dyDescent="0.25">
      <c r="C1644" s="2" t="s">
        <v>9775</v>
      </c>
      <c r="D1644" s="2" t="s">
        <v>42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90</v>
      </c>
      <c r="C1646" s="2" t="s">
        <v>9779</v>
      </c>
      <c r="D1646" s="2" t="s">
        <v>9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8845</v>
      </c>
      <c r="C1648" s="2" t="s">
        <v>9780</v>
      </c>
      <c r="D1648" s="2" t="s">
        <v>1288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8849</v>
      </c>
      <c r="C1650" s="2" t="s">
        <v>9781</v>
      </c>
      <c r="D1650" s="2" t="s">
        <v>204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9782</v>
      </c>
      <c r="D1651" s="2" t="s">
        <v>216</v>
      </c>
      <c r="E1651" s="2">
        <v>55</v>
      </c>
      <c r="F1651" s="2">
        <v>1098.01</v>
      </c>
    </row>
    <row r="1652" spans="3:6" x14ac:dyDescent="0.25">
      <c r="C1652" s="2" t="s">
        <v>9783</v>
      </c>
      <c r="D1652" s="2" t="s">
        <v>216</v>
      </c>
      <c r="E1652" s="2">
        <v>80</v>
      </c>
      <c r="F1652" s="2">
        <v>1346.388</v>
      </c>
    </row>
    <row r="1653" spans="3:6" x14ac:dyDescent="0.25">
      <c r="C1653" s="2" t="s">
        <v>9784</v>
      </c>
      <c r="D1653" s="2" t="s">
        <v>204</v>
      </c>
      <c r="E1653" s="2">
        <v>163</v>
      </c>
      <c r="F1653" s="2">
        <v>2776.719</v>
      </c>
    </row>
    <row r="1654" spans="3:6" x14ac:dyDescent="0.25">
      <c r="C1654" s="2" t="s">
        <v>9785</v>
      </c>
      <c r="D1654" s="2" t="s">
        <v>204</v>
      </c>
      <c r="E1654" s="2">
        <v>163</v>
      </c>
      <c r="F1654" s="2">
        <v>3116.27</v>
      </c>
    </row>
    <row r="1655" spans="3:6" x14ac:dyDescent="0.25">
      <c r="C1655" s="2" t="s">
        <v>9786</v>
      </c>
      <c r="D1655" s="2" t="s">
        <v>204</v>
      </c>
      <c r="E1655" s="2">
        <v>163</v>
      </c>
      <c r="F1655" s="2">
        <v>3131.809</v>
      </c>
    </row>
    <row r="1656" spans="3:6" x14ac:dyDescent="0.25">
      <c r="C1656" s="2" t="s">
        <v>9787</v>
      </c>
      <c r="D1656" s="2" t="s">
        <v>204</v>
      </c>
      <c r="E1656" s="2">
        <v>163</v>
      </c>
      <c r="F1656" s="2">
        <v>3064.229</v>
      </c>
    </row>
    <row r="1657" spans="3:6" x14ac:dyDescent="0.25">
      <c r="C1657" s="2" t="s">
        <v>9788</v>
      </c>
      <c r="D1657" s="2" t="s">
        <v>236</v>
      </c>
      <c r="E1657" s="2">
        <v>45</v>
      </c>
      <c r="F1657" s="2">
        <v>743</v>
      </c>
    </row>
    <row r="1658" spans="3:6" x14ac:dyDescent="0.25">
      <c r="C1658" s="2" t="s">
        <v>9789</v>
      </c>
      <c r="D1658" s="2" t="s">
        <v>236</v>
      </c>
      <c r="E1658" s="2">
        <v>60</v>
      </c>
      <c r="F1658" s="2">
        <v>1116.19</v>
      </c>
    </row>
    <row r="1659" spans="3:6" x14ac:dyDescent="0.25">
      <c r="C1659" s="2" t="s">
        <v>9790</v>
      </c>
      <c r="D1659" s="2" t="s">
        <v>236</v>
      </c>
      <c r="E1659" s="2">
        <v>13</v>
      </c>
      <c r="F1659" s="2">
        <v>250.45</v>
      </c>
    </row>
    <row r="1660" spans="3:6" x14ac:dyDescent="0.25">
      <c r="C1660" s="2" t="s">
        <v>9791</v>
      </c>
      <c r="D1660" s="2" t="s">
        <v>236</v>
      </c>
      <c r="E1660" s="2">
        <v>80</v>
      </c>
      <c r="F1660" s="2">
        <v>1525.56</v>
      </c>
    </row>
    <row r="1661" spans="3:6" x14ac:dyDescent="0.25">
      <c r="C1661" s="2" t="s">
        <v>9792</v>
      </c>
      <c r="D1661" s="2" t="s">
        <v>214</v>
      </c>
      <c r="E1661" s="2">
        <v>56</v>
      </c>
      <c r="F1661" s="2">
        <v>960.02</v>
      </c>
    </row>
    <row r="1662" spans="3:6" x14ac:dyDescent="0.25">
      <c r="C1662" s="2" t="s">
        <v>9793</v>
      </c>
      <c r="D1662" s="2" t="s">
        <v>214</v>
      </c>
      <c r="E1662" s="2">
        <v>100</v>
      </c>
      <c r="F1662" s="2">
        <v>1947.21</v>
      </c>
    </row>
    <row r="1663" spans="3:6" x14ac:dyDescent="0.25">
      <c r="C1663" s="2" t="s">
        <v>9794</v>
      </c>
      <c r="D1663" s="2" t="s">
        <v>214</v>
      </c>
      <c r="E1663" s="2">
        <v>100</v>
      </c>
      <c r="F1663" s="2">
        <v>2023.409</v>
      </c>
    </row>
    <row r="1664" spans="3:6" x14ac:dyDescent="0.25">
      <c r="C1664" s="2" t="s">
        <v>9795</v>
      </c>
      <c r="D1664" s="2" t="s">
        <v>214</v>
      </c>
      <c r="E1664" s="2">
        <v>56</v>
      </c>
      <c r="F1664" s="2">
        <v>1071.45</v>
      </c>
    </row>
    <row r="1665" spans="3:6" x14ac:dyDescent="0.25">
      <c r="C1665" s="2" t="s">
        <v>9796</v>
      </c>
      <c r="D1665" s="2" t="s">
        <v>214</v>
      </c>
      <c r="E1665" s="2">
        <v>100</v>
      </c>
      <c r="F1665" s="2">
        <v>1846.63</v>
      </c>
    </row>
    <row r="1666" spans="3:6" x14ac:dyDescent="0.25">
      <c r="C1666" s="2" t="s">
        <v>9797</v>
      </c>
      <c r="D1666" s="2" t="s">
        <v>214</v>
      </c>
      <c r="E1666" s="2">
        <v>56</v>
      </c>
      <c r="F1666" s="2">
        <v>1037.12</v>
      </c>
    </row>
    <row r="1667" spans="3:6" x14ac:dyDescent="0.25">
      <c r="C1667" s="2" t="s">
        <v>9798</v>
      </c>
      <c r="D1667" s="2" t="s">
        <v>214</v>
      </c>
      <c r="E1667" s="2">
        <v>56</v>
      </c>
      <c r="F1667" s="2">
        <v>1108.96</v>
      </c>
    </row>
    <row r="1668" spans="3:6" x14ac:dyDescent="0.25">
      <c r="C1668" s="2" t="s">
        <v>9799</v>
      </c>
      <c r="D1668" s="2" t="s">
        <v>214</v>
      </c>
      <c r="E1668" s="2">
        <v>100</v>
      </c>
      <c r="F1668" s="2">
        <v>1971.4</v>
      </c>
    </row>
    <row r="1669" spans="3:6" x14ac:dyDescent="0.25">
      <c r="C1669" s="2" t="s">
        <v>9800</v>
      </c>
      <c r="D1669" s="2" t="s">
        <v>214</v>
      </c>
      <c r="E1669" s="2">
        <v>56</v>
      </c>
      <c r="F1669" s="2">
        <v>1038.91</v>
      </c>
    </row>
    <row r="1670" spans="3:6" x14ac:dyDescent="0.25">
      <c r="C1670" s="2" t="s">
        <v>9801</v>
      </c>
      <c r="D1670" s="2" t="s">
        <v>214</v>
      </c>
      <c r="E1670" s="2">
        <v>100</v>
      </c>
      <c r="F1670" s="2">
        <v>1698.89</v>
      </c>
    </row>
    <row r="1671" spans="3:6" x14ac:dyDescent="0.25">
      <c r="C1671" s="2" t="s">
        <v>9802</v>
      </c>
      <c r="D1671" s="2" t="s">
        <v>214</v>
      </c>
      <c r="E1671" s="2">
        <v>100</v>
      </c>
      <c r="F1671" s="2">
        <v>1951.889</v>
      </c>
    </row>
    <row r="1672" spans="3:6" x14ac:dyDescent="0.25">
      <c r="C1672" s="2" t="s">
        <v>9803</v>
      </c>
      <c r="D1672" s="2" t="s">
        <v>214</v>
      </c>
      <c r="E1672" s="2">
        <v>56</v>
      </c>
      <c r="F1672" s="2">
        <v>974.81</v>
      </c>
    </row>
    <row r="1673" spans="3:6" x14ac:dyDescent="0.25">
      <c r="C1673" s="2" t="s">
        <v>9804</v>
      </c>
      <c r="D1673" s="2" t="s">
        <v>347</v>
      </c>
      <c r="E1673" s="2">
        <v>96</v>
      </c>
      <c r="F1673" s="2">
        <v>1773.688</v>
      </c>
    </row>
    <row r="1674" spans="3:6" x14ac:dyDescent="0.25">
      <c r="C1674" s="2" t="s">
        <v>9805</v>
      </c>
      <c r="D1674" s="2" t="s">
        <v>347</v>
      </c>
      <c r="E1674" s="2">
        <v>35</v>
      </c>
      <c r="F1674" s="2">
        <v>640.919</v>
      </c>
    </row>
    <row r="1675" spans="3:6" x14ac:dyDescent="0.25">
      <c r="C1675" s="2" t="s">
        <v>9806</v>
      </c>
      <c r="D1675" s="2" t="s">
        <v>347</v>
      </c>
      <c r="E1675" s="2">
        <v>25</v>
      </c>
      <c r="F1675" s="2">
        <v>453.62</v>
      </c>
    </row>
    <row r="1676" spans="3:6" x14ac:dyDescent="0.25">
      <c r="C1676" s="2" t="s">
        <v>9807</v>
      </c>
      <c r="D1676" s="2" t="s">
        <v>347</v>
      </c>
      <c r="E1676" s="2">
        <v>56</v>
      </c>
      <c r="F1676" s="2">
        <v>1066.74</v>
      </c>
    </row>
    <row r="1677" spans="3:6" x14ac:dyDescent="0.25">
      <c r="C1677" s="2" t="s">
        <v>9808</v>
      </c>
      <c r="D1677" s="2" t="s">
        <v>347</v>
      </c>
      <c r="E1677" s="2">
        <v>100</v>
      </c>
      <c r="F1677" s="2">
        <v>1879.269</v>
      </c>
    </row>
    <row r="1678" spans="3:6" x14ac:dyDescent="0.25">
      <c r="C1678" s="2" t="s">
        <v>9809</v>
      </c>
      <c r="D1678" s="2" t="s">
        <v>216</v>
      </c>
      <c r="E1678" s="2">
        <v>105</v>
      </c>
      <c r="F1678" s="2">
        <v>1982.87</v>
      </c>
    </row>
    <row r="1679" spans="3:6" x14ac:dyDescent="0.25">
      <c r="C1679" s="2" t="s">
        <v>9810</v>
      </c>
      <c r="D1679" s="2" t="s">
        <v>216</v>
      </c>
      <c r="E1679" s="2">
        <v>105</v>
      </c>
      <c r="F1679" s="2">
        <v>1920.57</v>
      </c>
    </row>
    <row r="1680" spans="3:6" x14ac:dyDescent="0.25">
      <c r="C1680" s="2" t="s">
        <v>9811</v>
      </c>
      <c r="D1680" s="2" t="s">
        <v>216</v>
      </c>
      <c r="E1680" s="2">
        <v>163</v>
      </c>
      <c r="F1680" s="2">
        <v>3029.6</v>
      </c>
    </row>
    <row r="1681" spans="3:6" x14ac:dyDescent="0.25">
      <c r="C1681" s="2" t="s">
        <v>9812</v>
      </c>
      <c r="D1681" s="2" t="s">
        <v>216</v>
      </c>
      <c r="E1681" s="2">
        <v>163</v>
      </c>
      <c r="F1681" s="2">
        <v>2938.73</v>
      </c>
    </row>
    <row r="1682" spans="3:6" x14ac:dyDescent="0.25">
      <c r="C1682" s="2" t="s">
        <v>9813</v>
      </c>
      <c r="D1682" s="2" t="s">
        <v>216</v>
      </c>
      <c r="E1682" s="2">
        <v>163</v>
      </c>
      <c r="F1682" s="2">
        <v>3210.628</v>
      </c>
    </row>
    <row r="1683" spans="3:6" x14ac:dyDescent="0.25">
      <c r="C1683" s="2" t="s">
        <v>9814</v>
      </c>
      <c r="D1683" s="2" t="s">
        <v>216</v>
      </c>
      <c r="E1683" s="2">
        <v>163</v>
      </c>
      <c r="F1683" s="2">
        <v>3112.249</v>
      </c>
    </row>
    <row r="1684" spans="3:6" x14ac:dyDescent="0.25">
      <c r="C1684" s="2" t="s">
        <v>9815</v>
      </c>
      <c r="D1684" s="2" t="s">
        <v>216</v>
      </c>
      <c r="E1684" s="2">
        <v>163</v>
      </c>
      <c r="F1684" s="2">
        <v>3253.289</v>
      </c>
    </row>
    <row r="1685" spans="3:6" x14ac:dyDescent="0.25">
      <c r="C1685" s="2" t="s">
        <v>9816</v>
      </c>
      <c r="D1685" s="2" t="s">
        <v>204</v>
      </c>
      <c r="E1685" s="2">
        <v>134</v>
      </c>
      <c r="F1685" s="2">
        <v>2494.467</v>
      </c>
    </row>
    <row r="1686" spans="3:6" x14ac:dyDescent="0.25">
      <c r="C1686" s="2" t="s">
        <v>9817</v>
      </c>
      <c r="D1686" s="2" t="s">
        <v>204</v>
      </c>
      <c r="E1686" s="2">
        <v>134</v>
      </c>
      <c r="F1686" s="2">
        <v>2514.529</v>
      </c>
    </row>
    <row r="1687" spans="3:6" x14ac:dyDescent="0.25">
      <c r="C1687" s="2" t="s">
        <v>9818</v>
      </c>
      <c r="D1687" s="2" t="s">
        <v>204</v>
      </c>
      <c r="E1687" s="2">
        <v>134</v>
      </c>
      <c r="F1687" s="2">
        <v>2517.55</v>
      </c>
    </row>
    <row r="1688" spans="3:6" x14ac:dyDescent="0.25">
      <c r="C1688" s="2" t="s">
        <v>9819</v>
      </c>
      <c r="D1688" s="2" t="s">
        <v>204</v>
      </c>
      <c r="E1688" s="2">
        <v>134</v>
      </c>
      <c r="F1688" s="2">
        <v>2506.229</v>
      </c>
    </row>
    <row r="1689" spans="3:6" x14ac:dyDescent="0.25">
      <c r="C1689" s="2" t="s">
        <v>9820</v>
      </c>
      <c r="D1689" s="2" t="s">
        <v>204</v>
      </c>
      <c r="E1689" s="2">
        <v>134</v>
      </c>
      <c r="F1689" s="2">
        <v>2404.528</v>
      </c>
    </row>
    <row r="1690" spans="3:6" x14ac:dyDescent="0.25">
      <c r="C1690" s="2" t="s">
        <v>9821</v>
      </c>
      <c r="D1690" s="2" t="s">
        <v>204</v>
      </c>
      <c r="E1690" s="2">
        <v>134</v>
      </c>
      <c r="F1690" s="2">
        <v>2564.509</v>
      </c>
    </row>
    <row r="1691" spans="3:6" x14ac:dyDescent="0.25">
      <c r="C1691" s="2" t="s">
        <v>9822</v>
      </c>
      <c r="D1691" s="2" t="s">
        <v>204</v>
      </c>
      <c r="E1691" s="2">
        <v>163</v>
      </c>
      <c r="F1691" s="2">
        <v>3118.179</v>
      </c>
    </row>
    <row r="1692" spans="3:6" x14ac:dyDescent="0.25">
      <c r="C1692" s="2" t="s">
        <v>9823</v>
      </c>
      <c r="D1692" s="2" t="s">
        <v>204</v>
      </c>
      <c r="E1692" s="2">
        <v>105</v>
      </c>
      <c r="F1692" s="2">
        <v>1893.81</v>
      </c>
    </row>
    <row r="1693" spans="3:6" x14ac:dyDescent="0.25">
      <c r="C1693" s="2" t="s">
        <v>9824</v>
      </c>
      <c r="D1693" s="2" t="s">
        <v>347</v>
      </c>
      <c r="E1693" s="2">
        <v>12</v>
      </c>
      <c r="F1693" s="2">
        <v>247</v>
      </c>
    </row>
    <row r="1695" spans="2:7" x14ac:dyDescent="0.25">
      <c r="B1695" s="2" t="s">
        <v>2077</v>
      </c>
      <c r="C1695" s="2" t="s">
        <v>9825</v>
      </c>
      <c r="D1695" s="2" t="s">
        <v>216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9826</v>
      </c>
      <c r="D1696" s="2" t="s">
        <v>204</v>
      </c>
      <c r="E1696" s="2">
        <v>148</v>
      </c>
      <c r="F1696" s="2">
        <v>2713.599</v>
      </c>
    </row>
    <row r="1697" spans="3:6" x14ac:dyDescent="0.25">
      <c r="C1697" s="2" t="s">
        <v>9827</v>
      </c>
      <c r="D1697" s="2" t="s">
        <v>216</v>
      </c>
      <c r="E1697" s="2">
        <v>105</v>
      </c>
      <c r="F1697" s="2">
        <v>1876.506</v>
      </c>
    </row>
    <row r="1698" spans="3:6" x14ac:dyDescent="0.25">
      <c r="C1698" s="2" t="s">
        <v>9828</v>
      </c>
      <c r="D1698" s="2" t="s">
        <v>216</v>
      </c>
      <c r="E1698" s="2">
        <v>106</v>
      </c>
      <c r="F1698" s="2">
        <v>1841.129</v>
      </c>
    </row>
    <row r="1699" spans="3:6" x14ac:dyDescent="0.25">
      <c r="C1699" s="2" t="s">
        <v>9829</v>
      </c>
      <c r="D1699" s="2" t="s">
        <v>297</v>
      </c>
      <c r="E1699" s="2">
        <v>156</v>
      </c>
      <c r="F1699" s="2">
        <v>2877.709</v>
      </c>
    </row>
    <row r="1700" spans="3:6" x14ac:dyDescent="0.25">
      <c r="C1700" s="2" t="s">
        <v>9830</v>
      </c>
      <c r="D1700" s="2" t="s">
        <v>297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1101</v>
      </c>
      <c r="C1702" s="2" t="s">
        <v>9831</v>
      </c>
      <c r="D1702" s="2" t="s">
        <v>20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9832</v>
      </c>
      <c r="D1703" s="2" t="s">
        <v>20</v>
      </c>
      <c r="E1703" s="2">
        <v>282</v>
      </c>
      <c r="F1703" s="2">
        <v>0</v>
      </c>
    </row>
    <row r="1704" spans="3:6" x14ac:dyDescent="0.25">
      <c r="C1704" s="2" t="s">
        <v>9833</v>
      </c>
      <c r="D1704" s="2" t="s">
        <v>20</v>
      </c>
      <c r="E1704" s="2">
        <v>268</v>
      </c>
      <c r="F1704" s="2">
        <v>5082.792</v>
      </c>
    </row>
    <row r="1705" spans="3:6" x14ac:dyDescent="0.25">
      <c r="C1705" s="2" t="s">
        <v>9834</v>
      </c>
      <c r="D1705" s="2" t="s">
        <v>20</v>
      </c>
      <c r="E1705" s="2">
        <v>105</v>
      </c>
      <c r="F1705" s="2">
        <v>0</v>
      </c>
    </row>
    <row r="1706" spans="3:6" x14ac:dyDescent="0.25">
      <c r="C1706" s="2" t="s">
        <v>9835</v>
      </c>
      <c r="D1706" s="2" t="s">
        <v>20</v>
      </c>
      <c r="E1706" s="2">
        <v>163</v>
      </c>
      <c r="F1706" s="2">
        <v>0</v>
      </c>
    </row>
    <row r="1707" spans="3:6" x14ac:dyDescent="0.25">
      <c r="C1707" s="2" t="s">
        <v>9836</v>
      </c>
      <c r="D1707" s="2" t="s">
        <v>20</v>
      </c>
      <c r="E1707" s="2">
        <v>163</v>
      </c>
      <c r="F1707" s="2">
        <v>3021.539</v>
      </c>
    </row>
    <row r="1708" spans="3:6" x14ac:dyDescent="0.25">
      <c r="C1708" s="2" t="s">
        <v>9837</v>
      </c>
      <c r="D1708" s="2" t="s">
        <v>20</v>
      </c>
      <c r="E1708" s="2">
        <v>105</v>
      </c>
      <c r="F1708" s="2">
        <v>2098.477</v>
      </c>
    </row>
    <row r="1709" spans="3:6" x14ac:dyDescent="0.25">
      <c r="C1709" s="2" t="s">
        <v>9838</v>
      </c>
      <c r="D1709" s="2" t="s">
        <v>20</v>
      </c>
      <c r="E1709" s="2">
        <v>105</v>
      </c>
      <c r="F1709" s="2">
        <v>1958.834</v>
      </c>
    </row>
    <row r="1710" spans="3:6" x14ac:dyDescent="0.25">
      <c r="C1710" s="2" t="s">
        <v>9839</v>
      </c>
      <c r="D1710" s="2" t="s">
        <v>20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9840</v>
      </c>
      <c r="C1712" s="2" t="s">
        <v>9841</v>
      </c>
      <c r="D1712" s="2" t="s">
        <v>20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9842</v>
      </c>
      <c r="D1713" s="2" t="s">
        <v>20</v>
      </c>
      <c r="E1713" s="2">
        <v>219</v>
      </c>
      <c r="F1713" s="2">
        <v>5224.69</v>
      </c>
    </row>
    <row r="1714" spans="3:6" x14ac:dyDescent="0.25">
      <c r="C1714" s="2" t="s">
        <v>9843</v>
      </c>
      <c r="D1714" s="2" t="s">
        <v>20</v>
      </c>
      <c r="E1714" s="2">
        <v>277</v>
      </c>
      <c r="F1714" s="2">
        <v>4824.423</v>
      </c>
    </row>
    <row r="1715" spans="3:6" x14ac:dyDescent="0.25">
      <c r="C1715" s="2" t="s">
        <v>9844</v>
      </c>
      <c r="D1715" s="2" t="s">
        <v>20</v>
      </c>
      <c r="E1715" s="2">
        <v>163</v>
      </c>
      <c r="F1715" s="2">
        <v>3127.69</v>
      </c>
    </row>
    <row r="1716" spans="3:6" x14ac:dyDescent="0.25">
      <c r="C1716" s="2" t="s">
        <v>9845</v>
      </c>
      <c r="D1716" s="2" t="s">
        <v>20</v>
      </c>
      <c r="E1716" s="2">
        <v>326</v>
      </c>
      <c r="F1716" s="2">
        <v>6329.487</v>
      </c>
    </row>
    <row r="1717" spans="3:6" x14ac:dyDescent="0.25">
      <c r="C1717" s="2" t="s">
        <v>9846</v>
      </c>
      <c r="D1717" s="2" t="s">
        <v>20</v>
      </c>
      <c r="E1717" s="2">
        <v>153</v>
      </c>
      <c r="F1717" s="2">
        <v>3053.15</v>
      </c>
    </row>
    <row r="1718" spans="3:6" x14ac:dyDescent="0.25">
      <c r="C1718" s="2" t="s">
        <v>9847</v>
      </c>
      <c r="D1718" s="2" t="s">
        <v>20</v>
      </c>
      <c r="E1718" s="2">
        <v>105</v>
      </c>
      <c r="F1718" s="2">
        <v>2094.56</v>
      </c>
    </row>
    <row r="1719" spans="3:6" x14ac:dyDescent="0.25">
      <c r="C1719" s="2" t="s">
        <v>9848</v>
      </c>
      <c r="D1719" s="2" t="s">
        <v>20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2738</v>
      </c>
      <c r="C1721" s="2" t="s">
        <v>9849</v>
      </c>
      <c r="D1721" s="2" t="s">
        <v>20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9850</v>
      </c>
      <c r="D1722" s="2" t="s">
        <v>20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9851</v>
      </c>
      <c r="C1724" s="2" t="s">
        <v>9852</v>
      </c>
      <c r="D1724" s="2" t="s">
        <v>204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4182</v>
      </c>
      <c r="C1726" s="2" t="s">
        <v>9853</v>
      </c>
      <c r="D1726" s="2" t="s">
        <v>122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9854</v>
      </c>
      <c r="D1727" s="2" t="s">
        <v>122</v>
      </c>
      <c r="E1727" s="2">
        <v>121</v>
      </c>
      <c r="F1727" s="2">
        <v>2424.079</v>
      </c>
    </row>
    <row r="1728" spans="3:6" x14ac:dyDescent="0.25">
      <c r="C1728" s="2" t="s">
        <v>9855</v>
      </c>
      <c r="D1728" s="2" t="s">
        <v>122</v>
      </c>
      <c r="E1728" s="2">
        <v>104</v>
      </c>
      <c r="F1728" s="2">
        <v>2142.112</v>
      </c>
    </row>
    <row r="1729" spans="3:6" x14ac:dyDescent="0.25">
      <c r="C1729" s="2" t="s">
        <v>9856</v>
      </c>
      <c r="D1729" s="2" t="s">
        <v>122</v>
      </c>
      <c r="E1729" s="2">
        <v>119</v>
      </c>
      <c r="F1729" s="2">
        <v>947.681</v>
      </c>
    </row>
    <row r="1730" spans="3:6" x14ac:dyDescent="0.25">
      <c r="C1730" s="2" t="s">
        <v>9857</v>
      </c>
      <c r="D1730" s="2" t="s">
        <v>122</v>
      </c>
      <c r="E1730" s="2">
        <v>131</v>
      </c>
      <c r="F1730" s="2">
        <v>2004.038</v>
      </c>
    </row>
    <row r="1731" spans="3:6" x14ac:dyDescent="0.25">
      <c r="C1731" s="2" t="s">
        <v>9858</v>
      </c>
      <c r="D1731" s="2" t="s">
        <v>122</v>
      </c>
      <c r="E1731" s="2">
        <v>102</v>
      </c>
      <c r="F1731" s="2">
        <v>2088.33</v>
      </c>
    </row>
    <row r="1732" spans="3:6" x14ac:dyDescent="0.25">
      <c r="C1732" s="2" t="s">
        <v>9859</v>
      </c>
      <c r="D1732" s="2" t="s">
        <v>122</v>
      </c>
      <c r="E1732" s="2">
        <v>40</v>
      </c>
      <c r="F1732" s="2">
        <v>780.33</v>
      </c>
    </row>
    <row r="1733" spans="3:6" x14ac:dyDescent="0.25">
      <c r="C1733" s="2" t="s">
        <v>9860</v>
      </c>
      <c r="D1733" s="2" t="s">
        <v>122</v>
      </c>
      <c r="E1733" s="2">
        <v>141</v>
      </c>
      <c r="F1733" s="2">
        <v>2959.58</v>
      </c>
    </row>
    <row r="1734" spans="3:6" x14ac:dyDescent="0.25">
      <c r="C1734" s="2" t="s">
        <v>9861</v>
      </c>
      <c r="D1734" s="2" t="s">
        <v>122</v>
      </c>
      <c r="E1734" s="2">
        <v>118</v>
      </c>
      <c r="F1734" s="2">
        <v>2458.71</v>
      </c>
    </row>
    <row r="1735" spans="3:6" x14ac:dyDescent="0.25">
      <c r="C1735" s="2" t="s">
        <v>9862</v>
      </c>
      <c r="D1735" s="2" t="s">
        <v>122</v>
      </c>
      <c r="E1735" s="2">
        <v>24</v>
      </c>
      <c r="F1735" s="2">
        <v>442.35</v>
      </c>
    </row>
    <row r="1736" spans="3:6" x14ac:dyDescent="0.25">
      <c r="C1736" s="2" t="s">
        <v>9863</v>
      </c>
      <c r="D1736" s="2" t="s">
        <v>122</v>
      </c>
      <c r="E1736" s="2">
        <v>108</v>
      </c>
      <c r="F1736" s="2">
        <v>2150.36</v>
      </c>
    </row>
    <row r="1737" spans="3:6" x14ac:dyDescent="0.25">
      <c r="C1737" s="2" t="s">
        <v>9864</v>
      </c>
      <c r="D1737" s="2" t="s">
        <v>122</v>
      </c>
      <c r="E1737" s="2">
        <v>34</v>
      </c>
      <c r="F1737" s="2">
        <v>606.18</v>
      </c>
    </row>
    <row r="1738" spans="3:6" x14ac:dyDescent="0.25">
      <c r="C1738" s="2" t="s">
        <v>9865</v>
      </c>
      <c r="D1738" s="2" t="s">
        <v>122</v>
      </c>
      <c r="E1738" s="2">
        <v>142</v>
      </c>
      <c r="F1738" s="2">
        <v>2527.35</v>
      </c>
    </row>
    <row r="1739" spans="3:6" x14ac:dyDescent="0.25">
      <c r="C1739" s="2" t="s">
        <v>9866</v>
      </c>
      <c r="D1739" s="2" t="s">
        <v>122</v>
      </c>
      <c r="E1739" s="2">
        <v>90</v>
      </c>
      <c r="F1739" s="2">
        <v>1857.48</v>
      </c>
    </row>
    <row r="1740" spans="3:6" x14ac:dyDescent="0.25">
      <c r="C1740" s="2" t="s">
        <v>9867</v>
      </c>
      <c r="D1740" s="2" t="s">
        <v>122</v>
      </c>
      <c r="E1740" s="2">
        <v>51</v>
      </c>
      <c r="F1740" s="2">
        <v>971.4</v>
      </c>
    </row>
    <row r="1741" spans="3:6" x14ac:dyDescent="0.25">
      <c r="C1741" s="2" t="s">
        <v>9868</v>
      </c>
      <c r="D1741" s="2" t="s">
        <v>122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324</v>
      </c>
      <c r="C1743" s="2" t="s">
        <v>9869</v>
      </c>
      <c r="D1743" s="2" t="s">
        <v>27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9870</v>
      </c>
      <c r="D1744" s="2" t="s">
        <v>27</v>
      </c>
      <c r="E1744" s="2">
        <v>58</v>
      </c>
      <c r="F1744" s="2">
        <v>1045.448</v>
      </c>
    </row>
    <row r="1745" spans="3:6" x14ac:dyDescent="0.25">
      <c r="C1745" s="2" t="s">
        <v>9871</v>
      </c>
      <c r="D1745" s="2" t="s">
        <v>27</v>
      </c>
      <c r="E1745" s="2">
        <v>43</v>
      </c>
      <c r="F1745" s="2">
        <v>736.98</v>
      </c>
    </row>
    <row r="1746" spans="3:6" x14ac:dyDescent="0.25">
      <c r="C1746" s="2" t="s">
        <v>9872</v>
      </c>
      <c r="D1746" s="2" t="s">
        <v>27</v>
      </c>
      <c r="E1746" s="2">
        <v>58</v>
      </c>
      <c r="F1746" s="2">
        <v>1224.4</v>
      </c>
    </row>
    <row r="1747" spans="3:6" x14ac:dyDescent="0.25">
      <c r="C1747" s="2" t="s">
        <v>9873</v>
      </c>
      <c r="D1747" s="2" t="s">
        <v>27</v>
      </c>
      <c r="E1747" s="2">
        <v>13</v>
      </c>
      <c r="F1747" s="2">
        <v>240.86</v>
      </c>
    </row>
    <row r="1748" spans="3:6" x14ac:dyDescent="0.25">
      <c r="C1748" s="2" t="s">
        <v>9874</v>
      </c>
      <c r="D1748" s="2" t="s">
        <v>27</v>
      </c>
      <c r="E1748" s="2">
        <v>15</v>
      </c>
      <c r="F1748" s="2">
        <v>355</v>
      </c>
    </row>
    <row r="1749" spans="3:6" x14ac:dyDescent="0.25">
      <c r="C1749" s="2" t="s">
        <v>9875</v>
      </c>
      <c r="D1749" s="2" t="s">
        <v>27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1289</v>
      </c>
      <c r="C1751" s="2" t="s">
        <v>9876</v>
      </c>
      <c r="D1751" s="2" t="s">
        <v>1288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8925</v>
      </c>
      <c r="C1753" s="2" t="s">
        <v>9877</v>
      </c>
      <c r="D1753" s="2" t="s">
        <v>122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9878</v>
      </c>
      <c r="D1754" s="2" t="s">
        <v>122</v>
      </c>
      <c r="E1754" s="2">
        <v>102</v>
      </c>
      <c r="F1754" s="2">
        <v>2049.65</v>
      </c>
    </row>
    <row r="1755" spans="3:6" x14ac:dyDescent="0.25">
      <c r="C1755" s="2" t="s">
        <v>9879</v>
      </c>
      <c r="D1755" s="2" t="s">
        <v>122</v>
      </c>
      <c r="E1755" s="2">
        <v>11</v>
      </c>
      <c r="F1755" s="2">
        <v>209.85</v>
      </c>
    </row>
    <row r="1756" spans="3:6" x14ac:dyDescent="0.25">
      <c r="C1756" s="2" t="s">
        <v>9880</v>
      </c>
      <c r="D1756" s="2" t="s">
        <v>122</v>
      </c>
      <c r="E1756" s="2">
        <v>10</v>
      </c>
      <c r="F1756" s="2">
        <v>199.02</v>
      </c>
    </row>
    <row r="1757" spans="3:6" x14ac:dyDescent="0.25">
      <c r="C1757" s="2" t="s">
        <v>9881</v>
      </c>
      <c r="D1757" s="2" t="s">
        <v>122</v>
      </c>
      <c r="E1757" s="2">
        <v>53</v>
      </c>
      <c r="F1757" s="2">
        <v>1040.57</v>
      </c>
    </row>
    <row r="1758" spans="3:6" x14ac:dyDescent="0.25">
      <c r="C1758" s="2" t="s">
        <v>9882</v>
      </c>
      <c r="D1758" s="2" t="s">
        <v>122</v>
      </c>
      <c r="E1758" s="2">
        <v>16</v>
      </c>
      <c r="F1758" s="2">
        <v>260.83</v>
      </c>
    </row>
    <row r="1759" spans="3:6" x14ac:dyDescent="0.25">
      <c r="C1759" s="2" t="s">
        <v>9883</v>
      </c>
      <c r="D1759" s="2" t="s">
        <v>122</v>
      </c>
      <c r="E1759" s="2">
        <v>32</v>
      </c>
      <c r="F1759" s="2">
        <v>622.74</v>
      </c>
    </row>
    <row r="1760" spans="3:6" x14ac:dyDescent="0.25">
      <c r="C1760" s="2" t="s">
        <v>9884</v>
      </c>
      <c r="D1760" s="2" t="s">
        <v>122</v>
      </c>
      <c r="E1760" s="2">
        <v>100</v>
      </c>
      <c r="F1760" s="2">
        <v>1967.8</v>
      </c>
    </row>
    <row r="1761" spans="3:6" x14ac:dyDescent="0.25">
      <c r="C1761" s="2" t="s">
        <v>9885</v>
      </c>
      <c r="D1761" s="2" t="s">
        <v>122</v>
      </c>
      <c r="E1761" s="2">
        <v>21</v>
      </c>
      <c r="F1761" s="2">
        <v>407.81</v>
      </c>
    </row>
    <row r="1762" spans="3:6" x14ac:dyDescent="0.25">
      <c r="C1762" s="2" t="s">
        <v>9886</v>
      </c>
      <c r="D1762" s="2" t="s">
        <v>122</v>
      </c>
      <c r="E1762" s="2">
        <v>134</v>
      </c>
      <c r="F1762" s="2">
        <v>2749.009</v>
      </c>
    </row>
    <row r="1763" spans="3:6" x14ac:dyDescent="0.25">
      <c r="C1763" s="2" t="s">
        <v>9887</v>
      </c>
      <c r="D1763" s="2" t="s">
        <v>122</v>
      </c>
      <c r="E1763" s="2">
        <v>141</v>
      </c>
      <c r="F1763" s="2">
        <v>2701.488</v>
      </c>
    </row>
    <row r="1764" spans="3:6" x14ac:dyDescent="0.25">
      <c r="C1764" s="2" t="s">
        <v>9888</v>
      </c>
      <c r="D1764" s="2" t="s">
        <v>122</v>
      </c>
      <c r="E1764" s="2">
        <v>95</v>
      </c>
      <c r="F1764" s="2">
        <v>1759.51</v>
      </c>
    </row>
    <row r="1765" spans="3:6" x14ac:dyDescent="0.25">
      <c r="C1765" s="2" t="s">
        <v>9889</v>
      </c>
      <c r="D1765" s="2" t="s">
        <v>122</v>
      </c>
      <c r="E1765" s="2">
        <v>46</v>
      </c>
      <c r="F1765" s="2">
        <v>858.2</v>
      </c>
    </row>
    <row r="1766" spans="3:6" x14ac:dyDescent="0.25">
      <c r="C1766" s="2" t="s">
        <v>9890</v>
      </c>
      <c r="D1766" s="2" t="s">
        <v>122</v>
      </c>
      <c r="E1766" s="2">
        <v>86</v>
      </c>
      <c r="F1766" s="2">
        <v>1370.34</v>
      </c>
    </row>
    <row r="1767" spans="3:6" x14ac:dyDescent="0.25">
      <c r="C1767" s="2" t="s">
        <v>9891</v>
      </c>
      <c r="D1767" s="2" t="s">
        <v>122</v>
      </c>
      <c r="E1767" s="2">
        <v>41</v>
      </c>
      <c r="F1767" s="2">
        <v>783.119</v>
      </c>
    </row>
    <row r="1768" spans="3:6" x14ac:dyDescent="0.25">
      <c r="C1768" s="2" t="s">
        <v>9892</v>
      </c>
      <c r="D1768" s="2" t="s">
        <v>122</v>
      </c>
      <c r="E1768" s="2">
        <v>21</v>
      </c>
      <c r="F1768" s="2">
        <v>391.48</v>
      </c>
    </row>
    <row r="1769" spans="3:6" x14ac:dyDescent="0.25">
      <c r="C1769" s="2" t="s">
        <v>9893</v>
      </c>
      <c r="D1769" s="2" t="s">
        <v>122</v>
      </c>
      <c r="E1769" s="2">
        <v>141</v>
      </c>
      <c r="F1769" s="2">
        <v>2847.96</v>
      </c>
    </row>
    <row r="1770" spans="3:6" x14ac:dyDescent="0.25">
      <c r="C1770" s="2" t="s">
        <v>9894</v>
      </c>
      <c r="D1770" s="2" t="s">
        <v>122</v>
      </c>
      <c r="E1770" s="2">
        <v>141</v>
      </c>
      <c r="F1770" s="2">
        <v>2882.759</v>
      </c>
    </row>
    <row r="1771" spans="3:6" x14ac:dyDescent="0.25">
      <c r="C1771" s="2" t="s">
        <v>9895</v>
      </c>
      <c r="D1771" s="2" t="s">
        <v>122</v>
      </c>
      <c r="E1771" s="2">
        <v>87</v>
      </c>
      <c r="F1771" s="2">
        <v>398.848</v>
      </c>
    </row>
    <row r="1772" spans="3:6" x14ac:dyDescent="0.25">
      <c r="C1772" s="2" t="s">
        <v>9896</v>
      </c>
      <c r="D1772" s="2" t="s">
        <v>122</v>
      </c>
      <c r="E1772" s="2">
        <v>63</v>
      </c>
      <c r="F1772" s="2">
        <v>275.699</v>
      </c>
    </row>
    <row r="1773" spans="3:6" x14ac:dyDescent="0.25">
      <c r="C1773" s="2" t="s">
        <v>9897</v>
      </c>
      <c r="D1773" s="2" t="s">
        <v>122</v>
      </c>
      <c r="E1773" s="2">
        <v>122</v>
      </c>
      <c r="F1773" s="2">
        <v>2493.44</v>
      </c>
    </row>
    <row r="1774" spans="3:6" x14ac:dyDescent="0.25">
      <c r="C1774" s="2" t="s">
        <v>9898</v>
      </c>
      <c r="D1774" s="2" t="s">
        <v>122</v>
      </c>
      <c r="E1774" s="2">
        <v>78</v>
      </c>
      <c r="F1774" s="2">
        <v>1601.089</v>
      </c>
    </row>
    <row r="1775" spans="3:6" x14ac:dyDescent="0.25">
      <c r="C1775" s="2" t="s">
        <v>9899</v>
      </c>
      <c r="D1775" s="2" t="s">
        <v>122</v>
      </c>
      <c r="E1775" s="2">
        <v>43</v>
      </c>
      <c r="F1775" s="2">
        <v>861.75</v>
      </c>
    </row>
    <row r="1776" spans="3:6" x14ac:dyDescent="0.25">
      <c r="C1776" s="2" t="s">
        <v>9900</v>
      </c>
      <c r="D1776" s="2" t="s">
        <v>122</v>
      </c>
      <c r="E1776" s="2">
        <v>141</v>
      </c>
      <c r="F1776" s="2">
        <v>2860.15</v>
      </c>
    </row>
    <row r="1777" spans="3:6" x14ac:dyDescent="0.25">
      <c r="C1777" s="2" t="s">
        <v>9901</v>
      </c>
      <c r="D1777" s="2" t="s">
        <v>122</v>
      </c>
      <c r="E1777" s="2">
        <v>143</v>
      </c>
      <c r="F1777" s="2">
        <v>2731.58</v>
      </c>
    </row>
    <row r="1778" spans="3:6" x14ac:dyDescent="0.25">
      <c r="C1778" s="2" t="s">
        <v>9902</v>
      </c>
      <c r="D1778" s="2" t="s">
        <v>122</v>
      </c>
      <c r="E1778" s="2">
        <v>77</v>
      </c>
      <c r="F1778" s="2">
        <v>2411.231</v>
      </c>
    </row>
    <row r="1779" spans="3:6" x14ac:dyDescent="0.25">
      <c r="C1779" s="2" t="s">
        <v>9903</v>
      </c>
      <c r="D1779" s="2" t="s">
        <v>122</v>
      </c>
      <c r="E1779" s="2">
        <v>71</v>
      </c>
      <c r="F1779" s="2">
        <v>1353.88</v>
      </c>
    </row>
    <row r="1780" spans="3:6" x14ac:dyDescent="0.25">
      <c r="C1780" s="2" t="s">
        <v>9904</v>
      </c>
      <c r="D1780" s="2" t="s">
        <v>122</v>
      </c>
      <c r="E1780" s="2">
        <v>70</v>
      </c>
      <c r="F1780" s="2">
        <v>1381.88</v>
      </c>
    </row>
    <row r="1781" spans="3:6" x14ac:dyDescent="0.25">
      <c r="C1781" s="2" t="s">
        <v>9905</v>
      </c>
      <c r="D1781" s="2" t="s">
        <v>122</v>
      </c>
      <c r="E1781" s="2">
        <v>102</v>
      </c>
      <c r="F1781" s="2">
        <v>1882.889</v>
      </c>
    </row>
    <row r="1782" spans="3:6" x14ac:dyDescent="0.25">
      <c r="C1782" s="2" t="s">
        <v>9906</v>
      </c>
      <c r="D1782" s="2" t="s">
        <v>122</v>
      </c>
      <c r="E1782" s="2">
        <v>79</v>
      </c>
      <c r="F1782" s="2">
        <v>1465.659</v>
      </c>
    </row>
    <row r="1783" spans="3:6" x14ac:dyDescent="0.25">
      <c r="C1783" s="2" t="s">
        <v>9907</v>
      </c>
      <c r="D1783" s="2" t="s">
        <v>122</v>
      </c>
      <c r="E1783" s="2">
        <v>23</v>
      </c>
      <c r="F1783" s="2">
        <v>405.59</v>
      </c>
    </row>
    <row r="1784" spans="3:6" x14ac:dyDescent="0.25">
      <c r="C1784" s="2" t="s">
        <v>9908</v>
      </c>
      <c r="D1784" s="2" t="s">
        <v>122</v>
      </c>
      <c r="E1784" s="2">
        <v>102</v>
      </c>
      <c r="F1784" s="2">
        <v>2057.79</v>
      </c>
    </row>
    <row r="1785" spans="3:6" x14ac:dyDescent="0.25">
      <c r="C1785" s="2" t="s">
        <v>9909</v>
      </c>
      <c r="D1785" s="2" t="s">
        <v>122</v>
      </c>
      <c r="E1785" s="2">
        <v>102</v>
      </c>
      <c r="F1785" s="2">
        <v>2096.61</v>
      </c>
    </row>
    <row r="1786" spans="3:6" x14ac:dyDescent="0.25">
      <c r="C1786" s="2" t="s">
        <v>9910</v>
      </c>
      <c r="D1786" s="2" t="s">
        <v>122</v>
      </c>
      <c r="E1786" s="2">
        <v>141</v>
      </c>
      <c r="F1786" s="2">
        <v>2950.99</v>
      </c>
    </row>
    <row r="1787" spans="3:6" x14ac:dyDescent="0.25">
      <c r="C1787" s="2" t="s">
        <v>9911</v>
      </c>
      <c r="D1787" s="2" t="s">
        <v>122</v>
      </c>
      <c r="E1787" s="2">
        <v>141</v>
      </c>
      <c r="F1787" s="2">
        <v>2765.55</v>
      </c>
    </row>
    <row r="1788" spans="3:6" x14ac:dyDescent="0.25">
      <c r="C1788" s="2" t="s">
        <v>9912</v>
      </c>
      <c r="D1788" s="2" t="s">
        <v>122</v>
      </c>
      <c r="E1788" s="2">
        <v>141</v>
      </c>
      <c r="F1788" s="2">
        <v>2875.529</v>
      </c>
    </row>
    <row r="1789" spans="3:6" x14ac:dyDescent="0.25">
      <c r="C1789" s="2" t="s">
        <v>9913</v>
      </c>
      <c r="D1789" s="2" t="s">
        <v>122</v>
      </c>
      <c r="E1789" s="2">
        <v>141</v>
      </c>
      <c r="F1789" s="2">
        <v>2952.59</v>
      </c>
    </row>
    <row r="1790" spans="3:6" x14ac:dyDescent="0.25">
      <c r="C1790" s="2" t="s">
        <v>9914</v>
      </c>
      <c r="D1790" s="2" t="s">
        <v>122</v>
      </c>
      <c r="E1790" s="2">
        <v>52</v>
      </c>
      <c r="F1790" s="2">
        <v>997.32</v>
      </c>
    </row>
    <row r="1791" spans="3:6" x14ac:dyDescent="0.25">
      <c r="C1791" s="2" t="s">
        <v>9915</v>
      </c>
      <c r="D1791" s="2" t="s">
        <v>122</v>
      </c>
      <c r="E1791" s="2">
        <v>35</v>
      </c>
      <c r="F1791" s="2">
        <v>694.97</v>
      </c>
    </row>
    <row r="1792" spans="3:6" x14ac:dyDescent="0.25">
      <c r="C1792" s="2" t="s">
        <v>9916</v>
      </c>
      <c r="D1792" s="2" t="s">
        <v>122</v>
      </c>
      <c r="E1792" s="2">
        <v>25</v>
      </c>
      <c r="F1792" s="2">
        <v>528.63</v>
      </c>
    </row>
    <row r="1793" spans="3:6" x14ac:dyDescent="0.25">
      <c r="C1793" s="2" t="s">
        <v>9917</v>
      </c>
      <c r="D1793" s="2" t="s">
        <v>122</v>
      </c>
      <c r="E1793" s="2">
        <v>29</v>
      </c>
      <c r="F1793" s="2">
        <v>590.39</v>
      </c>
    </row>
    <row r="1794" spans="3:6" x14ac:dyDescent="0.25">
      <c r="C1794" s="2" t="s">
        <v>9918</v>
      </c>
      <c r="D1794" s="2" t="s">
        <v>122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10</v>
      </c>
      <c r="C1796" s="2" t="s">
        <v>9919</v>
      </c>
      <c r="D1796" s="2" t="s">
        <v>12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9920</v>
      </c>
      <c r="D1797" s="2" t="s">
        <v>12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503</v>
      </c>
      <c r="C1799" s="2" t="s">
        <v>9921</v>
      </c>
      <c r="D1799" s="2" t="s">
        <v>42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453</v>
      </c>
      <c r="C1801" s="2" t="s">
        <v>9922</v>
      </c>
      <c r="D1801" s="2" t="s">
        <v>204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9923</v>
      </c>
      <c r="D1802" s="2" t="s">
        <v>204</v>
      </c>
      <c r="E1802" s="2">
        <v>163</v>
      </c>
      <c r="F1802" s="2">
        <v>2972.198</v>
      </c>
    </row>
    <row r="1803" spans="3:6" x14ac:dyDescent="0.25">
      <c r="C1803" s="2" t="s">
        <v>9924</v>
      </c>
      <c r="D1803" s="2" t="s">
        <v>204</v>
      </c>
      <c r="E1803" s="2">
        <v>163</v>
      </c>
      <c r="F1803" s="2">
        <v>3040.67</v>
      </c>
    </row>
    <row r="1804" spans="3:6" x14ac:dyDescent="0.25">
      <c r="C1804" s="2" t="s">
        <v>9925</v>
      </c>
      <c r="D1804" s="2" t="s">
        <v>204</v>
      </c>
      <c r="E1804" s="2">
        <v>94</v>
      </c>
      <c r="F1804" s="2">
        <v>1739.159</v>
      </c>
    </row>
    <row r="1805" spans="3:6" x14ac:dyDescent="0.25">
      <c r="C1805" s="2" t="s">
        <v>9926</v>
      </c>
      <c r="D1805" s="2" t="s">
        <v>204</v>
      </c>
      <c r="E1805" s="2">
        <v>69</v>
      </c>
      <c r="F1805" s="2">
        <v>1304</v>
      </c>
    </row>
    <row r="1806" spans="3:6" x14ac:dyDescent="0.25">
      <c r="C1806" s="2" t="s">
        <v>9927</v>
      </c>
      <c r="D1806" s="2" t="s">
        <v>204</v>
      </c>
      <c r="E1806" s="2">
        <v>163</v>
      </c>
      <c r="F1806" s="2">
        <v>3055.17</v>
      </c>
    </row>
    <row r="1807" spans="3:6" x14ac:dyDescent="0.25">
      <c r="C1807" s="2" t="s">
        <v>9928</v>
      </c>
      <c r="D1807" s="2" t="s">
        <v>204</v>
      </c>
      <c r="E1807" s="2">
        <v>105</v>
      </c>
      <c r="F1807" s="2">
        <v>2101.339</v>
      </c>
    </row>
    <row r="1808" spans="3:6" x14ac:dyDescent="0.25">
      <c r="C1808" s="2" t="s">
        <v>9929</v>
      </c>
      <c r="D1808" s="2" t="s">
        <v>204</v>
      </c>
      <c r="E1808" s="2">
        <v>105</v>
      </c>
      <c r="F1808" s="2">
        <v>1826.759</v>
      </c>
    </row>
    <row r="1809" spans="3:6" x14ac:dyDescent="0.25">
      <c r="C1809" s="2" t="s">
        <v>9930</v>
      </c>
      <c r="D1809" s="2" t="s">
        <v>204</v>
      </c>
      <c r="E1809" s="2">
        <v>276</v>
      </c>
      <c r="F1809" s="2">
        <v>696.167</v>
      </c>
    </row>
    <row r="1810" spans="3:6" x14ac:dyDescent="0.25">
      <c r="C1810" s="2" t="s">
        <v>9931</v>
      </c>
      <c r="D1810" s="2" t="s">
        <v>204</v>
      </c>
      <c r="E1810" s="2">
        <v>36</v>
      </c>
      <c r="F1810" s="2">
        <v>684</v>
      </c>
    </row>
    <row r="1811" spans="3:6" x14ac:dyDescent="0.25">
      <c r="C1811" s="2" t="s">
        <v>9932</v>
      </c>
      <c r="D1811" s="2" t="s">
        <v>214</v>
      </c>
      <c r="E1811" s="2">
        <v>100</v>
      </c>
      <c r="F1811" s="2">
        <v>1822.44</v>
      </c>
    </row>
    <row r="1812" spans="3:6" x14ac:dyDescent="0.25">
      <c r="C1812" s="2" t="s">
        <v>9933</v>
      </c>
      <c r="D1812" s="2" t="s">
        <v>214</v>
      </c>
      <c r="E1812" s="2">
        <v>56</v>
      </c>
      <c r="F1812" s="2">
        <v>1050.82</v>
      </c>
    </row>
    <row r="1813" spans="3:6" x14ac:dyDescent="0.25">
      <c r="C1813" s="2" t="s">
        <v>9934</v>
      </c>
      <c r="D1813" s="2" t="s">
        <v>214</v>
      </c>
      <c r="E1813" s="2">
        <v>100</v>
      </c>
      <c r="F1813" s="2">
        <v>1998.52</v>
      </c>
    </row>
    <row r="1814" spans="3:6" x14ac:dyDescent="0.25">
      <c r="C1814" s="2" t="s">
        <v>9935</v>
      </c>
      <c r="D1814" s="2" t="s">
        <v>214</v>
      </c>
      <c r="E1814" s="2">
        <v>56</v>
      </c>
      <c r="F1814" s="2">
        <v>1109.08</v>
      </c>
    </row>
    <row r="1815" spans="3:6" x14ac:dyDescent="0.25">
      <c r="C1815" s="2" t="s">
        <v>9936</v>
      </c>
      <c r="D1815" s="2" t="s">
        <v>214</v>
      </c>
      <c r="E1815" s="2">
        <v>100</v>
      </c>
      <c r="F1815" s="2">
        <v>1823.07</v>
      </c>
    </row>
    <row r="1816" spans="3:6" x14ac:dyDescent="0.25">
      <c r="C1816" s="2" t="s">
        <v>9937</v>
      </c>
      <c r="D1816" s="2" t="s">
        <v>214</v>
      </c>
      <c r="E1816" s="2">
        <v>56</v>
      </c>
      <c r="F1816" s="2">
        <v>1134.01</v>
      </c>
    </row>
    <row r="1817" spans="3:6" x14ac:dyDescent="0.25">
      <c r="C1817" s="2" t="s">
        <v>9938</v>
      </c>
      <c r="D1817" s="2" t="s">
        <v>214</v>
      </c>
      <c r="E1817" s="2">
        <v>100</v>
      </c>
      <c r="F1817" s="2">
        <v>1909.54</v>
      </c>
    </row>
    <row r="1818" spans="3:6" x14ac:dyDescent="0.25">
      <c r="C1818" s="2" t="s">
        <v>9939</v>
      </c>
      <c r="D1818" s="2" t="s">
        <v>214</v>
      </c>
      <c r="E1818" s="2">
        <v>56</v>
      </c>
      <c r="F1818" s="2">
        <v>1139.65</v>
      </c>
    </row>
    <row r="1819" spans="3:6" x14ac:dyDescent="0.25">
      <c r="C1819" s="2" t="s">
        <v>9940</v>
      </c>
      <c r="D1819" s="2" t="s">
        <v>214</v>
      </c>
      <c r="E1819" s="2">
        <v>56</v>
      </c>
      <c r="F1819" s="2">
        <v>1040.828</v>
      </c>
    </row>
    <row r="1820" spans="3:6" x14ac:dyDescent="0.25">
      <c r="C1820" s="2" t="s">
        <v>9941</v>
      </c>
      <c r="D1820" s="2" t="s">
        <v>214</v>
      </c>
      <c r="E1820" s="2">
        <v>100</v>
      </c>
      <c r="F1820" s="2">
        <v>1952.699</v>
      </c>
    </row>
    <row r="1821" spans="3:6" x14ac:dyDescent="0.25">
      <c r="C1821" s="2" t="s">
        <v>9942</v>
      </c>
      <c r="D1821" s="2" t="s">
        <v>214</v>
      </c>
      <c r="E1821" s="2">
        <v>56</v>
      </c>
      <c r="F1821" s="2">
        <v>1105.84</v>
      </c>
    </row>
    <row r="1822" spans="3:6" x14ac:dyDescent="0.25">
      <c r="C1822" s="2" t="s">
        <v>9943</v>
      </c>
      <c r="D1822" s="2" t="s">
        <v>214</v>
      </c>
      <c r="E1822" s="2">
        <v>100</v>
      </c>
      <c r="F1822" s="2">
        <v>1980.509</v>
      </c>
    </row>
    <row r="1823" spans="3:6" x14ac:dyDescent="0.25">
      <c r="C1823" s="2" t="s">
        <v>9944</v>
      </c>
      <c r="D1823" s="2" t="s">
        <v>216</v>
      </c>
      <c r="E1823" s="2">
        <v>134</v>
      </c>
      <c r="F1823" s="2">
        <v>2573.579</v>
      </c>
    </row>
    <row r="1824" spans="3:6" x14ac:dyDescent="0.25">
      <c r="C1824" s="2" t="s">
        <v>9945</v>
      </c>
      <c r="D1824" s="2" t="s">
        <v>216</v>
      </c>
      <c r="E1824" s="2">
        <v>134</v>
      </c>
      <c r="F1824" s="2">
        <v>2461.249</v>
      </c>
    </row>
    <row r="1825" spans="3:6" x14ac:dyDescent="0.25">
      <c r="C1825" s="2" t="s">
        <v>9946</v>
      </c>
      <c r="D1825" s="2" t="s">
        <v>216</v>
      </c>
      <c r="E1825" s="2">
        <v>134</v>
      </c>
      <c r="F1825" s="2">
        <v>2636.47</v>
      </c>
    </row>
    <row r="1826" spans="3:6" x14ac:dyDescent="0.25">
      <c r="C1826" s="2" t="s">
        <v>9947</v>
      </c>
      <c r="D1826" s="2" t="s">
        <v>216</v>
      </c>
      <c r="E1826" s="2">
        <v>134</v>
      </c>
      <c r="F1826" s="2">
        <v>2576.73</v>
      </c>
    </row>
    <row r="1827" spans="3:6" x14ac:dyDescent="0.25">
      <c r="C1827" s="2" t="s">
        <v>9948</v>
      </c>
      <c r="D1827" s="2" t="s">
        <v>216</v>
      </c>
      <c r="E1827" s="2">
        <v>134</v>
      </c>
      <c r="F1827" s="2">
        <v>2761.949</v>
      </c>
    </row>
    <row r="1828" spans="3:6" x14ac:dyDescent="0.25">
      <c r="C1828" s="2" t="s">
        <v>9949</v>
      </c>
      <c r="D1828" s="2" t="s">
        <v>216</v>
      </c>
      <c r="E1828" s="2">
        <v>134</v>
      </c>
      <c r="F1828" s="2">
        <v>2627.31</v>
      </c>
    </row>
    <row r="1829" spans="3:6" x14ac:dyDescent="0.25">
      <c r="C1829" s="2" t="s">
        <v>9950</v>
      </c>
      <c r="D1829" s="2" t="s">
        <v>216</v>
      </c>
      <c r="E1829" s="2">
        <v>156</v>
      </c>
      <c r="F1829" s="2">
        <v>2807.299</v>
      </c>
    </row>
    <row r="1830" spans="3:6" x14ac:dyDescent="0.25">
      <c r="C1830" s="2" t="s">
        <v>9951</v>
      </c>
      <c r="D1830" s="2" t="s">
        <v>216</v>
      </c>
      <c r="E1830" s="2">
        <v>163</v>
      </c>
      <c r="F1830" s="2">
        <v>3231.83</v>
      </c>
    </row>
    <row r="1831" spans="3:6" x14ac:dyDescent="0.25">
      <c r="C1831" s="2" t="s">
        <v>9952</v>
      </c>
      <c r="D1831" s="2" t="s">
        <v>216</v>
      </c>
      <c r="E1831" s="2">
        <v>163</v>
      </c>
      <c r="F1831" s="2">
        <v>3144.6</v>
      </c>
    </row>
    <row r="1832" spans="3:6" x14ac:dyDescent="0.25">
      <c r="C1832" s="2" t="s">
        <v>9953</v>
      </c>
      <c r="D1832" s="2" t="s">
        <v>216</v>
      </c>
      <c r="E1832" s="2">
        <v>58</v>
      </c>
      <c r="F1832" s="2">
        <v>1068.38</v>
      </c>
    </row>
    <row r="1833" spans="3:6" x14ac:dyDescent="0.25">
      <c r="C1833" s="2" t="s">
        <v>9954</v>
      </c>
      <c r="D1833" s="2" t="s">
        <v>216</v>
      </c>
      <c r="E1833" s="2">
        <v>35</v>
      </c>
      <c r="F1833" s="2">
        <v>740.02</v>
      </c>
    </row>
    <row r="1834" spans="3:6" x14ac:dyDescent="0.25">
      <c r="C1834" s="2" t="s">
        <v>9955</v>
      </c>
      <c r="D1834" s="2" t="s">
        <v>236</v>
      </c>
      <c r="E1834" s="2">
        <v>6</v>
      </c>
      <c r="F1834" s="2">
        <v>120</v>
      </c>
    </row>
    <row r="1835" spans="3:6" x14ac:dyDescent="0.25">
      <c r="C1835" s="2" t="s">
        <v>9956</v>
      </c>
      <c r="D1835" s="2" t="s">
        <v>236</v>
      </c>
      <c r="E1835" s="2">
        <v>19</v>
      </c>
      <c r="F1835" s="2">
        <v>367.95</v>
      </c>
    </row>
    <row r="1836" spans="3:6" x14ac:dyDescent="0.25">
      <c r="C1836" s="2" t="s">
        <v>9957</v>
      </c>
      <c r="D1836" s="2" t="s">
        <v>236</v>
      </c>
      <c r="E1836" s="2">
        <v>80</v>
      </c>
      <c r="F1836" s="2">
        <v>1628.12</v>
      </c>
    </row>
    <row r="1837" spans="3:6" x14ac:dyDescent="0.25">
      <c r="C1837" s="2" t="s">
        <v>9958</v>
      </c>
      <c r="D1837" s="2" t="s">
        <v>236</v>
      </c>
      <c r="E1837" s="2">
        <v>45</v>
      </c>
      <c r="F1837" s="2">
        <v>812.1</v>
      </c>
    </row>
    <row r="1838" spans="3:6" x14ac:dyDescent="0.25">
      <c r="C1838" s="2" t="s">
        <v>9959</v>
      </c>
      <c r="D1838" s="2" t="s">
        <v>236</v>
      </c>
      <c r="E1838" s="2">
        <v>60</v>
      </c>
      <c r="F1838" s="2">
        <v>1047.14</v>
      </c>
    </row>
    <row r="1839" spans="3:6" x14ac:dyDescent="0.25">
      <c r="C1839" s="2" t="s">
        <v>9960</v>
      </c>
      <c r="D1839" s="2" t="s">
        <v>236</v>
      </c>
      <c r="E1839" s="2">
        <v>60</v>
      </c>
      <c r="F1839" s="2">
        <v>1104.17</v>
      </c>
    </row>
    <row r="1840" spans="3:6" x14ac:dyDescent="0.25">
      <c r="C1840" s="2" t="s">
        <v>9961</v>
      </c>
      <c r="D1840" s="2" t="s">
        <v>236</v>
      </c>
      <c r="E1840" s="2">
        <v>45</v>
      </c>
      <c r="F1840" s="2">
        <v>776.859</v>
      </c>
    </row>
    <row r="1841" spans="3:6" x14ac:dyDescent="0.25">
      <c r="C1841" s="2" t="s">
        <v>9962</v>
      </c>
      <c r="D1841" s="2" t="s">
        <v>236</v>
      </c>
      <c r="E1841" s="2">
        <v>45</v>
      </c>
      <c r="F1841" s="2">
        <v>859.75</v>
      </c>
    </row>
    <row r="1842" spans="3:6" x14ac:dyDescent="0.25">
      <c r="C1842" s="2" t="s">
        <v>9963</v>
      </c>
      <c r="D1842" s="2" t="s">
        <v>236</v>
      </c>
      <c r="E1842" s="2">
        <v>60</v>
      </c>
      <c r="F1842" s="2">
        <v>1088.26</v>
      </c>
    </row>
    <row r="1843" spans="3:6" x14ac:dyDescent="0.25">
      <c r="C1843" s="2" t="s">
        <v>9964</v>
      </c>
      <c r="D1843" s="2" t="s">
        <v>347</v>
      </c>
      <c r="E1843" s="2">
        <v>6</v>
      </c>
      <c r="F1843" s="2">
        <v>114.37</v>
      </c>
    </row>
    <row r="1844" spans="3:6" x14ac:dyDescent="0.25">
      <c r="C1844" s="2" t="s">
        <v>9965</v>
      </c>
      <c r="D1844" s="2" t="s">
        <v>347</v>
      </c>
      <c r="E1844" s="2">
        <v>71</v>
      </c>
      <c r="F1844" s="2">
        <v>1305.93</v>
      </c>
    </row>
    <row r="1845" spans="3:6" x14ac:dyDescent="0.25">
      <c r="C1845" s="2" t="s">
        <v>9966</v>
      </c>
      <c r="D1845" s="2" t="s">
        <v>347</v>
      </c>
      <c r="E1845" s="2">
        <v>79</v>
      </c>
      <c r="F1845" s="2">
        <v>1457.399</v>
      </c>
    </row>
    <row r="1846" spans="3:6" x14ac:dyDescent="0.25">
      <c r="C1846" s="2" t="s">
        <v>9967</v>
      </c>
      <c r="D1846" s="2" t="s">
        <v>342</v>
      </c>
      <c r="E1846" s="2">
        <v>61</v>
      </c>
      <c r="F1846" s="2">
        <v>1014.689</v>
      </c>
    </row>
    <row r="1847" spans="3:6" x14ac:dyDescent="0.25">
      <c r="C1847" s="2" t="s">
        <v>9968</v>
      </c>
      <c r="D1847" s="2" t="s">
        <v>342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9969</v>
      </c>
      <c r="C1849" s="2" t="s">
        <v>9970</v>
      </c>
      <c r="D1849" s="2" t="s">
        <v>8441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9971</v>
      </c>
      <c r="C1851" s="2" t="s">
        <v>9972</v>
      </c>
      <c r="D1851" s="2" t="s">
        <v>8924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9467</v>
      </c>
      <c r="C1853" s="2" t="s">
        <v>9973</v>
      </c>
      <c r="D1853" s="2" t="s">
        <v>204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5633</v>
      </c>
      <c r="C1855" s="2" t="s">
        <v>9974</v>
      </c>
      <c r="D1855" s="2" t="s">
        <v>27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9975</v>
      </c>
      <c r="D1856" s="2" t="s">
        <v>27</v>
      </c>
      <c r="E1856" s="2">
        <v>90</v>
      </c>
      <c r="F1856" s="2">
        <v>1849.54</v>
      </c>
    </row>
    <row r="1857" spans="3:6" x14ac:dyDescent="0.25">
      <c r="C1857" s="2" t="s">
        <v>9976</v>
      </c>
      <c r="D1857" s="2" t="s">
        <v>27</v>
      </c>
      <c r="E1857" s="2">
        <v>2</v>
      </c>
      <c r="F1857" s="2">
        <v>120.4</v>
      </c>
    </row>
    <row r="1858" spans="3:6" x14ac:dyDescent="0.25">
      <c r="C1858" s="2" t="s">
        <v>9977</v>
      </c>
      <c r="D1858" s="2" t="s">
        <v>27</v>
      </c>
      <c r="E1858" s="2">
        <v>49</v>
      </c>
      <c r="F1858" s="2">
        <v>855.15</v>
      </c>
    </row>
    <row r="1859" spans="3:6" x14ac:dyDescent="0.25">
      <c r="C1859" s="2" t="s">
        <v>9978</v>
      </c>
      <c r="D1859" s="2" t="s">
        <v>27</v>
      </c>
      <c r="E1859" s="2">
        <v>25</v>
      </c>
      <c r="F1859" s="2">
        <v>509.17</v>
      </c>
    </row>
    <row r="1860" spans="3:6" x14ac:dyDescent="0.25">
      <c r="C1860" s="2" t="s">
        <v>9979</v>
      </c>
      <c r="D1860" s="2" t="s">
        <v>27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2097</v>
      </c>
      <c r="C1862" s="2" t="s">
        <v>9980</v>
      </c>
      <c r="D1862" s="2" t="s">
        <v>27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9981</v>
      </c>
      <c r="D1863" s="2" t="s">
        <v>27</v>
      </c>
      <c r="E1863" s="2">
        <v>101</v>
      </c>
      <c r="F1863" s="2">
        <v>1955.47</v>
      </c>
    </row>
    <row r="1864" spans="3:6" x14ac:dyDescent="0.25">
      <c r="C1864" s="2" t="s">
        <v>9982</v>
      </c>
      <c r="D1864" s="2" t="s">
        <v>27</v>
      </c>
      <c r="E1864" s="2">
        <v>92</v>
      </c>
      <c r="F1864" s="2">
        <v>1613.319</v>
      </c>
    </row>
    <row r="1865" spans="3:6" x14ac:dyDescent="0.25">
      <c r="C1865" s="2" t="s">
        <v>9983</v>
      </c>
      <c r="D1865" s="2" t="s">
        <v>27</v>
      </c>
      <c r="E1865" s="2">
        <v>9</v>
      </c>
      <c r="F1865" s="2">
        <v>188.21</v>
      </c>
    </row>
    <row r="1866" spans="3:6" x14ac:dyDescent="0.25">
      <c r="C1866" s="2" t="s">
        <v>9984</v>
      </c>
      <c r="D1866" s="2" t="s">
        <v>27</v>
      </c>
      <c r="E1866" s="2">
        <v>42</v>
      </c>
      <c r="F1866" s="2">
        <v>836.63</v>
      </c>
    </row>
    <row r="1867" spans="3:6" x14ac:dyDescent="0.25">
      <c r="C1867" s="2" t="s">
        <v>9985</v>
      </c>
      <c r="D1867" s="2" t="s">
        <v>27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9986</v>
      </c>
      <c r="C1869" s="2" t="s">
        <v>9987</v>
      </c>
      <c r="D1869" s="2" t="s">
        <v>9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9988</v>
      </c>
      <c r="D1870" s="2" t="s">
        <v>9</v>
      </c>
      <c r="E1870" s="2">
        <v>141</v>
      </c>
      <c r="F1870" s="2">
        <v>2950.76</v>
      </c>
    </row>
    <row r="1871" spans="3:6" x14ac:dyDescent="0.25">
      <c r="C1871" s="2" t="s">
        <v>9989</v>
      </c>
      <c r="D1871" s="2" t="s">
        <v>9</v>
      </c>
      <c r="E1871" s="2">
        <v>141</v>
      </c>
      <c r="F1871" s="2">
        <v>2844.989</v>
      </c>
    </row>
    <row r="1872" spans="3:6" x14ac:dyDescent="0.25">
      <c r="C1872" s="2" t="s">
        <v>9990</v>
      </c>
      <c r="D1872" s="2" t="s">
        <v>9</v>
      </c>
      <c r="E1872" s="2">
        <v>102</v>
      </c>
      <c r="F1872" s="2">
        <v>2055.308</v>
      </c>
    </row>
    <row r="1873" spans="3:6" x14ac:dyDescent="0.25">
      <c r="C1873" s="2" t="s">
        <v>9991</v>
      </c>
      <c r="D1873" s="2" t="s">
        <v>9</v>
      </c>
      <c r="E1873" s="2">
        <v>45</v>
      </c>
      <c r="F1873" s="2">
        <v>192.07</v>
      </c>
    </row>
    <row r="1874" spans="3:6" x14ac:dyDescent="0.25">
      <c r="C1874" s="2" t="s">
        <v>9992</v>
      </c>
      <c r="D1874" s="2" t="s">
        <v>9</v>
      </c>
      <c r="E1874" s="2">
        <v>123</v>
      </c>
      <c r="F1874" s="2">
        <v>2309.108</v>
      </c>
    </row>
    <row r="1875" spans="3:6" x14ac:dyDescent="0.25">
      <c r="C1875" s="2" t="s">
        <v>9993</v>
      </c>
      <c r="D1875" s="2" t="s">
        <v>9</v>
      </c>
      <c r="E1875" s="2">
        <v>123</v>
      </c>
      <c r="F1875" s="2">
        <v>2344.679</v>
      </c>
    </row>
    <row r="1876" spans="3:6" x14ac:dyDescent="0.25">
      <c r="C1876" s="2" t="s">
        <v>9994</v>
      </c>
      <c r="D1876" s="2" t="s">
        <v>9</v>
      </c>
      <c r="E1876" s="2">
        <v>123</v>
      </c>
      <c r="F1876" s="2">
        <v>2497.53</v>
      </c>
    </row>
    <row r="1877" spans="3:6" x14ac:dyDescent="0.25">
      <c r="C1877" s="2" t="s">
        <v>9995</v>
      </c>
      <c r="D1877" s="2" t="s">
        <v>9</v>
      </c>
      <c r="E1877" s="2">
        <v>141</v>
      </c>
      <c r="F1877" s="2">
        <v>2850.37</v>
      </c>
    </row>
    <row r="1878" spans="3:6" x14ac:dyDescent="0.25">
      <c r="C1878" s="2" t="s">
        <v>9996</v>
      </c>
      <c r="D1878" s="2" t="s">
        <v>9</v>
      </c>
      <c r="E1878" s="2">
        <v>60</v>
      </c>
      <c r="F1878" s="2">
        <v>262.009</v>
      </c>
    </row>
    <row r="1879" spans="3:6" x14ac:dyDescent="0.25">
      <c r="C1879" s="2" t="s">
        <v>9997</v>
      </c>
      <c r="D1879" s="2" t="s">
        <v>9</v>
      </c>
      <c r="E1879" s="2">
        <v>123</v>
      </c>
      <c r="F1879" s="2">
        <v>2557.35</v>
      </c>
    </row>
    <row r="1880" spans="3:6" x14ac:dyDescent="0.25">
      <c r="C1880" s="2" t="s">
        <v>9998</v>
      </c>
      <c r="D1880" s="2" t="s">
        <v>9</v>
      </c>
      <c r="E1880" s="2">
        <v>142</v>
      </c>
      <c r="F1880" s="2">
        <v>2972.53</v>
      </c>
    </row>
    <row r="1881" spans="3:6" x14ac:dyDescent="0.25">
      <c r="C1881" s="2" t="s">
        <v>9999</v>
      </c>
      <c r="D1881" s="2" t="s">
        <v>9</v>
      </c>
      <c r="E1881" s="2">
        <v>141</v>
      </c>
      <c r="F1881" s="2">
        <v>2842.53</v>
      </c>
    </row>
    <row r="1882" spans="3:6" x14ac:dyDescent="0.25">
      <c r="C1882" s="2" t="s">
        <v>10000</v>
      </c>
      <c r="D1882" s="2" t="s">
        <v>9</v>
      </c>
      <c r="E1882" s="2">
        <v>54</v>
      </c>
      <c r="F1882" s="2">
        <v>965.47</v>
      </c>
    </row>
    <row r="1883" spans="3:6" x14ac:dyDescent="0.25">
      <c r="C1883" s="2" t="s">
        <v>10001</v>
      </c>
      <c r="D1883" s="2" t="s">
        <v>9</v>
      </c>
      <c r="E1883" s="2">
        <v>48</v>
      </c>
      <c r="F1883" s="2">
        <v>794.34</v>
      </c>
    </row>
    <row r="1884" spans="3:6" x14ac:dyDescent="0.25">
      <c r="C1884" s="2" t="s">
        <v>10002</v>
      </c>
      <c r="D1884" s="2" t="s">
        <v>9</v>
      </c>
      <c r="E1884" s="2">
        <v>45</v>
      </c>
      <c r="F1884" s="2">
        <v>195.77</v>
      </c>
    </row>
    <row r="1885" spans="3:6" x14ac:dyDescent="0.25">
      <c r="C1885" s="2" t="s">
        <v>10003</v>
      </c>
      <c r="D1885" s="2" t="s">
        <v>9</v>
      </c>
      <c r="E1885" s="2">
        <v>134</v>
      </c>
      <c r="F1885" s="2">
        <v>2752.67</v>
      </c>
    </row>
    <row r="1886" spans="3:6" x14ac:dyDescent="0.25">
      <c r="C1886" s="2" t="s">
        <v>10004</v>
      </c>
      <c r="D1886" s="2" t="s">
        <v>9</v>
      </c>
      <c r="E1886" s="2">
        <v>141</v>
      </c>
      <c r="F1886" s="2">
        <v>2781.36</v>
      </c>
    </row>
    <row r="1887" spans="3:6" x14ac:dyDescent="0.25">
      <c r="C1887" s="2" t="s">
        <v>10005</v>
      </c>
      <c r="D1887" s="2" t="s">
        <v>9</v>
      </c>
      <c r="E1887" s="2">
        <v>142</v>
      </c>
      <c r="F1887" s="2">
        <v>2810.55</v>
      </c>
    </row>
    <row r="1888" spans="3:6" x14ac:dyDescent="0.25">
      <c r="C1888" s="2" t="s">
        <v>10006</v>
      </c>
      <c r="D1888" s="2" t="s">
        <v>9</v>
      </c>
      <c r="E1888" s="2">
        <v>102</v>
      </c>
      <c r="F1888" s="2">
        <v>1920.41</v>
      </c>
    </row>
    <row r="1889" spans="3:6" x14ac:dyDescent="0.25">
      <c r="C1889" s="2" t="s">
        <v>10007</v>
      </c>
      <c r="D1889" s="2" t="s">
        <v>9</v>
      </c>
      <c r="E1889" s="2">
        <v>141</v>
      </c>
      <c r="F1889" s="2">
        <v>2928.79</v>
      </c>
    </row>
    <row r="1890" spans="3:6" x14ac:dyDescent="0.25">
      <c r="C1890" s="2" t="s">
        <v>10008</v>
      </c>
      <c r="D1890" s="2" t="s">
        <v>9</v>
      </c>
      <c r="E1890" s="2">
        <v>142</v>
      </c>
      <c r="F1890" s="2">
        <v>2981.66</v>
      </c>
    </row>
    <row r="1891" spans="3:6" x14ac:dyDescent="0.25">
      <c r="C1891" s="2" t="s">
        <v>10009</v>
      </c>
      <c r="D1891" s="2" t="s">
        <v>9</v>
      </c>
      <c r="E1891" s="2">
        <v>141</v>
      </c>
      <c r="F1891" s="2">
        <v>2829.529</v>
      </c>
    </row>
    <row r="1892" spans="3:6" x14ac:dyDescent="0.25">
      <c r="C1892" s="2" t="s">
        <v>10010</v>
      </c>
      <c r="D1892" s="2" t="s">
        <v>9</v>
      </c>
      <c r="E1892" s="2">
        <v>102</v>
      </c>
      <c r="F1892" s="2">
        <v>2061.15</v>
      </c>
    </row>
    <row r="1893" spans="3:6" x14ac:dyDescent="0.25">
      <c r="C1893" s="2" t="s">
        <v>10011</v>
      </c>
      <c r="D1893" s="2" t="s">
        <v>9</v>
      </c>
      <c r="E1893" s="2">
        <v>141</v>
      </c>
      <c r="F1893" s="2">
        <v>2872.73</v>
      </c>
    </row>
    <row r="1894" spans="3:6" x14ac:dyDescent="0.25">
      <c r="C1894" s="2" t="s">
        <v>10012</v>
      </c>
      <c r="D1894" s="2" t="s">
        <v>9</v>
      </c>
      <c r="E1894" s="2">
        <v>141</v>
      </c>
      <c r="F1894" s="2">
        <v>2871.31</v>
      </c>
    </row>
    <row r="1895" spans="3:6" x14ac:dyDescent="0.25">
      <c r="C1895" s="2" t="s">
        <v>10013</v>
      </c>
      <c r="D1895" s="2" t="s">
        <v>9</v>
      </c>
      <c r="E1895" s="2">
        <v>141</v>
      </c>
      <c r="F1895" s="2">
        <v>2841.06</v>
      </c>
    </row>
    <row r="1896" spans="3:6" x14ac:dyDescent="0.25">
      <c r="C1896" s="2" t="s">
        <v>10014</v>
      </c>
      <c r="D1896" s="2" t="s">
        <v>9</v>
      </c>
      <c r="E1896" s="2">
        <v>77</v>
      </c>
      <c r="F1896" s="2">
        <v>1556.24</v>
      </c>
    </row>
    <row r="1897" spans="3:6" x14ac:dyDescent="0.25">
      <c r="C1897" s="2" t="s">
        <v>10015</v>
      </c>
      <c r="D1897" s="2" t="s">
        <v>9</v>
      </c>
      <c r="E1897" s="2">
        <v>25</v>
      </c>
      <c r="F1897" s="2">
        <v>488.03</v>
      </c>
    </row>
    <row r="1898" spans="3:6" x14ac:dyDescent="0.25">
      <c r="C1898" s="2" t="s">
        <v>10016</v>
      </c>
      <c r="D1898" s="2" t="s">
        <v>9</v>
      </c>
      <c r="E1898" s="2">
        <v>55</v>
      </c>
      <c r="F1898" s="2">
        <v>971.959</v>
      </c>
    </row>
    <row r="1899" spans="3:6" x14ac:dyDescent="0.25">
      <c r="C1899" s="2" t="s">
        <v>10017</v>
      </c>
      <c r="D1899" s="2" t="s">
        <v>9</v>
      </c>
      <c r="E1899" s="2">
        <v>20</v>
      </c>
      <c r="F1899" s="2">
        <v>297.04</v>
      </c>
    </row>
    <row r="1900" spans="3:6" x14ac:dyDescent="0.25">
      <c r="C1900" s="2" t="s">
        <v>10018</v>
      </c>
      <c r="D1900" s="2" t="s">
        <v>9</v>
      </c>
      <c r="E1900" s="2">
        <v>3</v>
      </c>
      <c r="F1900" s="2">
        <v>23.14</v>
      </c>
    </row>
    <row r="1901" spans="3:6" x14ac:dyDescent="0.25">
      <c r="C1901" s="2" t="s">
        <v>10019</v>
      </c>
      <c r="D1901" s="2" t="s">
        <v>9</v>
      </c>
      <c r="E1901" s="2">
        <v>144</v>
      </c>
      <c r="F1901" s="2">
        <v>2093.619</v>
      </c>
    </row>
    <row r="1902" spans="3:6" x14ac:dyDescent="0.25">
      <c r="C1902" s="2" t="s">
        <v>10020</v>
      </c>
      <c r="D1902" s="2" t="s">
        <v>9</v>
      </c>
      <c r="E1902" s="2">
        <v>141</v>
      </c>
      <c r="F1902" s="2">
        <v>2367.4</v>
      </c>
    </row>
    <row r="1903" spans="3:6" x14ac:dyDescent="0.25">
      <c r="C1903" s="2" t="s">
        <v>10021</v>
      </c>
      <c r="D1903" s="2" t="s">
        <v>9</v>
      </c>
      <c r="E1903" s="2">
        <v>141</v>
      </c>
      <c r="F1903" s="2">
        <v>2907.61</v>
      </c>
    </row>
    <row r="1904" spans="3:6" x14ac:dyDescent="0.25">
      <c r="C1904" s="2" t="s">
        <v>10022</v>
      </c>
      <c r="D1904" s="2" t="s">
        <v>9</v>
      </c>
      <c r="E1904" s="2">
        <v>102</v>
      </c>
      <c r="F1904" s="2">
        <v>2026.66</v>
      </c>
    </row>
    <row r="1905" spans="3:6" x14ac:dyDescent="0.25">
      <c r="C1905" s="2" t="s">
        <v>10023</v>
      </c>
      <c r="D1905" s="2" t="s">
        <v>9</v>
      </c>
      <c r="E1905" s="2">
        <v>102</v>
      </c>
      <c r="F1905" s="2">
        <v>2081.92</v>
      </c>
    </row>
    <row r="1906" spans="3:6" x14ac:dyDescent="0.25">
      <c r="C1906" s="2" t="s">
        <v>10024</v>
      </c>
      <c r="D1906" s="2" t="s">
        <v>9</v>
      </c>
      <c r="E1906" s="2">
        <v>94</v>
      </c>
      <c r="F1906" s="2">
        <v>1956.149</v>
      </c>
    </row>
    <row r="1907" spans="3:6" x14ac:dyDescent="0.25">
      <c r="C1907" s="2" t="s">
        <v>10025</v>
      </c>
      <c r="D1907" s="2" t="s">
        <v>9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10026</v>
      </c>
      <c r="C1909" s="2" t="s">
        <v>10027</v>
      </c>
      <c r="D1909" s="2" t="s">
        <v>42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183</v>
      </c>
      <c r="C1911" s="2" t="s">
        <v>10028</v>
      </c>
      <c r="D1911" s="2" t="s">
        <v>122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10029</v>
      </c>
      <c r="D1912" s="2" t="s">
        <v>122</v>
      </c>
      <c r="E1912" s="2">
        <v>142</v>
      </c>
      <c r="F1912" s="2">
        <v>2855.06</v>
      </c>
    </row>
    <row r="1913" spans="3:6" x14ac:dyDescent="0.25">
      <c r="C1913" s="2" t="s">
        <v>10030</v>
      </c>
      <c r="D1913" s="2" t="s">
        <v>122</v>
      </c>
      <c r="E1913" s="2">
        <v>121</v>
      </c>
      <c r="F1913" s="2">
        <v>2542.12</v>
      </c>
    </row>
    <row r="1914" spans="3:6" x14ac:dyDescent="0.25">
      <c r="C1914" s="2" t="s">
        <v>10031</v>
      </c>
      <c r="D1914" s="2" t="s">
        <v>122</v>
      </c>
      <c r="E1914" s="2">
        <v>141</v>
      </c>
      <c r="F1914" s="2">
        <v>2834.67</v>
      </c>
    </row>
    <row r="1915" spans="3:6" x14ac:dyDescent="0.25">
      <c r="C1915" s="2" t="s">
        <v>10032</v>
      </c>
      <c r="D1915" s="2" t="s">
        <v>122</v>
      </c>
      <c r="E1915" s="2">
        <v>49</v>
      </c>
      <c r="F1915" s="2">
        <v>1016.89</v>
      </c>
    </row>
    <row r="1916" spans="3:6" x14ac:dyDescent="0.25">
      <c r="C1916" s="2" t="s">
        <v>10033</v>
      </c>
      <c r="D1916" s="2" t="s">
        <v>122</v>
      </c>
      <c r="E1916" s="2">
        <v>59</v>
      </c>
      <c r="F1916" s="2">
        <v>1166.16</v>
      </c>
    </row>
    <row r="1917" spans="3:6" x14ac:dyDescent="0.25">
      <c r="C1917" s="2" t="s">
        <v>10034</v>
      </c>
      <c r="D1917" s="2" t="s">
        <v>122</v>
      </c>
      <c r="E1917" s="2">
        <v>33</v>
      </c>
      <c r="F1917" s="2">
        <v>635.34</v>
      </c>
    </row>
    <row r="1918" spans="3:6" x14ac:dyDescent="0.25">
      <c r="C1918" s="2" t="s">
        <v>10035</v>
      </c>
      <c r="D1918" s="2" t="s">
        <v>122</v>
      </c>
      <c r="E1918" s="2">
        <v>28</v>
      </c>
      <c r="F1918" s="2">
        <v>494.24</v>
      </c>
    </row>
    <row r="1919" spans="3:6" x14ac:dyDescent="0.25">
      <c r="C1919" s="2" t="s">
        <v>10036</v>
      </c>
      <c r="D1919" s="2" t="s">
        <v>122</v>
      </c>
      <c r="E1919" s="2">
        <v>97</v>
      </c>
      <c r="F1919" s="2">
        <v>1691.17</v>
      </c>
    </row>
    <row r="1920" spans="3:6" x14ac:dyDescent="0.25">
      <c r="C1920" s="2" t="s">
        <v>10037</v>
      </c>
      <c r="D1920" s="2" t="s">
        <v>122</v>
      </c>
      <c r="E1920" s="2">
        <v>25</v>
      </c>
      <c r="F1920" s="2">
        <v>475.49</v>
      </c>
    </row>
    <row r="1921" spans="3:6" x14ac:dyDescent="0.25">
      <c r="C1921" s="2" t="s">
        <v>10038</v>
      </c>
      <c r="D1921" s="2" t="s">
        <v>122</v>
      </c>
      <c r="E1921" s="2">
        <v>50</v>
      </c>
      <c r="F1921" s="2">
        <v>979.48</v>
      </c>
    </row>
    <row r="1922" spans="3:6" x14ac:dyDescent="0.25">
      <c r="C1922" s="2" t="s">
        <v>10039</v>
      </c>
      <c r="D1922" s="2" t="s">
        <v>122</v>
      </c>
      <c r="E1922" s="2">
        <v>102</v>
      </c>
      <c r="F1922" s="2">
        <v>2043.329</v>
      </c>
    </row>
    <row r="1923" spans="3:6" x14ac:dyDescent="0.25">
      <c r="C1923" s="2" t="s">
        <v>10040</v>
      </c>
      <c r="D1923" s="2" t="s">
        <v>122</v>
      </c>
      <c r="E1923" s="2">
        <v>102</v>
      </c>
      <c r="F1923" s="2">
        <v>2001.94</v>
      </c>
    </row>
    <row r="1924" spans="3:6" x14ac:dyDescent="0.25">
      <c r="C1924" s="2" t="s">
        <v>10041</v>
      </c>
      <c r="D1924" s="2" t="s">
        <v>122</v>
      </c>
      <c r="E1924" s="2">
        <v>41</v>
      </c>
      <c r="F1924" s="2">
        <v>813.14</v>
      </c>
    </row>
    <row r="1925" spans="3:6" x14ac:dyDescent="0.25">
      <c r="C1925" s="2" t="s">
        <v>10042</v>
      </c>
      <c r="D1925" s="2" t="s">
        <v>122</v>
      </c>
      <c r="E1925" s="2">
        <v>53</v>
      </c>
      <c r="F1925" s="2">
        <v>1034.73</v>
      </c>
    </row>
    <row r="1926" spans="3:6" x14ac:dyDescent="0.25">
      <c r="C1926" s="2" t="s">
        <v>10043</v>
      </c>
      <c r="D1926" s="2" t="s">
        <v>122</v>
      </c>
      <c r="E1926" s="2">
        <v>8</v>
      </c>
      <c r="F1926" s="2">
        <v>136.79</v>
      </c>
    </row>
    <row r="1927" spans="3:6" x14ac:dyDescent="0.25">
      <c r="C1927" s="2" t="s">
        <v>10044</v>
      </c>
      <c r="D1927" s="2" t="s">
        <v>122</v>
      </c>
      <c r="E1927" s="2">
        <v>26</v>
      </c>
      <c r="F1927" s="2">
        <v>462.26</v>
      </c>
    </row>
    <row r="1928" spans="3:6" x14ac:dyDescent="0.25">
      <c r="C1928" s="2" t="s">
        <v>10045</v>
      </c>
      <c r="D1928" s="2" t="s">
        <v>122</v>
      </c>
      <c r="E1928" s="2">
        <v>48</v>
      </c>
      <c r="F1928" s="2">
        <v>869.479</v>
      </c>
    </row>
    <row r="1929" spans="3:6" x14ac:dyDescent="0.25">
      <c r="C1929" s="2" t="s">
        <v>10046</v>
      </c>
      <c r="D1929" s="2" t="s">
        <v>122</v>
      </c>
      <c r="E1929" s="2">
        <v>32</v>
      </c>
      <c r="F1929" s="2">
        <v>587.21</v>
      </c>
    </row>
    <row r="1930" spans="3:6" x14ac:dyDescent="0.25">
      <c r="C1930" s="2" t="s">
        <v>10047</v>
      </c>
      <c r="D1930" s="2" t="s">
        <v>122</v>
      </c>
      <c r="E1930" s="2">
        <v>16</v>
      </c>
      <c r="F1930" s="2">
        <v>303.19</v>
      </c>
    </row>
    <row r="1931" spans="3:6" x14ac:dyDescent="0.25">
      <c r="C1931" s="2" t="s">
        <v>10048</v>
      </c>
      <c r="D1931" s="2" t="s">
        <v>122</v>
      </c>
      <c r="E1931" s="2">
        <v>70</v>
      </c>
      <c r="F1931" s="2">
        <v>302.1</v>
      </c>
    </row>
    <row r="1932" spans="3:6" x14ac:dyDescent="0.25">
      <c r="C1932" s="2" t="s">
        <v>10049</v>
      </c>
      <c r="D1932" s="2" t="s">
        <v>122</v>
      </c>
      <c r="E1932" s="2">
        <v>69</v>
      </c>
      <c r="F1932" s="2">
        <v>306.88</v>
      </c>
    </row>
    <row r="1933" spans="3:6" x14ac:dyDescent="0.25">
      <c r="C1933" s="2" t="s">
        <v>10050</v>
      </c>
      <c r="D1933" s="2" t="s">
        <v>122</v>
      </c>
      <c r="E1933" s="2">
        <v>69</v>
      </c>
      <c r="F1933" s="2">
        <v>1457.31</v>
      </c>
    </row>
    <row r="1934" spans="3:6" x14ac:dyDescent="0.25">
      <c r="C1934" s="2" t="s">
        <v>10051</v>
      </c>
      <c r="D1934" s="2" t="s">
        <v>122</v>
      </c>
      <c r="E1934" s="2">
        <v>39</v>
      </c>
      <c r="F1934" s="2">
        <v>689.35</v>
      </c>
    </row>
    <row r="1935" spans="3:6" x14ac:dyDescent="0.25">
      <c r="C1935" s="2" t="s">
        <v>10052</v>
      </c>
      <c r="D1935" s="2" t="s">
        <v>122</v>
      </c>
      <c r="E1935" s="2">
        <v>13</v>
      </c>
      <c r="F1935" s="2">
        <v>255.13</v>
      </c>
    </row>
    <row r="1936" spans="3:6" x14ac:dyDescent="0.25">
      <c r="C1936" s="2" t="s">
        <v>10053</v>
      </c>
      <c r="D1936" s="2" t="s">
        <v>122</v>
      </c>
      <c r="E1936" s="2">
        <v>73</v>
      </c>
      <c r="F1936" s="2">
        <v>1474.57</v>
      </c>
    </row>
    <row r="1937" spans="3:6" x14ac:dyDescent="0.25">
      <c r="C1937" s="2" t="s">
        <v>10054</v>
      </c>
      <c r="D1937" s="2" t="s">
        <v>122</v>
      </c>
      <c r="E1937" s="2">
        <v>61</v>
      </c>
      <c r="F1937" s="2">
        <v>1287.45</v>
      </c>
    </row>
    <row r="1938" spans="3:6" x14ac:dyDescent="0.25">
      <c r="C1938" s="2" t="s">
        <v>10055</v>
      </c>
      <c r="D1938" s="2" t="s">
        <v>122</v>
      </c>
      <c r="E1938" s="2">
        <v>22</v>
      </c>
      <c r="F1938" s="2">
        <v>454.6</v>
      </c>
    </row>
    <row r="1939" spans="3:6" x14ac:dyDescent="0.25">
      <c r="C1939" s="2" t="s">
        <v>10056</v>
      </c>
      <c r="D1939" s="2" t="s">
        <v>122</v>
      </c>
      <c r="E1939" s="2">
        <v>80</v>
      </c>
      <c r="F1939" s="2">
        <v>1640.8</v>
      </c>
    </row>
    <row r="1940" spans="3:6" x14ac:dyDescent="0.25">
      <c r="C1940" s="2" t="s">
        <v>10057</v>
      </c>
      <c r="D1940" s="2" t="s">
        <v>122</v>
      </c>
      <c r="E1940" s="2">
        <v>59</v>
      </c>
      <c r="F1940" s="2">
        <v>1685.78</v>
      </c>
    </row>
    <row r="1941" spans="3:6" x14ac:dyDescent="0.25">
      <c r="C1941" s="2" t="s">
        <v>10058</v>
      </c>
      <c r="D1941" s="2" t="s">
        <v>122</v>
      </c>
      <c r="E1941" s="2">
        <v>141</v>
      </c>
      <c r="F1941" s="2">
        <v>2874.62</v>
      </c>
    </row>
    <row r="1942" spans="3:6" x14ac:dyDescent="0.25">
      <c r="C1942" s="2" t="s">
        <v>10059</v>
      </c>
      <c r="D1942" s="2" t="s">
        <v>122</v>
      </c>
      <c r="E1942" s="2">
        <v>141</v>
      </c>
      <c r="F1942" s="2">
        <v>2881.29</v>
      </c>
    </row>
    <row r="1943" spans="3:6" x14ac:dyDescent="0.25">
      <c r="C1943" s="2" t="s">
        <v>10060</v>
      </c>
      <c r="D1943" s="2" t="s">
        <v>122</v>
      </c>
      <c r="E1943" s="2">
        <v>41</v>
      </c>
      <c r="F1943" s="2">
        <v>779.48</v>
      </c>
    </row>
    <row r="1944" spans="3:6" x14ac:dyDescent="0.25">
      <c r="C1944" s="2" t="s">
        <v>10061</v>
      </c>
      <c r="D1944" s="2" t="s">
        <v>122</v>
      </c>
      <c r="E1944" s="2">
        <v>100</v>
      </c>
      <c r="F1944" s="2">
        <v>2074.62</v>
      </c>
    </row>
    <row r="1945" spans="3:6" x14ac:dyDescent="0.25">
      <c r="C1945" s="2" t="s">
        <v>10062</v>
      </c>
      <c r="D1945" s="2" t="s">
        <v>122</v>
      </c>
      <c r="E1945" s="2">
        <v>141</v>
      </c>
      <c r="F1945" s="2">
        <v>2709.49</v>
      </c>
    </row>
    <row r="1946" spans="3:6" x14ac:dyDescent="0.25">
      <c r="C1946" s="2" t="s">
        <v>10063</v>
      </c>
      <c r="D1946" s="2" t="s">
        <v>122</v>
      </c>
      <c r="E1946" s="2">
        <v>49</v>
      </c>
      <c r="F1946" s="2">
        <v>936.51</v>
      </c>
    </row>
    <row r="1947" spans="3:6" x14ac:dyDescent="0.25">
      <c r="C1947" s="2" t="s">
        <v>10064</v>
      </c>
      <c r="D1947" s="2" t="s">
        <v>122</v>
      </c>
      <c r="E1947" s="2">
        <v>92</v>
      </c>
      <c r="F1947" s="2">
        <v>1865.47</v>
      </c>
    </row>
    <row r="1948" spans="3:6" x14ac:dyDescent="0.25">
      <c r="C1948" s="2" t="s">
        <v>10065</v>
      </c>
      <c r="D1948" s="2" t="s">
        <v>122</v>
      </c>
      <c r="E1948" s="2">
        <v>141</v>
      </c>
      <c r="F1948" s="2">
        <v>2807.939</v>
      </c>
    </row>
    <row r="1949" spans="3:6" x14ac:dyDescent="0.25">
      <c r="C1949" s="2" t="s">
        <v>10066</v>
      </c>
      <c r="D1949" s="2" t="s">
        <v>122</v>
      </c>
      <c r="E1949" s="2">
        <v>141</v>
      </c>
      <c r="F1949" s="2">
        <v>2958.68</v>
      </c>
    </row>
    <row r="1950" spans="3:6" x14ac:dyDescent="0.25">
      <c r="C1950" s="2" t="s">
        <v>10067</v>
      </c>
      <c r="D1950" s="2" t="s">
        <v>122</v>
      </c>
      <c r="E1950" s="2">
        <v>45</v>
      </c>
      <c r="F1950" s="2">
        <v>619.21</v>
      </c>
    </row>
    <row r="1951" spans="3:6" x14ac:dyDescent="0.25">
      <c r="C1951" s="2" t="s">
        <v>10068</v>
      </c>
      <c r="D1951" s="2" t="s">
        <v>122</v>
      </c>
      <c r="E1951" s="2">
        <v>96</v>
      </c>
      <c r="F1951" s="2">
        <v>1935.8</v>
      </c>
    </row>
    <row r="1952" spans="3:6" x14ac:dyDescent="0.25">
      <c r="C1952" s="2" t="s">
        <v>10069</v>
      </c>
      <c r="D1952" s="2" t="s">
        <v>122</v>
      </c>
      <c r="E1952" s="2">
        <v>41</v>
      </c>
      <c r="F1952" s="2">
        <v>877.68</v>
      </c>
    </row>
    <row r="1953" spans="3:6" x14ac:dyDescent="0.25">
      <c r="C1953" s="2" t="s">
        <v>10070</v>
      </c>
      <c r="D1953" s="2" t="s">
        <v>122</v>
      </c>
      <c r="E1953" s="2">
        <v>34</v>
      </c>
      <c r="F1953" s="2">
        <v>703.59</v>
      </c>
    </row>
    <row r="1954" spans="3:6" x14ac:dyDescent="0.25">
      <c r="C1954" s="2" t="s">
        <v>10071</v>
      </c>
      <c r="D1954" s="2" t="s">
        <v>122</v>
      </c>
      <c r="E1954" s="2">
        <v>66</v>
      </c>
      <c r="F1954" s="2">
        <v>1384.78</v>
      </c>
    </row>
    <row r="1955" spans="3:6" x14ac:dyDescent="0.25">
      <c r="C1955" s="2" t="s">
        <v>10072</v>
      </c>
      <c r="D1955" s="2" t="s">
        <v>122</v>
      </c>
      <c r="E1955" s="2">
        <v>14</v>
      </c>
      <c r="F1955" s="2">
        <v>272.27</v>
      </c>
    </row>
    <row r="1956" spans="3:6" x14ac:dyDescent="0.25">
      <c r="C1956" s="2" t="s">
        <v>10073</v>
      </c>
      <c r="D1956" s="2" t="s">
        <v>122</v>
      </c>
      <c r="E1956" s="2">
        <v>15</v>
      </c>
      <c r="F1956" s="2">
        <v>310.58</v>
      </c>
    </row>
    <row r="1957" spans="3:6" x14ac:dyDescent="0.25">
      <c r="C1957" s="2" t="s">
        <v>10074</v>
      </c>
      <c r="D1957" s="2" t="s">
        <v>122</v>
      </c>
      <c r="E1957" s="2">
        <v>51</v>
      </c>
      <c r="F1957" s="2">
        <v>1031.88</v>
      </c>
    </row>
    <row r="1958" spans="3:6" x14ac:dyDescent="0.25">
      <c r="C1958" s="2" t="s">
        <v>10075</v>
      </c>
      <c r="D1958" s="2" t="s">
        <v>122</v>
      </c>
      <c r="E1958" s="2">
        <v>28</v>
      </c>
      <c r="F1958" s="2">
        <v>489.63</v>
      </c>
    </row>
    <row r="1959" spans="3:6" x14ac:dyDescent="0.25">
      <c r="C1959" s="2" t="s">
        <v>10076</v>
      </c>
      <c r="D1959" s="2" t="s">
        <v>122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10</v>
      </c>
      <c r="C1961" s="2" t="s">
        <v>10077</v>
      </c>
      <c r="D1961" s="2" t="s">
        <v>12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10078</v>
      </c>
      <c r="D1962" s="2" t="s">
        <v>12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438</v>
      </c>
      <c r="C1964" s="2" t="s">
        <v>10079</v>
      </c>
      <c r="D1964" s="2" t="s">
        <v>42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10080</v>
      </c>
      <c r="C1966" s="2" t="s">
        <v>10081</v>
      </c>
      <c r="D1966" s="2" t="s">
        <v>1288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10082</v>
      </c>
      <c r="C1968" s="2" t="s">
        <v>10083</v>
      </c>
      <c r="D1968" s="2" t="s">
        <v>8924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380</v>
      </c>
      <c r="C1970" s="2" t="s">
        <v>10084</v>
      </c>
      <c r="D1970" s="2" t="s">
        <v>20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10085</v>
      </c>
      <c r="D1971" s="2" t="s">
        <v>20</v>
      </c>
      <c r="E1971" s="2">
        <v>102</v>
      </c>
      <c r="F1971" s="2">
        <v>2050.72</v>
      </c>
    </row>
    <row r="1972" spans="3:6" x14ac:dyDescent="0.25">
      <c r="C1972" s="2" t="s">
        <v>10086</v>
      </c>
      <c r="D1972" s="2" t="s">
        <v>20</v>
      </c>
      <c r="E1972" s="2">
        <v>149</v>
      </c>
      <c r="F1972" s="2">
        <v>2781.759</v>
      </c>
    </row>
    <row r="1973" spans="3:6" x14ac:dyDescent="0.25">
      <c r="C1973" s="2" t="s">
        <v>10087</v>
      </c>
      <c r="D1973" s="2" t="s">
        <v>20</v>
      </c>
      <c r="E1973" s="2">
        <v>251</v>
      </c>
      <c r="F1973" s="2">
        <v>4742.207</v>
      </c>
    </row>
    <row r="1974" spans="3:6" x14ac:dyDescent="0.25">
      <c r="C1974" s="2" t="s">
        <v>10088</v>
      </c>
      <c r="D1974" s="2" t="s">
        <v>20</v>
      </c>
      <c r="E1974" s="2">
        <v>222</v>
      </c>
      <c r="F1974" s="2">
        <v>3915.861</v>
      </c>
    </row>
    <row r="1975" spans="3:6" x14ac:dyDescent="0.25">
      <c r="C1975" s="2" t="s">
        <v>10089</v>
      </c>
      <c r="D1975" s="2" t="s">
        <v>20</v>
      </c>
      <c r="E1975" s="2">
        <v>149</v>
      </c>
      <c r="F1975" s="2">
        <v>2817.818</v>
      </c>
    </row>
    <row r="1976" spans="3:6" x14ac:dyDescent="0.25">
      <c r="C1976" s="2" t="s">
        <v>10090</v>
      </c>
      <c r="D1976" s="2" t="s">
        <v>20</v>
      </c>
      <c r="E1976" s="2">
        <v>251</v>
      </c>
      <c r="F1976" s="2">
        <v>4785.748</v>
      </c>
    </row>
    <row r="1977" spans="3:6" x14ac:dyDescent="0.25">
      <c r="C1977" s="2" t="s">
        <v>10091</v>
      </c>
      <c r="D1977" s="2" t="s">
        <v>20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324</v>
      </c>
      <c r="C1979" s="2" t="s">
        <v>10092</v>
      </c>
      <c r="D1979" s="2" t="s">
        <v>122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10093</v>
      </c>
      <c r="D1980" s="2" t="s">
        <v>122</v>
      </c>
      <c r="E1980" s="2">
        <v>54</v>
      </c>
      <c r="F1980" s="2">
        <v>1129.71</v>
      </c>
    </row>
    <row r="1981" spans="3:6" x14ac:dyDescent="0.25">
      <c r="C1981" s="2" t="s">
        <v>10094</v>
      </c>
      <c r="D1981" s="2" t="s">
        <v>122</v>
      </c>
      <c r="E1981" s="2">
        <v>18</v>
      </c>
      <c r="F1981" s="2">
        <v>332.29</v>
      </c>
    </row>
    <row r="1982" spans="3:6" x14ac:dyDescent="0.25">
      <c r="C1982" s="2" t="s">
        <v>10095</v>
      </c>
      <c r="D1982" s="2" t="s">
        <v>122</v>
      </c>
      <c r="E1982" s="2">
        <v>66</v>
      </c>
      <c r="F1982" s="2">
        <v>1363.829</v>
      </c>
    </row>
    <row r="1983" spans="3:6" x14ac:dyDescent="0.25">
      <c r="C1983" s="2" t="s">
        <v>10096</v>
      </c>
      <c r="D1983" s="2" t="s">
        <v>122</v>
      </c>
      <c r="E1983" s="2">
        <v>68</v>
      </c>
      <c r="F1983" s="2">
        <v>1403.66</v>
      </c>
    </row>
    <row r="1984" spans="3:6" x14ac:dyDescent="0.25">
      <c r="C1984" s="2" t="s">
        <v>10097</v>
      </c>
      <c r="D1984" s="2" t="s">
        <v>122</v>
      </c>
      <c r="E1984" s="2">
        <v>100</v>
      </c>
      <c r="F1984" s="2">
        <v>2031.31</v>
      </c>
    </row>
    <row r="1985" spans="3:6" x14ac:dyDescent="0.25">
      <c r="C1985" s="2" t="s">
        <v>10098</v>
      </c>
      <c r="D1985" s="2" t="s">
        <v>122</v>
      </c>
      <c r="E1985" s="2">
        <v>27</v>
      </c>
      <c r="F1985" s="2">
        <v>544.51</v>
      </c>
    </row>
    <row r="1986" spans="3:6" x14ac:dyDescent="0.25">
      <c r="C1986" s="2" t="s">
        <v>10099</v>
      </c>
      <c r="D1986" s="2" t="s">
        <v>122</v>
      </c>
      <c r="E1986" s="2">
        <v>26</v>
      </c>
      <c r="F1986" s="2">
        <v>551.79</v>
      </c>
    </row>
    <row r="1987" spans="3:6" x14ac:dyDescent="0.25">
      <c r="C1987" s="2" t="s">
        <v>10100</v>
      </c>
      <c r="D1987" s="2" t="s">
        <v>122</v>
      </c>
      <c r="E1987" s="2">
        <v>113</v>
      </c>
      <c r="F1987" s="2">
        <v>2401.04</v>
      </c>
    </row>
    <row r="1988" spans="3:6" x14ac:dyDescent="0.25">
      <c r="C1988" s="2" t="s">
        <v>10101</v>
      </c>
      <c r="D1988" s="2" t="s">
        <v>122</v>
      </c>
      <c r="E1988" s="2">
        <v>40</v>
      </c>
      <c r="F1988" s="2">
        <v>826.24</v>
      </c>
    </row>
    <row r="1989" spans="3:6" x14ac:dyDescent="0.25">
      <c r="C1989" s="2" t="s">
        <v>10102</v>
      </c>
      <c r="D1989" s="2" t="s">
        <v>122</v>
      </c>
      <c r="E1989" s="2">
        <v>25</v>
      </c>
      <c r="F1989" s="2">
        <v>459.5</v>
      </c>
    </row>
    <row r="1990" spans="3:6" x14ac:dyDescent="0.25">
      <c r="C1990" s="2" t="s">
        <v>10103</v>
      </c>
      <c r="D1990" s="2" t="s">
        <v>122</v>
      </c>
      <c r="E1990" s="2">
        <v>23</v>
      </c>
      <c r="F1990" s="2">
        <v>465.5</v>
      </c>
    </row>
    <row r="1991" spans="3:6" x14ac:dyDescent="0.25">
      <c r="C1991" s="2" t="s">
        <v>10104</v>
      </c>
      <c r="D1991" s="2" t="s">
        <v>122</v>
      </c>
      <c r="E1991" s="2">
        <v>18</v>
      </c>
      <c r="F1991" s="2">
        <v>290.2</v>
      </c>
    </row>
    <row r="1992" spans="3:6" x14ac:dyDescent="0.25">
      <c r="C1992" s="2" t="s">
        <v>10105</v>
      </c>
      <c r="D1992" s="2" t="s">
        <v>122</v>
      </c>
      <c r="E1992" s="2">
        <v>20</v>
      </c>
      <c r="F1992" s="2">
        <v>433.45</v>
      </c>
    </row>
    <row r="1993" spans="3:6" x14ac:dyDescent="0.25">
      <c r="C1993" s="2" t="s">
        <v>10106</v>
      </c>
      <c r="D1993" s="2" t="s">
        <v>122</v>
      </c>
      <c r="E1993" s="2">
        <v>10</v>
      </c>
      <c r="F1993" s="2">
        <v>183.3</v>
      </c>
    </row>
    <row r="1994" spans="3:6" x14ac:dyDescent="0.25">
      <c r="C1994" s="2" t="s">
        <v>10107</v>
      </c>
      <c r="D1994" s="2" t="s">
        <v>122</v>
      </c>
      <c r="E1994" s="2">
        <v>34</v>
      </c>
      <c r="F1994" s="2">
        <v>715.85</v>
      </c>
    </row>
    <row r="1995" spans="3:6" x14ac:dyDescent="0.25">
      <c r="C1995" s="2" t="s">
        <v>10108</v>
      </c>
      <c r="D1995" s="2" t="s">
        <v>122</v>
      </c>
      <c r="E1995" s="2">
        <v>6</v>
      </c>
      <c r="F1995" s="2">
        <f>35.67+74.95</f>
        <v>110.62</v>
      </c>
    </row>
    <row r="1996" spans="3:6" x14ac:dyDescent="0.25">
      <c r="C1996" s="2" t="s">
        <v>10109</v>
      </c>
      <c r="D1996" s="2" t="s">
        <v>122</v>
      </c>
      <c r="E1996" s="2">
        <v>14</v>
      </c>
      <c r="F1996" s="2">
        <f>227.89+89.95</f>
        <v>317.84</v>
      </c>
    </row>
    <row r="1997" spans="3:6" x14ac:dyDescent="0.25">
      <c r="C1997" s="2" t="s">
        <v>10110</v>
      </c>
      <c r="D1997" s="2" t="s">
        <v>122</v>
      </c>
      <c r="E1997" s="2">
        <v>47</v>
      </c>
      <c r="F1997" s="2">
        <v>976.93</v>
      </c>
    </row>
    <row r="1998" spans="3:6" x14ac:dyDescent="0.25">
      <c r="C1998" s="2" t="s">
        <v>10111</v>
      </c>
      <c r="D1998" s="2" t="s">
        <v>122</v>
      </c>
      <c r="E1998" s="2">
        <v>23</v>
      </c>
      <c r="F1998" s="2">
        <v>505.9</v>
      </c>
    </row>
    <row r="1999" spans="3:6" x14ac:dyDescent="0.25">
      <c r="C1999" s="2" t="s">
        <v>10112</v>
      </c>
      <c r="D1999" s="2" t="s">
        <v>122</v>
      </c>
      <c r="E1999" s="2">
        <v>31</v>
      </c>
      <c r="F1999" s="2">
        <v>627.24</v>
      </c>
    </row>
    <row r="2000" spans="3:6" x14ac:dyDescent="0.25">
      <c r="C2000" s="2" t="s">
        <v>10113</v>
      </c>
      <c r="D2000" s="2" t="s">
        <v>122</v>
      </c>
      <c r="E2000" s="2">
        <v>153</v>
      </c>
      <c r="F2000" s="2">
        <v>3197.9</v>
      </c>
    </row>
    <row r="2001" spans="3:6" x14ac:dyDescent="0.25">
      <c r="C2001" s="2" t="s">
        <v>10114</v>
      </c>
      <c r="D2001" s="2" t="s">
        <v>122</v>
      </c>
      <c r="E2001" s="2">
        <v>67</v>
      </c>
      <c r="F2001" s="2">
        <v>2327.118</v>
      </c>
    </row>
    <row r="2002" spans="3:6" x14ac:dyDescent="0.25">
      <c r="C2002" s="2" t="s">
        <v>10115</v>
      </c>
      <c r="D2002" s="2" t="s">
        <v>122</v>
      </c>
      <c r="E2002" s="2">
        <v>61</v>
      </c>
      <c r="F2002" s="2">
        <v>1235.6</v>
      </c>
    </row>
    <row r="2003" spans="3:6" x14ac:dyDescent="0.25">
      <c r="C2003" s="2" t="s">
        <v>10116</v>
      </c>
      <c r="D2003" s="2" t="s">
        <v>122</v>
      </c>
      <c r="E2003" s="2">
        <v>73</v>
      </c>
      <c r="F2003" s="2">
        <v>1456.299</v>
      </c>
    </row>
    <row r="2004" spans="3:6" x14ac:dyDescent="0.25">
      <c r="C2004" s="2" t="s">
        <v>10117</v>
      </c>
      <c r="D2004" s="2" t="s">
        <v>122</v>
      </c>
      <c r="E2004" s="2">
        <v>48</v>
      </c>
      <c r="F2004" s="2">
        <v>995.73</v>
      </c>
    </row>
    <row r="2005" spans="3:6" x14ac:dyDescent="0.25">
      <c r="C2005" s="2" t="s">
        <v>10118</v>
      </c>
      <c r="D2005" s="2" t="s">
        <v>122</v>
      </c>
      <c r="E2005" s="2">
        <v>17</v>
      </c>
      <c r="F2005" s="2">
        <v>265.98</v>
      </c>
    </row>
    <row r="2006" spans="3:6" x14ac:dyDescent="0.25">
      <c r="C2006" s="2" t="s">
        <v>10119</v>
      </c>
      <c r="D2006" s="2" t="s">
        <v>122</v>
      </c>
      <c r="E2006" s="2">
        <v>15</v>
      </c>
      <c r="F2006" s="2">
        <v>255.53</v>
      </c>
    </row>
    <row r="2007" spans="3:6" x14ac:dyDescent="0.25">
      <c r="C2007" s="2" t="s">
        <v>10120</v>
      </c>
      <c r="D2007" s="2" t="s">
        <v>122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2196</v>
      </c>
      <c r="C2009" s="2" t="s">
        <v>10121</v>
      </c>
      <c r="D2009" s="2" t="s">
        <v>9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10122</v>
      </c>
      <c r="D2010" s="2" t="s">
        <v>9</v>
      </c>
      <c r="E2010" s="2">
        <v>102</v>
      </c>
      <c r="F2010" s="2">
        <v>1949.849</v>
      </c>
    </row>
    <row r="2011" spans="3:6" x14ac:dyDescent="0.25">
      <c r="C2011" s="2" t="s">
        <v>10123</v>
      </c>
      <c r="D2011" s="2" t="s">
        <v>9</v>
      </c>
      <c r="E2011" s="2">
        <v>134</v>
      </c>
      <c r="F2011" s="2">
        <v>2508.54</v>
      </c>
    </row>
    <row r="2012" spans="3:6" x14ac:dyDescent="0.25">
      <c r="C2012" s="2" t="s">
        <v>10124</v>
      </c>
      <c r="D2012" s="2" t="s">
        <v>9</v>
      </c>
      <c r="E2012" s="2">
        <v>123</v>
      </c>
      <c r="F2012" s="2">
        <v>2388.518</v>
      </c>
    </row>
    <row r="2013" spans="3:6" x14ac:dyDescent="0.25">
      <c r="C2013" s="2" t="s">
        <v>10125</v>
      </c>
      <c r="D2013" s="2" t="s">
        <v>9</v>
      </c>
      <c r="E2013" s="2">
        <v>102</v>
      </c>
      <c r="F2013" s="2">
        <v>2066</v>
      </c>
    </row>
    <row r="2014" spans="3:6" x14ac:dyDescent="0.25">
      <c r="C2014" s="2" t="s">
        <v>10126</v>
      </c>
      <c r="D2014" s="2" t="s">
        <v>9</v>
      </c>
      <c r="E2014" s="2">
        <v>141</v>
      </c>
      <c r="F2014" s="2">
        <v>2963.16</v>
      </c>
    </row>
    <row r="2015" spans="3:6" x14ac:dyDescent="0.25">
      <c r="C2015" s="2" t="s">
        <v>10127</v>
      </c>
      <c r="D2015" s="2" t="s">
        <v>9</v>
      </c>
      <c r="E2015" s="2">
        <v>141</v>
      </c>
      <c r="F2015" s="2">
        <v>3065.55</v>
      </c>
    </row>
    <row r="2016" spans="3:6" x14ac:dyDescent="0.25">
      <c r="C2016" s="2" t="s">
        <v>10128</v>
      </c>
      <c r="D2016" s="2" t="s">
        <v>9</v>
      </c>
      <c r="E2016" s="2">
        <v>142</v>
      </c>
      <c r="F2016" s="2">
        <v>2807.157</v>
      </c>
    </row>
    <row r="2017" spans="3:6" x14ac:dyDescent="0.25">
      <c r="C2017" s="2" t="s">
        <v>10129</v>
      </c>
      <c r="D2017" s="2" t="s">
        <v>9</v>
      </c>
      <c r="E2017" s="2">
        <v>60</v>
      </c>
      <c r="F2017" s="2">
        <v>254.9</v>
      </c>
    </row>
    <row r="2018" spans="3:6" x14ac:dyDescent="0.25">
      <c r="C2018" s="2" t="s">
        <v>10130</v>
      </c>
      <c r="D2018" s="2" t="s">
        <v>9</v>
      </c>
      <c r="E2018" s="2">
        <v>90</v>
      </c>
      <c r="F2018" s="2">
        <v>386.339</v>
      </c>
    </row>
    <row r="2019" spans="3:6" x14ac:dyDescent="0.25">
      <c r="C2019" s="2" t="s">
        <v>10131</v>
      </c>
      <c r="D2019" s="2" t="s">
        <v>9</v>
      </c>
      <c r="E2019" s="2">
        <v>124</v>
      </c>
      <c r="F2019" s="2">
        <v>2386.05</v>
      </c>
    </row>
    <row r="2020" spans="3:6" x14ac:dyDescent="0.25">
      <c r="C2020" s="2" t="s">
        <v>10132</v>
      </c>
      <c r="D2020" s="2" t="s">
        <v>9</v>
      </c>
      <c r="E2020" s="2">
        <v>141</v>
      </c>
      <c r="F2020" s="2">
        <v>2685.78</v>
      </c>
    </row>
    <row r="2021" spans="3:6" x14ac:dyDescent="0.25">
      <c r="C2021" s="2" t="s">
        <v>10133</v>
      </c>
      <c r="D2021" s="2" t="s">
        <v>9</v>
      </c>
      <c r="E2021" s="2">
        <v>141</v>
      </c>
      <c r="F2021" s="2">
        <v>2872.06</v>
      </c>
    </row>
    <row r="2022" spans="3:6" x14ac:dyDescent="0.25">
      <c r="C2022" s="2" t="s">
        <v>10134</v>
      </c>
      <c r="D2022" s="2" t="s">
        <v>9</v>
      </c>
      <c r="E2022" s="2">
        <v>102</v>
      </c>
      <c r="F2022" s="2">
        <v>1922.649</v>
      </c>
    </row>
    <row r="2023" spans="3:6" x14ac:dyDescent="0.25">
      <c r="C2023" s="2" t="s">
        <v>10135</v>
      </c>
      <c r="D2023" s="2" t="s">
        <v>9</v>
      </c>
      <c r="E2023" s="2">
        <v>141</v>
      </c>
      <c r="F2023" s="2">
        <v>2769.32</v>
      </c>
    </row>
    <row r="2024" spans="3:6" x14ac:dyDescent="0.25">
      <c r="C2024" s="2" t="s">
        <v>10136</v>
      </c>
      <c r="D2024" s="2" t="s">
        <v>9</v>
      </c>
      <c r="E2024" s="2">
        <v>53</v>
      </c>
      <c r="F2024" s="2">
        <v>1096.27</v>
      </c>
    </row>
    <row r="2025" spans="3:6" x14ac:dyDescent="0.25">
      <c r="C2025" s="2" t="s">
        <v>10137</v>
      </c>
      <c r="D2025" s="2" t="s">
        <v>9</v>
      </c>
      <c r="E2025" s="2">
        <v>88</v>
      </c>
      <c r="F2025" s="2">
        <v>1783.59</v>
      </c>
    </row>
    <row r="2026" spans="3:6" x14ac:dyDescent="0.25">
      <c r="C2026" s="2" t="s">
        <v>10138</v>
      </c>
      <c r="D2026" s="2" t="s">
        <v>9</v>
      </c>
      <c r="E2026" s="2">
        <v>141</v>
      </c>
      <c r="F2026" s="2">
        <v>2889.419</v>
      </c>
    </row>
    <row r="2027" spans="3:6" x14ac:dyDescent="0.25">
      <c r="C2027" s="2" t="s">
        <v>10139</v>
      </c>
      <c r="D2027" s="2" t="s">
        <v>9</v>
      </c>
      <c r="E2027" s="2">
        <v>141</v>
      </c>
      <c r="F2027" s="2">
        <v>2857.71</v>
      </c>
    </row>
    <row r="2028" spans="3:6" x14ac:dyDescent="0.25">
      <c r="C2028" s="2" t="s">
        <v>10140</v>
      </c>
      <c r="D2028" s="2" t="s">
        <v>9</v>
      </c>
      <c r="E2028" s="2">
        <v>142</v>
      </c>
      <c r="F2028" s="2">
        <v>2782.68</v>
      </c>
    </row>
    <row r="2029" spans="3:6" x14ac:dyDescent="0.25">
      <c r="C2029" s="2" t="s">
        <v>10141</v>
      </c>
      <c r="D2029" s="2" t="s">
        <v>9</v>
      </c>
      <c r="E2029" s="2">
        <v>102</v>
      </c>
      <c r="F2029" s="2">
        <v>2021.47</v>
      </c>
    </row>
    <row r="2030" spans="3:6" x14ac:dyDescent="0.25">
      <c r="C2030" s="2" t="s">
        <v>10142</v>
      </c>
      <c r="D2030" s="2" t="s">
        <v>9</v>
      </c>
      <c r="E2030" s="2">
        <v>141</v>
      </c>
      <c r="F2030" s="2">
        <v>2931.55</v>
      </c>
    </row>
    <row r="2031" spans="3:6" x14ac:dyDescent="0.25">
      <c r="C2031" s="2" t="s">
        <v>10143</v>
      </c>
      <c r="D2031" s="2" t="s">
        <v>9</v>
      </c>
      <c r="E2031" s="2">
        <v>141</v>
      </c>
      <c r="F2031" s="2">
        <v>2799.259</v>
      </c>
    </row>
    <row r="2032" spans="3:6" x14ac:dyDescent="0.25">
      <c r="C2032" s="2" t="s">
        <v>10144</v>
      </c>
      <c r="D2032" s="2" t="s">
        <v>9</v>
      </c>
      <c r="E2032" s="2">
        <v>102</v>
      </c>
      <c r="F2032" s="2">
        <v>1856.089</v>
      </c>
    </row>
    <row r="2033" spans="3:6" x14ac:dyDescent="0.25">
      <c r="C2033" s="2" t="s">
        <v>10145</v>
      </c>
      <c r="D2033" s="2" t="s">
        <v>9</v>
      </c>
      <c r="E2033" s="2">
        <v>85</v>
      </c>
      <c r="F2033" s="2">
        <v>1727.2</v>
      </c>
    </row>
    <row r="2034" spans="3:6" x14ac:dyDescent="0.25">
      <c r="C2034" s="2" t="s">
        <v>10146</v>
      </c>
      <c r="D2034" s="2" t="s">
        <v>9</v>
      </c>
      <c r="E2034" s="2">
        <v>38</v>
      </c>
      <c r="F2034" s="2">
        <v>728.28</v>
      </c>
    </row>
    <row r="2035" spans="3:6" x14ac:dyDescent="0.25">
      <c r="C2035" s="2" t="s">
        <v>10147</v>
      </c>
      <c r="D2035" s="2" t="s">
        <v>9</v>
      </c>
      <c r="E2035" s="2">
        <v>102</v>
      </c>
      <c r="F2035" s="2">
        <v>1807.83</v>
      </c>
    </row>
    <row r="2036" spans="3:6" x14ac:dyDescent="0.25">
      <c r="C2036" s="2" t="s">
        <v>10148</v>
      </c>
      <c r="D2036" s="2" t="s">
        <v>9</v>
      </c>
      <c r="E2036" s="2">
        <v>102</v>
      </c>
      <c r="F2036" s="2">
        <v>2149.5</v>
      </c>
    </row>
    <row r="2037" spans="3:6" x14ac:dyDescent="0.25">
      <c r="C2037" s="2" t="s">
        <v>10149</v>
      </c>
      <c r="D2037" s="2" t="s">
        <v>9</v>
      </c>
      <c r="E2037" s="2">
        <v>75</v>
      </c>
      <c r="F2037" s="2">
        <v>1534.92</v>
      </c>
    </row>
    <row r="2038" spans="3:6" x14ac:dyDescent="0.25">
      <c r="C2038" s="2" t="s">
        <v>10150</v>
      </c>
      <c r="D2038" s="2" t="s">
        <v>9</v>
      </c>
      <c r="E2038" s="2">
        <v>141</v>
      </c>
      <c r="F2038" s="2">
        <v>2927.16</v>
      </c>
    </row>
    <row r="2039" spans="3:6" x14ac:dyDescent="0.25">
      <c r="C2039" s="2" t="s">
        <v>10151</v>
      </c>
      <c r="D2039" s="2" t="s">
        <v>9</v>
      </c>
      <c r="E2039" s="2">
        <v>111</v>
      </c>
      <c r="F2039" s="2">
        <v>2182.47</v>
      </c>
    </row>
    <row r="2040" spans="3:6" x14ac:dyDescent="0.25">
      <c r="C2040" s="2" t="s">
        <v>10152</v>
      </c>
      <c r="D2040" s="2" t="s">
        <v>9</v>
      </c>
      <c r="E2040" s="2">
        <v>30</v>
      </c>
      <c r="F2040" s="2">
        <v>612.41</v>
      </c>
    </row>
    <row r="2041" spans="3:6" x14ac:dyDescent="0.25">
      <c r="C2041" s="2" t="s">
        <v>10153</v>
      </c>
      <c r="D2041" s="2" t="s">
        <v>9</v>
      </c>
      <c r="E2041" s="2">
        <v>104</v>
      </c>
      <c r="F2041" s="2">
        <v>2157.769</v>
      </c>
    </row>
    <row r="2042" spans="3:6" x14ac:dyDescent="0.25">
      <c r="C2042" s="2" t="s">
        <v>10154</v>
      </c>
      <c r="D2042" s="2" t="s">
        <v>9</v>
      </c>
      <c r="E2042" s="2">
        <v>37</v>
      </c>
      <c r="F2042" s="2">
        <v>751.56</v>
      </c>
    </row>
    <row r="2043" spans="3:6" x14ac:dyDescent="0.25">
      <c r="C2043" s="2" t="s">
        <v>10155</v>
      </c>
      <c r="D2043" s="2" t="s">
        <v>9</v>
      </c>
      <c r="E2043" s="2">
        <v>64</v>
      </c>
      <c r="F2043" s="2">
        <v>1231.21</v>
      </c>
    </row>
    <row r="2044" spans="3:6" x14ac:dyDescent="0.25">
      <c r="C2044" s="2" t="s">
        <v>10156</v>
      </c>
      <c r="D2044" s="2" t="s">
        <v>9</v>
      </c>
      <c r="E2044" s="2">
        <v>30</v>
      </c>
      <c r="F2044" s="2">
        <v>494.71</v>
      </c>
    </row>
    <row r="2045" spans="3:6" x14ac:dyDescent="0.25">
      <c r="C2045" s="2" t="s">
        <v>10157</v>
      </c>
      <c r="D2045" s="2" t="s">
        <v>9</v>
      </c>
      <c r="E2045" s="2">
        <v>20</v>
      </c>
      <c r="F2045" s="2">
        <v>389.37</v>
      </c>
    </row>
    <row r="2046" spans="3:6" x14ac:dyDescent="0.25">
      <c r="C2046" s="2" t="s">
        <v>10158</v>
      </c>
      <c r="D2046" s="2" t="s">
        <v>9</v>
      </c>
      <c r="E2046" s="2">
        <v>29</v>
      </c>
      <c r="F2046" s="2">
        <v>560.42</v>
      </c>
    </row>
    <row r="2047" spans="3:6" x14ac:dyDescent="0.25">
      <c r="C2047" s="2" t="s">
        <v>10159</v>
      </c>
      <c r="D2047" s="2" t="s">
        <v>9</v>
      </c>
      <c r="E2047" s="2">
        <v>16</v>
      </c>
      <c r="F2047" s="2">
        <v>262.45</v>
      </c>
    </row>
    <row r="2048" spans="3:6" x14ac:dyDescent="0.25">
      <c r="C2048" s="2" t="s">
        <v>10160</v>
      </c>
      <c r="D2048" s="2" t="s">
        <v>9</v>
      </c>
      <c r="E2048" s="2">
        <v>20</v>
      </c>
      <c r="F2048" s="2">
        <v>399.83</v>
      </c>
    </row>
    <row r="2049" spans="3:6" x14ac:dyDescent="0.25">
      <c r="C2049" s="2" t="s">
        <v>10161</v>
      </c>
      <c r="D2049" s="2" t="s">
        <v>9</v>
      </c>
      <c r="E2049" s="2">
        <v>37</v>
      </c>
      <c r="F2049" s="2">
        <v>702.82</v>
      </c>
    </row>
    <row r="2050" spans="3:6" x14ac:dyDescent="0.25">
      <c r="C2050" s="2" t="s">
        <v>10162</v>
      </c>
      <c r="D2050" s="2" t="s">
        <v>9</v>
      </c>
      <c r="E2050" s="2">
        <v>45</v>
      </c>
      <c r="F2050" s="2">
        <v>828.44</v>
      </c>
    </row>
    <row r="2051" spans="3:6" x14ac:dyDescent="0.25">
      <c r="C2051" s="2" t="s">
        <v>10163</v>
      </c>
      <c r="D2051" s="2" t="s">
        <v>9</v>
      </c>
      <c r="E2051" s="2">
        <v>9</v>
      </c>
      <c r="F2051" s="2">
        <v>164.66</v>
      </c>
    </row>
    <row r="2052" spans="3:6" x14ac:dyDescent="0.25">
      <c r="C2052" s="2" t="s">
        <v>10164</v>
      </c>
      <c r="D2052" s="2" t="s">
        <v>9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120</v>
      </c>
      <c r="C2054" s="2" t="s">
        <v>10165</v>
      </c>
      <c r="D2054" s="2" t="s">
        <v>122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10166</v>
      </c>
      <c r="D2055" s="2" t="s">
        <v>122</v>
      </c>
      <c r="E2055" s="2">
        <v>70</v>
      </c>
      <c r="F2055" s="2">
        <v>1422.28</v>
      </c>
    </row>
    <row r="2056" spans="3:6" x14ac:dyDescent="0.25">
      <c r="C2056" s="2" t="s">
        <v>10167</v>
      </c>
      <c r="D2056" s="2" t="s">
        <v>122</v>
      </c>
      <c r="E2056" s="2">
        <v>30</v>
      </c>
      <c r="F2056" s="2">
        <v>598.96</v>
      </c>
    </row>
    <row r="2057" spans="3:6" x14ac:dyDescent="0.25">
      <c r="C2057" s="2" t="s">
        <v>10168</v>
      </c>
      <c r="D2057" s="2" t="s">
        <v>122</v>
      </c>
      <c r="E2057" s="2">
        <v>21</v>
      </c>
      <c r="F2057" s="2">
        <v>415.36</v>
      </c>
    </row>
    <row r="2058" spans="3:6" x14ac:dyDescent="0.25">
      <c r="C2058" s="2" t="s">
        <v>10169</v>
      </c>
      <c r="D2058" s="2" t="s">
        <v>122</v>
      </c>
      <c r="E2058" s="2">
        <v>99</v>
      </c>
      <c r="F2058" s="2">
        <v>2027.94</v>
      </c>
    </row>
    <row r="2059" spans="3:6" x14ac:dyDescent="0.25">
      <c r="C2059" s="2" t="s">
        <v>10170</v>
      </c>
      <c r="D2059" s="2" t="s">
        <v>122</v>
      </c>
      <c r="E2059" s="2">
        <v>22</v>
      </c>
      <c r="F2059" s="2">
        <v>406.73</v>
      </c>
    </row>
    <row r="2060" spans="3:6" x14ac:dyDescent="0.25">
      <c r="C2060" s="2" t="s">
        <v>10171</v>
      </c>
      <c r="D2060" s="2" t="s">
        <v>122</v>
      </c>
      <c r="E2060" s="2">
        <v>60</v>
      </c>
      <c r="F2060" s="2">
        <v>538.749</v>
      </c>
    </row>
    <row r="2061" spans="3:6" x14ac:dyDescent="0.25">
      <c r="C2061" s="2" t="s">
        <v>10172</v>
      </c>
      <c r="D2061" s="2" t="s">
        <v>122</v>
      </c>
      <c r="E2061" s="2">
        <v>26</v>
      </c>
      <c r="F2061" s="2">
        <v>515.88</v>
      </c>
    </row>
    <row r="2062" spans="3:6" x14ac:dyDescent="0.25">
      <c r="C2062" s="2" t="s">
        <v>10173</v>
      </c>
      <c r="D2062" s="2" t="s">
        <v>122</v>
      </c>
      <c r="E2062" s="2">
        <v>15</v>
      </c>
      <c r="F2062" s="2">
        <v>261</v>
      </c>
    </row>
    <row r="2063" spans="3:6" x14ac:dyDescent="0.25">
      <c r="C2063" s="2" t="s">
        <v>10174</v>
      </c>
      <c r="D2063" s="2" t="s">
        <v>122</v>
      </c>
      <c r="E2063" s="2">
        <v>99</v>
      </c>
      <c r="F2063" s="2">
        <v>2017.15</v>
      </c>
    </row>
    <row r="2064" spans="3:6" x14ac:dyDescent="0.25">
      <c r="C2064" s="2" t="s">
        <v>10175</v>
      </c>
      <c r="D2064" s="2" t="s">
        <v>122</v>
      </c>
      <c r="E2064" s="2">
        <v>42</v>
      </c>
      <c r="F2064" s="2">
        <v>873.69</v>
      </c>
    </row>
    <row r="2065" spans="3:6" x14ac:dyDescent="0.25">
      <c r="C2065" s="2" t="s">
        <v>10176</v>
      </c>
      <c r="D2065" s="2" t="s">
        <v>122</v>
      </c>
      <c r="E2065" s="2">
        <v>96</v>
      </c>
      <c r="F2065" s="2">
        <v>1970.41</v>
      </c>
    </row>
    <row r="2066" spans="3:6" x14ac:dyDescent="0.25">
      <c r="C2066" s="2" t="s">
        <v>10177</v>
      </c>
      <c r="D2066" s="2" t="s">
        <v>122</v>
      </c>
      <c r="E2066" s="2">
        <v>45</v>
      </c>
      <c r="F2066" s="2">
        <v>935.25</v>
      </c>
    </row>
    <row r="2067" spans="3:6" x14ac:dyDescent="0.25">
      <c r="C2067" s="2" t="s">
        <v>10178</v>
      </c>
      <c r="D2067" s="2" t="s">
        <v>122</v>
      </c>
      <c r="E2067" s="2">
        <v>102</v>
      </c>
      <c r="F2067" s="2">
        <v>2124.39</v>
      </c>
    </row>
    <row r="2068" spans="3:6" x14ac:dyDescent="0.25">
      <c r="C2068" s="2" t="s">
        <v>10179</v>
      </c>
      <c r="D2068" s="2" t="s">
        <v>122</v>
      </c>
      <c r="E2068" s="2">
        <v>75</v>
      </c>
      <c r="F2068" s="2">
        <v>1554.28</v>
      </c>
    </row>
    <row r="2069" spans="3:6" x14ac:dyDescent="0.25">
      <c r="C2069" s="2" t="s">
        <v>10180</v>
      </c>
      <c r="D2069" s="2" t="s">
        <v>122</v>
      </c>
      <c r="E2069" s="2">
        <v>91</v>
      </c>
      <c r="F2069" s="2">
        <v>1850.99</v>
      </c>
    </row>
    <row r="2070" spans="3:6" x14ac:dyDescent="0.25">
      <c r="C2070" s="2" t="s">
        <v>10181</v>
      </c>
      <c r="D2070" s="2" t="s">
        <v>122</v>
      </c>
      <c r="E2070" s="2">
        <v>43</v>
      </c>
      <c r="F2070" s="2">
        <v>885.5</v>
      </c>
    </row>
    <row r="2071" spans="3:6" x14ac:dyDescent="0.25">
      <c r="C2071" s="2" t="s">
        <v>10182</v>
      </c>
      <c r="D2071" s="2" t="s">
        <v>122</v>
      </c>
      <c r="E2071" s="2">
        <v>141</v>
      </c>
      <c r="F2071" s="2">
        <v>2884.53</v>
      </c>
    </row>
    <row r="2072" spans="3:6" x14ac:dyDescent="0.25">
      <c r="C2072" s="2" t="s">
        <v>10183</v>
      </c>
      <c r="D2072" s="2" t="s">
        <v>122</v>
      </c>
      <c r="E2072" s="2">
        <v>65</v>
      </c>
      <c r="F2072" s="2">
        <v>1349.23</v>
      </c>
    </row>
    <row r="2073" spans="3:6" x14ac:dyDescent="0.25">
      <c r="C2073" s="2" t="s">
        <v>10184</v>
      </c>
      <c r="D2073" s="2" t="s">
        <v>122</v>
      </c>
      <c r="E2073" s="2">
        <v>59</v>
      </c>
      <c r="F2073" s="2">
        <v>1110.519</v>
      </c>
    </row>
    <row r="2074" spans="3:6" x14ac:dyDescent="0.25">
      <c r="C2074" s="2" t="s">
        <v>10185</v>
      </c>
      <c r="D2074" s="2" t="s">
        <v>122</v>
      </c>
      <c r="E2074" s="2">
        <v>17</v>
      </c>
      <c r="F2074" s="2">
        <v>320.4</v>
      </c>
    </row>
    <row r="2075" spans="3:6" x14ac:dyDescent="0.25">
      <c r="C2075" s="2" t="s">
        <v>10186</v>
      </c>
      <c r="D2075" s="2" t="s">
        <v>122</v>
      </c>
      <c r="E2075" s="2">
        <v>46</v>
      </c>
      <c r="F2075" s="2">
        <v>873.909</v>
      </c>
    </row>
    <row r="2076" spans="3:6" x14ac:dyDescent="0.25">
      <c r="C2076" s="2" t="s">
        <v>10187</v>
      </c>
      <c r="D2076" s="2" t="s">
        <v>122</v>
      </c>
      <c r="E2076" s="2">
        <v>43</v>
      </c>
      <c r="F2076" s="2">
        <v>776.34</v>
      </c>
    </row>
    <row r="2077" spans="3:6" x14ac:dyDescent="0.25">
      <c r="C2077" s="2" t="s">
        <v>10188</v>
      </c>
      <c r="D2077" s="2" t="s">
        <v>122</v>
      </c>
      <c r="E2077" s="2">
        <v>37</v>
      </c>
      <c r="F2077" s="2">
        <v>708.62</v>
      </c>
    </row>
    <row r="2078" spans="3:6" x14ac:dyDescent="0.25">
      <c r="C2078" s="2" t="s">
        <v>10189</v>
      </c>
      <c r="D2078" s="2" t="s">
        <v>122</v>
      </c>
      <c r="E2078" s="2">
        <v>15</v>
      </c>
      <c r="F2078" s="2">
        <v>285.29</v>
      </c>
    </row>
    <row r="2079" spans="3:6" x14ac:dyDescent="0.25">
      <c r="C2079" s="2" t="s">
        <v>10190</v>
      </c>
      <c r="D2079" s="2" t="s">
        <v>122</v>
      </c>
      <c r="E2079" s="2">
        <v>9</v>
      </c>
      <c r="F2079" s="2">
        <v>138.02</v>
      </c>
    </row>
    <row r="2080" spans="3:6" x14ac:dyDescent="0.25">
      <c r="C2080" s="2" t="s">
        <v>10191</v>
      </c>
      <c r="D2080" s="2" t="s">
        <v>122</v>
      </c>
      <c r="E2080" s="2">
        <v>132</v>
      </c>
      <c r="F2080" s="2">
        <v>2719.04</v>
      </c>
    </row>
    <row r="2081" spans="3:6" x14ac:dyDescent="0.25">
      <c r="C2081" s="2" t="s">
        <v>10192</v>
      </c>
      <c r="D2081" s="2" t="s">
        <v>122</v>
      </c>
      <c r="E2081" s="2">
        <v>9</v>
      </c>
      <c r="F2081" s="2">
        <v>81.12</v>
      </c>
    </row>
    <row r="2082" spans="3:6" x14ac:dyDescent="0.25">
      <c r="C2082" s="2" t="s">
        <v>10193</v>
      </c>
      <c r="D2082" s="2" t="s">
        <v>122</v>
      </c>
      <c r="E2082" s="2">
        <v>60</v>
      </c>
      <c r="F2082" s="2">
        <v>1225.92</v>
      </c>
    </row>
    <row r="2083" spans="3:6" x14ac:dyDescent="0.25">
      <c r="C2083" s="2" t="s">
        <v>10194</v>
      </c>
      <c r="D2083" s="2" t="s">
        <v>122</v>
      </c>
      <c r="E2083" s="2">
        <v>74</v>
      </c>
      <c r="F2083" s="2">
        <v>1510.789</v>
      </c>
    </row>
    <row r="2084" spans="3:6" x14ac:dyDescent="0.25">
      <c r="C2084" s="2" t="s">
        <v>10195</v>
      </c>
      <c r="D2084" s="2" t="s">
        <v>122</v>
      </c>
      <c r="E2084" s="2">
        <v>102</v>
      </c>
      <c r="F2084" s="2">
        <v>1934.498</v>
      </c>
    </row>
    <row r="2085" spans="3:6" x14ac:dyDescent="0.25">
      <c r="C2085" s="2" t="s">
        <v>10196</v>
      </c>
      <c r="D2085" s="2" t="s">
        <v>122</v>
      </c>
      <c r="E2085" s="2">
        <v>102</v>
      </c>
      <c r="F2085" s="2">
        <v>2078.46</v>
      </c>
    </row>
    <row r="2086" spans="3:6" x14ac:dyDescent="0.25">
      <c r="C2086" s="2" t="s">
        <v>10197</v>
      </c>
      <c r="D2086" s="2" t="s">
        <v>122</v>
      </c>
      <c r="E2086" s="2">
        <v>73</v>
      </c>
      <c r="F2086" s="2">
        <v>321.279</v>
      </c>
    </row>
    <row r="2087" spans="3:6" x14ac:dyDescent="0.25">
      <c r="C2087" s="2" t="s">
        <v>10198</v>
      </c>
      <c r="D2087" s="2" t="s">
        <v>122</v>
      </c>
      <c r="E2087" s="2">
        <v>48</v>
      </c>
      <c r="F2087" s="2">
        <v>750.96</v>
      </c>
    </row>
    <row r="2088" spans="3:6" x14ac:dyDescent="0.25">
      <c r="C2088" s="2" t="s">
        <v>10199</v>
      </c>
      <c r="D2088" s="2" t="s">
        <v>122</v>
      </c>
      <c r="E2088" s="2">
        <v>33</v>
      </c>
      <c r="F2088" s="2">
        <v>332.089</v>
      </c>
    </row>
    <row r="2089" spans="3:6" x14ac:dyDescent="0.25">
      <c r="C2089" s="2" t="s">
        <v>10200</v>
      </c>
      <c r="D2089" s="2" t="s">
        <v>122</v>
      </c>
      <c r="E2089" s="2">
        <v>45</v>
      </c>
      <c r="F2089" s="2">
        <v>868.11</v>
      </c>
    </row>
    <row r="2090" spans="3:6" x14ac:dyDescent="0.25">
      <c r="C2090" s="2" t="s">
        <v>10201</v>
      </c>
      <c r="D2090" s="2" t="s">
        <v>122</v>
      </c>
      <c r="E2090" s="2">
        <v>58</v>
      </c>
      <c r="F2090" s="2">
        <v>961.5</v>
      </c>
    </row>
    <row r="2091" spans="3:6" x14ac:dyDescent="0.25">
      <c r="C2091" s="2" t="s">
        <v>10202</v>
      </c>
      <c r="D2091" s="2" t="s">
        <v>122</v>
      </c>
      <c r="E2091" s="2">
        <v>33</v>
      </c>
      <c r="F2091" s="2">
        <v>610.988</v>
      </c>
    </row>
    <row r="2092" spans="3:6" x14ac:dyDescent="0.25">
      <c r="C2092" s="2" t="s">
        <v>10203</v>
      </c>
      <c r="D2092" s="2" t="s">
        <v>122</v>
      </c>
      <c r="E2092" s="2">
        <v>33</v>
      </c>
      <c r="F2092" s="2">
        <v>697.02</v>
      </c>
    </row>
    <row r="2093" spans="3:6" x14ac:dyDescent="0.25">
      <c r="C2093" s="2" t="s">
        <v>10204</v>
      </c>
      <c r="D2093" s="2" t="s">
        <v>122</v>
      </c>
      <c r="E2093" s="2">
        <v>19</v>
      </c>
      <c r="F2093" s="2">
        <v>379.69</v>
      </c>
    </row>
    <row r="2094" spans="3:6" x14ac:dyDescent="0.25">
      <c r="C2094" s="2" t="s">
        <v>10205</v>
      </c>
      <c r="D2094" s="2" t="s">
        <v>122</v>
      </c>
      <c r="E2094" s="2">
        <v>28</v>
      </c>
      <c r="F2094" s="2">
        <v>568.13</v>
      </c>
    </row>
    <row r="2095" spans="3:6" x14ac:dyDescent="0.25">
      <c r="C2095" s="2" t="s">
        <v>10206</v>
      </c>
      <c r="D2095" s="2" t="s">
        <v>122</v>
      </c>
      <c r="E2095" s="2">
        <v>39</v>
      </c>
      <c r="F2095" s="2">
        <v>787.62</v>
      </c>
    </row>
    <row r="2096" spans="3:6" x14ac:dyDescent="0.25">
      <c r="C2096" s="2" t="s">
        <v>10207</v>
      </c>
      <c r="D2096" s="2" t="s">
        <v>122</v>
      </c>
      <c r="E2096" s="2">
        <v>32</v>
      </c>
      <c r="F2096" s="2">
        <v>679.78</v>
      </c>
    </row>
    <row r="2097" spans="3:6" x14ac:dyDescent="0.25">
      <c r="C2097" s="2" t="s">
        <v>10208</v>
      </c>
      <c r="D2097" s="2" t="s">
        <v>122</v>
      </c>
      <c r="E2097" s="2">
        <v>17</v>
      </c>
      <c r="F2097" s="2">
        <v>333.78</v>
      </c>
    </row>
    <row r="2098" spans="3:6" x14ac:dyDescent="0.25">
      <c r="C2098" s="2" t="s">
        <v>10209</v>
      </c>
      <c r="D2098" s="2" t="s">
        <v>122</v>
      </c>
      <c r="E2098" s="2">
        <v>15</v>
      </c>
      <c r="F2098" s="2">
        <v>317.18</v>
      </c>
    </row>
    <row r="2099" spans="3:6" x14ac:dyDescent="0.25">
      <c r="C2099" s="2" t="s">
        <v>10210</v>
      </c>
      <c r="D2099" s="2" t="s">
        <v>122</v>
      </c>
      <c r="E2099" s="2">
        <v>10</v>
      </c>
      <c r="F2099" s="2">
        <v>218.97</v>
      </c>
    </row>
    <row r="2100" spans="3:6" x14ac:dyDescent="0.25">
      <c r="C2100" s="2" t="s">
        <v>10211</v>
      </c>
      <c r="D2100" s="2" t="s">
        <v>122</v>
      </c>
      <c r="E2100" s="2">
        <v>141</v>
      </c>
      <c r="F2100" s="2">
        <v>2907.8</v>
      </c>
    </row>
    <row r="2101" spans="3:6" x14ac:dyDescent="0.25">
      <c r="C2101" s="2" t="s">
        <v>10212</v>
      </c>
      <c r="D2101" s="2" t="s">
        <v>122</v>
      </c>
      <c r="E2101" s="2">
        <v>141</v>
      </c>
      <c r="F2101" s="2">
        <v>2855.93</v>
      </c>
    </row>
    <row r="2102" spans="3:6" x14ac:dyDescent="0.25">
      <c r="C2102" s="2" t="s">
        <v>10213</v>
      </c>
      <c r="D2102" s="2" t="s">
        <v>122</v>
      </c>
      <c r="E2102" s="2">
        <v>141</v>
      </c>
      <c r="F2102" s="2">
        <v>2849.14</v>
      </c>
    </row>
    <row r="2103" spans="3:6" x14ac:dyDescent="0.25">
      <c r="C2103" s="2" t="s">
        <v>10214</v>
      </c>
      <c r="D2103" s="2" t="s">
        <v>122</v>
      </c>
      <c r="E2103" s="2">
        <v>102</v>
      </c>
      <c r="F2103" s="2">
        <v>1999.999</v>
      </c>
    </row>
    <row r="2104" spans="3:6" x14ac:dyDescent="0.25">
      <c r="C2104" s="2" t="s">
        <v>10215</v>
      </c>
      <c r="D2104" s="2" t="s">
        <v>122</v>
      </c>
      <c r="E2104" s="2">
        <v>65</v>
      </c>
      <c r="F2104" s="2">
        <v>1279.15</v>
      </c>
    </row>
    <row r="2105" spans="3:6" x14ac:dyDescent="0.25">
      <c r="C2105" s="2" t="s">
        <v>10216</v>
      </c>
      <c r="D2105" s="2" t="s">
        <v>122</v>
      </c>
      <c r="E2105" s="2">
        <v>67</v>
      </c>
      <c r="F2105" s="2">
        <v>1336.99</v>
      </c>
    </row>
    <row r="2106" spans="3:6" x14ac:dyDescent="0.25">
      <c r="C2106" s="2" t="s">
        <v>10217</v>
      </c>
      <c r="D2106" s="2" t="s">
        <v>122</v>
      </c>
      <c r="E2106" s="2">
        <v>9</v>
      </c>
      <c r="F2106" s="2">
        <v>198.18</v>
      </c>
    </row>
    <row r="2107" spans="3:6" x14ac:dyDescent="0.25">
      <c r="C2107" s="2" t="s">
        <v>10218</v>
      </c>
      <c r="D2107" s="2" t="s">
        <v>122</v>
      </c>
      <c r="E2107" s="2">
        <v>129</v>
      </c>
      <c r="F2107" s="2">
        <v>2719.989</v>
      </c>
    </row>
    <row r="2108" spans="3:6" x14ac:dyDescent="0.25">
      <c r="C2108" s="2" t="s">
        <v>10219</v>
      </c>
      <c r="D2108" s="2" t="s">
        <v>122</v>
      </c>
      <c r="E2108" s="2">
        <v>12</v>
      </c>
      <c r="F2108" s="2">
        <v>229.86</v>
      </c>
    </row>
    <row r="2109" spans="3:6" x14ac:dyDescent="0.25">
      <c r="C2109" s="2" t="s">
        <v>10220</v>
      </c>
      <c r="D2109" s="2" t="s">
        <v>122</v>
      </c>
      <c r="E2109" s="2">
        <v>78</v>
      </c>
      <c r="F2109" s="2">
        <v>1631.22</v>
      </c>
    </row>
    <row r="2110" spans="3:6" x14ac:dyDescent="0.25">
      <c r="C2110" s="2" t="s">
        <v>10221</v>
      </c>
      <c r="D2110" s="2" t="s">
        <v>122</v>
      </c>
      <c r="E2110" s="2">
        <v>63</v>
      </c>
      <c r="F2110" s="2">
        <v>1332.82</v>
      </c>
    </row>
    <row r="2111" spans="3:6" x14ac:dyDescent="0.25">
      <c r="C2111" s="2" t="s">
        <v>10222</v>
      </c>
      <c r="D2111" s="2" t="s">
        <v>122</v>
      </c>
      <c r="E2111" s="2">
        <v>35</v>
      </c>
      <c r="F2111" s="2">
        <v>770.07</v>
      </c>
    </row>
    <row r="2112" spans="3:6" x14ac:dyDescent="0.25">
      <c r="C2112" s="2" t="s">
        <v>10223</v>
      </c>
      <c r="D2112" s="2" t="s">
        <v>122</v>
      </c>
      <c r="E2112" s="2">
        <v>40</v>
      </c>
      <c r="F2112" s="2">
        <v>771.359</v>
      </c>
    </row>
    <row r="2113" spans="3:6" x14ac:dyDescent="0.25">
      <c r="C2113" s="2" t="s">
        <v>10224</v>
      </c>
      <c r="D2113" s="2" t="s">
        <v>122</v>
      </c>
      <c r="E2113" s="2">
        <v>35</v>
      </c>
      <c r="F2113" s="2">
        <v>755.86</v>
      </c>
    </row>
    <row r="2114" spans="3:6" x14ac:dyDescent="0.25">
      <c r="C2114" s="2" t="s">
        <v>10225</v>
      </c>
      <c r="D2114" s="2" t="s">
        <v>122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90</v>
      </c>
      <c r="C2116" s="2" t="s">
        <v>10226</v>
      </c>
      <c r="D2116" s="2" t="s">
        <v>42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10227</v>
      </c>
      <c r="D2117" s="2" t="s">
        <v>42</v>
      </c>
      <c r="E2117" s="2">
        <v>134</v>
      </c>
      <c r="F2117" s="2">
        <v>2126.805</v>
      </c>
    </row>
    <row r="2118" spans="3:6" x14ac:dyDescent="0.25">
      <c r="C2118" s="2" t="s">
        <v>10228</v>
      </c>
      <c r="D2118" s="2" t="s">
        <v>42</v>
      </c>
      <c r="E2118" s="2">
        <v>141</v>
      </c>
      <c r="F2118" s="2">
        <v>2853.8</v>
      </c>
    </row>
    <row r="2119" spans="3:6" x14ac:dyDescent="0.25">
      <c r="C2119" s="2" t="s">
        <v>10229</v>
      </c>
      <c r="D2119" s="2" t="s">
        <v>42</v>
      </c>
      <c r="E2119" s="2">
        <v>141</v>
      </c>
      <c r="F2119" s="2">
        <v>2956.75</v>
      </c>
    </row>
    <row r="2120" spans="3:6" x14ac:dyDescent="0.25">
      <c r="C2120" s="2" t="s">
        <v>10230</v>
      </c>
      <c r="D2120" s="2" t="s">
        <v>42</v>
      </c>
      <c r="E2120" s="2">
        <v>141</v>
      </c>
      <c r="F2120" s="2">
        <v>2958.41</v>
      </c>
    </row>
    <row r="2121" spans="3:6" x14ac:dyDescent="0.25">
      <c r="C2121" s="2" t="s">
        <v>10231</v>
      </c>
      <c r="D2121" s="2" t="s">
        <v>42</v>
      </c>
      <c r="E2121" s="2">
        <v>37</v>
      </c>
      <c r="F2121" s="2">
        <v>603.051</v>
      </c>
    </row>
    <row r="2122" spans="3:6" x14ac:dyDescent="0.25">
      <c r="C2122" s="2" t="s">
        <v>10232</v>
      </c>
      <c r="D2122" s="2" t="s">
        <v>42</v>
      </c>
      <c r="E2122" s="2">
        <v>28</v>
      </c>
      <c r="F2122" s="2">
        <v>591.47</v>
      </c>
    </row>
    <row r="2123" spans="3:6" x14ac:dyDescent="0.25">
      <c r="C2123" s="2" t="s">
        <v>10233</v>
      </c>
      <c r="D2123" s="2" t="s">
        <v>42</v>
      </c>
      <c r="E2123" s="2">
        <v>58</v>
      </c>
      <c r="F2123" s="2">
        <v>1162.61</v>
      </c>
    </row>
    <row r="2124" spans="3:6" x14ac:dyDescent="0.25">
      <c r="C2124" s="2" t="s">
        <v>10234</v>
      </c>
      <c r="D2124" s="2" t="s">
        <v>42</v>
      </c>
      <c r="E2124" s="2">
        <v>123</v>
      </c>
      <c r="F2124" s="2">
        <v>2563.849</v>
      </c>
    </row>
    <row r="2125" spans="3:6" x14ac:dyDescent="0.25">
      <c r="C2125" s="2" t="s">
        <v>10235</v>
      </c>
      <c r="D2125" s="2" t="s">
        <v>42</v>
      </c>
      <c r="E2125" s="2">
        <v>123</v>
      </c>
      <c r="F2125" s="2">
        <v>2548.41</v>
      </c>
    </row>
    <row r="2126" spans="3:6" x14ac:dyDescent="0.25">
      <c r="C2126" s="2" t="s">
        <v>10236</v>
      </c>
      <c r="D2126" s="2" t="s">
        <v>42</v>
      </c>
      <c r="E2126" s="2">
        <v>123</v>
      </c>
      <c r="F2126" s="2">
        <v>2559.989</v>
      </c>
    </row>
    <row r="2127" spans="3:6" x14ac:dyDescent="0.25">
      <c r="C2127" s="2" t="s">
        <v>10237</v>
      </c>
      <c r="D2127" s="2" t="s">
        <v>42</v>
      </c>
      <c r="E2127" s="2">
        <v>141</v>
      </c>
      <c r="F2127" s="2">
        <v>2817.378</v>
      </c>
    </row>
    <row r="2128" spans="3:6" x14ac:dyDescent="0.25">
      <c r="C2128" s="2" t="s">
        <v>10238</v>
      </c>
      <c r="D2128" s="2" t="s">
        <v>42</v>
      </c>
      <c r="E2128" s="2">
        <v>91</v>
      </c>
      <c r="F2128" s="2">
        <v>1825.75</v>
      </c>
    </row>
    <row r="2129" spans="3:6" x14ac:dyDescent="0.25">
      <c r="C2129" s="2" t="s">
        <v>10239</v>
      </c>
      <c r="D2129" s="2" t="s">
        <v>42</v>
      </c>
      <c r="E2129" s="2">
        <v>50</v>
      </c>
      <c r="F2129" s="2">
        <v>994.09</v>
      </c>
    </row>
    <row r="2130" spans="3:6" x14ac:dyDescent="0.25">
      <c r="C2130" s="2" t="s">
        <v>10240</v>
      </c>
      <c r="D2130" s="2" t="s">
        <v>42</v>
      </c>
      <c r="E2130" s="2">
        <v>50</v>
      </c>
      <c r="F2130" s="2">
        <v>263.85</v>
      </c>
    </row>
    <row r="2131" spans="3:6" x14ac:dyDescent="0.25">
      <c r="C2131" s="2" t="s">
        <v>10241</v>
      </c>
      <c r="D2131" s="2" t="s">
        <v>42</v>
      </c>
      <c r="E2131" s="2">
        <v>141</v>
      </c>
      <c r="F2131" s="2">
        <v>2965.339</v>
      </c>
    </row>
    <row r="2132" spans="3:6" x14ac:dyDescent="0.25">
      <c r="C2132" s="2" t="s">
        <v>10242</v>
      </c>
      <c r="D2132" s="2" t="s">
        <v>42</v>
      </c>
      <c r="E2132" s="2">
        <v>68</v>
      </c>
      <c r="F2132" s="2">
        <v>1326.4</v>
      </c>
    </row>
    <row r="2133" spans="3:6" x14ac:dyDescent="0.25">
      <c r="C2133" s="2" t="s">
        <v>10243</v>
      </c>
      <c r="D2133" s="2" t="s">
        <v>42</v>
      </c>
      <c r="E2133" s="2">
        <v>62</v>
      </c>
      <c r="F2133" s="2">
        <v>1247.586</v>
      </c>
    </row>
    <row r="2134" spans="3:6" x14ac:dyDescent="0.25">
      <c r="C2134" s="2" t="s">
        <v>10244</v>
      </c>
      <c r="D2134" s="2" t="s">
        <v>42</v>
      </c>
      <c r="E2134" s="2">
        <v>95</v>
      </c>
      <c r="F2134" s="2">
        <v>2084.32</v>
      </c>
    </row>
    <row r="2135" spans="3:6" x14ac:dyDescent="0.25">
      <c r="C2135" s="2" t="s">
        <v>10245</v>
      </c>
      <c r="D2135" s="2" t="s">
        <v>42</v>
      </c>
      <c r="E2135" s="2">
        <v>28</v>
      </c>
      <c r="F2135" s="2">
        <v>603.65</v>
      </c>
    </row>
    <row r="2136" spans="3:6" x14ac:dyDescent="0.25">
      <c r="C2136" s="2" t="s">
        <v>10246</v>
      </c>
      <c r="D2136" s="2" t="s">
        <v>42</v>
      </c>
      <c r="E2136" s="2">
        <v>113</v>
      </c>
      <c r="F2136" s="2">
        <v>2311.099</v>
      </c>
    </row>
    <row r="2137" spans="3:6" x14ac:dyDescent="0.25">
      <c r="C2137" s="2" t="s">
        <v>10247</v>
      </c>
      <c r="D2137" s="2" t="s">
        <v>42</v>
      </c>
      <c r="E2137" s="2">
        <v>93</v>
      </c>
      <c r="F2137" s="2">
        <v>1883.86</v>
      </c>
    </row>
    <row r="2138" spans="3:6" x14ac:dyDescent="0.25">
      <c r="C2138" s="2" t="s">
        <v>10248</v>
      </c>
      <c r="D2138" s="2" t="s">
        <v>42</v>
      </c>
      <c r="E2138" s="2">
        <v>48</v>
      </c>
      <c r="F2138" s="2">
        <v>961.17</v>
      </c>
    </row>
    <row r="2139" spans="3:6" x14ac:dyDescent="0.25">
      <c r="C2139" s="2" t="s">
        <v>10249</v>
      </c>
      <c r="D2139" s="2" t="s">
        <v>42</v>
      </c>
      <c r="E2139" s="2">
        <v>45</v>
      </c>
      <c r="F2139" s="2">
        <v>240.58</v>
      </c>
    </row>
    <row r="2140" spans="3:6" x14ac:dyDescent="0.25">
      <c r="C2140" s="2" t="s">
        <v>10250</v>
      </c>
      <c r="D2140" s="2" t="s">
        <v>42</v>
      </c>
      <c r="E2140" s="2">
        <v>141</v>
      </c>
      <c r="F2140" s="2">
        <v>2788.84</v>
      </c>
    </row>
    <row r="2141" spans="3:6" x14ac:dyDescent="0.25">
      <c r="C2141" s="2" t="s">
        <v>10251</v>
      </c>
      <c r="D2141" s="2" t="s">
        <v>42</v>
      </c>
      <c r="E2141" s="2">
        <v>121</v>
      </c>
      <c r="F2141" s="2">
        <v>2539.44</v>
      </c>
    </row>
    <row r="2142" spans="3:6" x14ac:dyDescent="0.25">
      <c r="C2142" s="2" t="s">
        <v>10252</v>
      </c>
      <c r="D2142" s="2" t="s">
        <v>42</v>
      </c>
      <c r="E2142" s="2">
        <v>20</v>
      </c>
      <c r="F2142" s="2">
        <v>389.93</v>
      </c>
    </row>
    <row r="2143" spans="3:6" x14ac:dyDescent="0.25">
      <c r="C2143" s="2" t="s">
        <v>10253</v>
      </c>
      <c r="D2143" s="2" t="s">
        <v>42</v>
      </c>
      <c r="E2143" s="2">
        <v>48</v>
      </c>
      <c r="F2143" s="2">
        <v>961.99</v>
      </c>
    </row>
    <row r="2144" spans="3:6" x14ac:dyDescent="0.25">
      <c r="C2144" s="2" t="s">
        <v>10254</v>
      </c>
      <c r="D2144" s="2" t="s">
        <v>42</v>
      </c>
      <c r="E2144" s="2">
        <v>93</v>
      </c>
      <c r="F2144" s="2">
        <v>1791.738</v>
      </c>
    </row>
    <row r="2145" spans="3:6" x14ac:dyDescent="0.25">
      <c r="C2145" s="2" t="s">
        <v>10255</v>
      </c>
      <c r="D2145" s="2" t="s">
        <v>42</v>
      </c>
      <c r="E2145" s="2">
        <v>45</v>
      </c>
      <c r="F2145" s="2">
        <v>235.38</v>
      </c>
    </row>
    <row r="2146" spans="3:6" x14ac:dyDescent="0.25">
      <c r="C2146" s="2" t="s">
        <v>10256</v>
      </c>
      <c r="D2146" s="2" t="s">
        <v>42</v>
      </c>
      <c r="E2146" s="2">
        <v>34</v>
      </c>
      <c r="F2146" s="2">
        <v>755.01</v>
      </c>
    </row>
    <row r="2147" spans="3:6" x14ac:dyDescent="0.25">
      <c r="C2147" s="2" t="s">
        <v>10257</v>
      </c>
      <c r="D2147" s="2" t="s">
        <v>42</v>
      </c>
      <c r="E2147" s="2">
        <v>107</v>
      </c>
      <c r="F2147" s="2">
        <v>2145.089</v>
      </c>
    </row>
    <row r="2148" spans="3:6" x14ac:dyDescent="0.25">
      <c r="C2148" s="2" t="s">
        <v>10258</v>
      </c>
      <c r="D2148" s="2" t="s">
        <v>42</v>
      </c>
      <c r="E2148" s="2">
        <v>61</v>
      </c>
      <c r="F2148" s="2">
        <v>1250.75</v>
      </c>
    </row>
    <row r="2149" spans="3:6" x14ac:dyDescent="0.25">
      <c r="C2149" s="2" t="s">
        <v>10259</v>
      </c>
      <c r="D2149" s="2" t="s">
        <v>42</v>
      </c>
      <c r="E2149" s="2">
        <v>78</v>
      </c>
      <c r="F2149" s="2">
        <v>686.207</v>
      </c>
    </row>
    <row r="2150" spans="3:6" x14ac:dyDescent="0.25">
      <c r="C2150" s="2" t="s">
        <v>10260</v>
      </c>
      <c r="D2150" s="2" t="s">
        <v>42</v>
      </c>
      <c r="E2150" s="2">
        <v>99</v>
      </c>
      <c r="F2150" s="2">
        <v>1998.24</v>
      </c>
    </row>
    <row r="2151" spans="3:6" x14ac:dyDescent="0.25">
      <c r="C2151" s="2" t="s">
        <v>10261</v>
      </c>
      <c r="D2151" s="2" t="s">
        <v>42</v>
      </c>
      <c r="E2151" s="2">
        <v>42</v>
      </c>
      <c r="F2151" s="2">
        <v>797.959</v>
      </c>
    </row>
    <row r="2152" spans="3:6" x14ac:dyDescent="0.25">
      <c r="C2152" s="2" t="s">
        <v>10262</v>
      </c>
      <c r="D2152" s="2" t="s">
        <v>42</v>
      </c>
      <c r="E2152" s="2">
        <v>96</v>
      </c>
      <c r="F2152" s="2">
        <v>1933.93</v>
      </c>
    </row>
    <row r="2153" spans="3:6" x14ac:dyDescent="0.25">
      <c r="C2153" s="2" t="s">
        <v>10263</v>
      </c>
      <c r="D2153" s="2" t="s">
        <v>42</v>
      </c>
      <c r="E2153" s="2">
        <v>45</v>
      </c>
      <c r="F2153" s="2">
        <v>919.3</v>
      </c>
    </row>
    <row r="2154" spans="3:6" x14ac:dyDescent="0.25">
      <c r="C2154" s="2" t="s">
        <v>10264</v>
      </c>
      <c r="D2154" s="2" t="s">
        <v>42</v>
      </c>
      <c r="E2154" s="2">
        <v>60</v>
      </c>
      <c r="F2154" s="2">
        <v>297.15</v>
      </c>
    </row>
    <row r="2155" spans="3:6" x14ac:dyDescent="0.25">
      <c r="C2155" s="2" t="s">
        <v>10265</v>
      </c>
      <c r="D2155" s="2" t="s">
        <v>42</v>
      </c>
      <c r="E2155" s="2">
        <v>113</v>
      </c>
      <c r="F2155" s="2">
        <v>2361.57</v>
      </c>
    </row>
    <row r="2156" spans="3:6" x14ac:dyDescent="0.25">
      <c r="C2156" s="2" t="s">
        <v>10266</v>
      </c>
      <c r="D2156" s="2" t="s">
        <v>42</v>
      </c>
      <c r="E2156" s="2">
        <v>15</v>
      </c>
      <c r="F2156" s="2">
        <v>279.65</v>
      </c>
    </row>
    <row r="2157" spans="3:6" x14ac:dyDescent="0.25">
      <c r="C2157" s="2" t="s">
        <v>10267</v>
      </c>
      <c r="D2157" s="2" t="s">
        <v>42</v>
      </c>
      <c r="E2157" s="2">
        <v>7</v>
      </c>
      <c r="F2157" s="2">
        <v>100.04</v>
      </c>
    </row>
    <row r="2158" spans="3:6" x14ac:dyDescent="0.25">
      <c r="C2158" s="2" t="s">
        <v>10268</v>
      </c>
      <c r="D2158" s="2" t="s">
        <v>42</v>
      </c>
      <c r="E2158" s="2">
        <v>100</v>
      </c>
      <c r="F2158" s="2">
        <v>1956.41</v>
      </c>
    </row>
    <row r="2159" spans="3:6" x14ac:dyDescent="0.25">
      <c r="C2159" s="2" t="s">
        <v>10269</v>
      </c>
      <c r="D2159" s="2" t="s">
        <v>42</v>
      </c>
      <c r="E2159" s="2">
        <v>45</v>
      </c>
      <c r="F2159" s="2">
        <v>496.546</v>
      </c>
    </row>
    <row r="2160" spans="3:6" x14ac:dyDescent="0.25">
      <c r="C2160" s="2" t="s">
        <v>10270</v>
      </c>
      <c r="D2160" s="2" t="s">
        <v>42</v>
      </c>
      <c r="E2160" s="2">
        <v>55</v>
      </c>
      <c r="F2160" s="2">
        <v>1110.17</v>
      </c>
    </row>
    <row r="2161" spans="3:6" x14ac:dyDescent="0.25">
      <c r="C2161" s="2" t="s">
        <v>10271</v>
      </c>
      <c r="D2161" s="2" t="s">
        <v>42</v>
      </c>
      <c r="E2161" s="2">
        <v>72</v>
      </c>
      <c r="F2161" s="2">
        <v>1391.18</v>
      </c>
    </row>
    <row r="2162" spans="3:6" x14ac:dyDescent="0.25">
      <c r="C2162" s="2" t="s">
        <v>10272</v>
      </c>
      <c r="D2162" s="2" t="s">
        <v>42</v>
      </c>
      <c r="E2162" s="2">
        <v>16</v>
      </c>
      <c r="F2162" s="2">
        <v>209.52</v>
      </c>
    </row>
    <row r="2163" spans="3:6" x14ac:dyDescent="0.25">
      <c r="C2163" s="2" t="s">
        <v>10273</v>
      </c>
      <c r="D2163" s="2" t="s">
        <v>42</v>
      </c>
      <c r="E2163" s="2">
        <v>14</v>
      </c>
      <c r="F2163" s="2">
        <v>246.99</v>
      </c>
    </row>
    <row r="2164" spans="3:6" x14ac:dyDescent="0.25">
      <c r="C2164" s="2" t="s">
        <v>10274</v>
      </c>
      <c r="D2164" s="2" t="s">
        <v>42</v>
      </c>
      <c r="E2164" s="2">
        <v>57</v>
      </c>
      <c r="F2164" s="2">
        <v>1481.33</v>
      </c>
    </row>
    <row r="2165" spans="3:6" x14ac:dyDescent="0.25">
      <c r="C2165" s="2" t="s">
        <v>10275</v>
      </c>
      <c r="D2165" s="2" t="s">
        <v>42</v>
      </c>
      <c r="E2165" s="2">
        <v>100</v>
      </c>
      <c r="F2165" s="2">
        <v>2085.72</v>
      </c>
    </row>
    <row r="2166" spans="3:6" x14ac:dyDescent="0.25">
      <c r="C2166" s="2" t="s">
        <v>10276</v>
      </c>
      <c r="D2166" s="2" t="s">
        <v>42</v>
      </c>
      <c r="E2166" s="2">
        <v>82</v>
      </c>
      <c r="F2166" s="2">
        <v>1660.02</v>
      </c>
    </row>
    <row r="2167" spans="3:6" x14ac:dyDescent="0.25">
      <c r="C2167" s="2" t="s">
        <v>10277</v>
      </c>
      <c r="D2167" s="2" t="s">
        <v>42</v>
      </c>
      <c r="E2167" s="2">
        <v>18</v>
      </c>
      <c r="F2167" s="2">
        <v>354.78</v>
      </c>
    </row>
    <row r="2168" spans="3:6" x14ac:dyDescent="0.25">
      <c r="C2168" s="2" t="s">
        <v>10278</v>
      </c>
      <c r="D2168" s="2" t="s">
        <v>42</v>
      </c>
      <c r="E2168" s="2">
        <v>65</v>
      </c>
      <c r="F2168" s="2">
        <v>1148.47</v>
      </c>
    </row>
    <row r="2169" spans="3:6" x14ac:dyDescent="0.25">
      <c r="C2169" s="2" t="s">
        <v>10279</v>
      </c>
      <c r="D2169" s="2" t="s">
        <v>42</v>
      </c>
      <c r="E2169" s="2">
        <v>10</v>
      </c>
      <c r="F2169" s="2">
        <v>168.53</v>
      </c>
    </row>
    <row r="2170" spans="3:6" x14ac:dyDescent="0.25">
      <c r="C2170" s="2" t="s">
        <v>10280</v>
      </c>
      <c r="D2170" s="2" t="s">
        <v>42</v>
      </c>
      <c r="E2170" s="2">
        <v>80</v>
      </c>
      <c r="F2170" s="2">
        <v>1632</v>
      </c>
    </row>
    <row r="2171" spans="3:6" x14ac:dyDescent="0.25">
      <c r="C2171" s="2" t="s">
        <v>10281</v>
      </c>
      <c r="D2171" s="2" t="s">
        <v>42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10</v>
      </c>
      <c r="C2173" s="2" t="s">
        <v>10282</v>
      </c>
      <c r="D2173" s="2" t="s">
        <v>12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10283</v>
      </c>
      <c r="D2174" s="2" t="s">
        <v>12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375</v>
      </c>
      <c r="C2176" s="2" t="s">
        <v>10284</v>
      </c>
      <c r="D2176" s="2" t="s">
        <v>204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10285</v>
      </c>
      <c r="D2177" s="2" t="s">
        <v>204</v>
      </c>
      <c r="E2177" s="2">
        <v>237</v>
      </c>
      <c r="F2177" s="2">
        <v>705.801</v>
      </c>
    </row>
    <row r="2178" spans="3:4" x14ac:dyDescent="0.25">
      <c r="C2178" s="2" t="s">
        <v>10286</v>
      </c>
      <c r="D2178" s="2" t="s">
        <v>204</v>
      </c>
    </row>
    <row r="2179" spans="3:6" x14ac:dyDescent="0.25">
      <c r="C2179" s="2" t="s">
        <v>10287</v>
      </c>
      <c r="D2179" s="2" t="s">
        <v>204</v>
      </c>
      <c r="E2179" s="2">
        <v>76</v>
      </c>
      <c r="F2179" s="2">
        <v>1392.1</v>
      </c>
    </row>
    <row r="2180" spans="3:6" x14ac:dyDescent="0.25">
      <c r="C2180" s="2" t="s">
        <v>10288</v>
      </c>
      <c r="D2180" s="2" t="s">
        <v>204</v>
      </c>
      <c r="E2180" s="2">
        <v>163</v>
      </c>
      <c r="F2180" s="2">
        <v>2829.609</v>
      </c>
    </row>
    <row r="2181" spans="3:6" x14ac:dyDescent="0.25">
      <c r="C2181" s="2" t="s">
        <v>10289</v>
      </c>
      <c r="D2181" s="2" t="s">
        <v>204</v>
      </c>
      <c r="E2181" s="2">
        <v>238</v>
      </c>
      <c r="F2181" s="2">
        <v>627.315</v>
      </c>
    </row>
    <row r="2182" spans="3:6" x14ac:dyDescent="0.25">
      <c r="C2182" s="2" t="s">
        <v>10290</v>
      </c>
      <c r="D2182" s="2" t="s">
        <v>204</v>
      </c>
      <c r="E2182" s="2">
        <v>9</v>
      </c>
      <c r="F2182" s="2">
        <v>120.25</v>
      </c>
    </row>
    <row r="2183" spans="3:4" x14ac:dyDescent="0.25">
      <c r="C2183" s="2" t="s">
        <v>9931</v>
      </c>
      <c r="D2183" s="2" t="s">
        <v>204</v>
      </c>
    </row>
    <row r="2184" spans="3:6" x14ac:dyDescent="0.25">
      <c r="C2184" s="2" t="s">
        <v>10291</v>
      </c>
      <c r="D2184" s="2" t="s">
        <v>214</v>
      </c>
      <c r="E2184" s="2">
        <v>100</v>
      </c>
      <c r="F2184" s="2">
        <v>1883.91</v>
      </c>
    </row>
    <row r="2185" spans="3:6" x14ac:dyDescent="0.25">
      <c r="C2185" s="2" t="s">
        <v>10292</v>
      </c>
      <c r="D2185" s="2" t="s">
        <v>214</v>
      </c>
      <c r="E2185" s="2">
        <v>56</v>
      </c>
      <c r="F2185" s="2">
        <v>1101.65</v>
      </c>
    </row>
    <row r="2186" spans="3:6" x14ac:dyDescent="0.25">
      <c r="C2186" s="2" t="s">
        <v>10293</v>
      </c>
      <c r="D2186" s="2" t="s">
        <v>214</v>
      </c>
      <c r="E2186" s="2">
        <v>56</v>
      </c>
      <c r="F2186" s="2">
        <v>1105.14</v>
      </c>
    </row>
    <row r="2187" spans="3:6" x14ac:dyDescent="0.25">
      <c r="C2187" s="2" t="s">
        <v>10294</v>
      </c>
      <c r="D2187" s="2" t="s">
        <v>214</v>
      </c>
      <c r="E2187" s="2">
        <v>100</v>
      </c>
      <c r="F2187" s="2">
        <v>1872.899</v>
      </c>
    </row>
    <row r="2188" spans="3:6" x14ac:dyDescent="0.25">
      <c r="C2188" s="2" t="s">
        <v>10295</v>
      </c>
      <c r="D2188" s="2" t="s">
        <v>214</v>
      </c>
      <c r="E2188" s="2">
        <v>56</v>
      </c>
      <c r="F2188" s="2">
        <v>1107.92</v>
      </c>
    </row>
    <row r="2189" spans="3:6" x14ac:dyDescent="0.25">
      <c r="C2189" s="2" t="s">
        <v>10296</v>
      </c>
      <c r="D2189" s="2" t="s">
        <v>214</v>
      </c>
      <c r="E2189" s="2">
        <v>100</v>
      </c>
      <c r="F2189" s="2">
        <v>1921.2</v>
      </c>
    </row>
    <row r="2190" spans="3:6" x14ac:dyDescent="0.25">
      <c r="C2190" s="2" t="s">
        <v>10297</v>
      </c>
      <c r="D2190" s="2" t="s">
        <v>214</v>
      </c>
      <c r="E2190" s="2">
        <v>100</v>
      </c>
      <c r="F2190" s="2">
        <v>1983.859</v>
      </c>
    </row>
    <row r="2191" spans="3:6" x14ac:dyDescent="0.25">
      <c r="C2191" s="2" t="s">
        <v>10298</v>
      </c>
      <c r="D2191" s="2" t="s">
        <v>214</v>
      </c>
      <c r="E2191" s="2">
        <v>56</v>
      </c>
      <c r="F2191" s="2">
        <v>932.34</v>
      </c>
    </row>
    <row r="2192" spans="3:6" x14ac:dyDescent="0.25">
      <c r="C2192" s="2" t="s">
        <v>10299</v>
      </c>
      <c r="D2192" s="2" t="s">
        <v>214</v>
      </c>
      <c r="E2192" s="2">
        <v>100</v>
      </c>
      <c r="F2192" s="2">
        <v>1918.908</v>
      </c>
    </row>
    <row r="2193" spans="3:6" x14ac:dyDescent="0.25">
      <c r="C2193" s="2" t="s">
        <v>10300</v>
      </c>
      <c r="D2193" s="2" t="s">
        <v>214</v>
      </c>
      <c r="E2193" s="2">
        <v>56</v>
      </c>
      <c r="F2193" s="2">
        <v>1073.79</v>
      </c>
    </row>
    <row r="2194" spans="3:6" x14ac:dyDescent="0.25">
      <c r="C2194" s="2" t="s">
        <v>10301</v>
      </c>
      <c r="D2194" s="2" t="s">
        <v>216</v>
      </c>
      <c r="E2194" s="2">
        <v>134</v>
      </c>
      <c r="F2194" s="2">
        <v>2632.969</v>
      </c>
    </row>
    <row r="2195" spans="3:6" x14ac:dyDescent="0.25">
      <c r="C2195" s="2" t="s">
        <v>10302</v>
      </c>
      <c r="D2195" s="2" t="s">
        <v>216</v>
      </c>
      <c r="E2195" s="2">
        <v>134</v>
      </c>
      <c r="F2195" s="2">
        <v>2613.01</v>
      </c>
    </row>
    <row r="2196" spans="3:6" x14ac:dyDescent="0.25">
      <c r="C2196" s="2" t="s">
        <v>10303</v>
      </c>
      <c r="D2196" s="2" t="s">
        <v>216</v>
      </c>
      <c r="E2196" s="2">
        <v>134</v>
      </c>
      <c r="F2196" s="2">
        <v>2597.91</v>
      </c>
    </row>
    <row r="2197" spans="3:6" x14ac:dyDescent="0.25">
      <c r="C2197" s="2" t="s">
        <v>10304</v>
      </c>
      <c r="D2197" s="2" t="s">
        <v>216</v>
      </c>
      <c r="E2197" s="2">
        <v>134</v>
      </c>
      <c r="F2197" s="2">
        <v>2635.759</v>
      </c>
    </row>
    <row r="2198" spans="3:6" x14ac:dyDescent="0.25">
      <c r="C2198" s="2" t="s">
        <v>10305</v>
      </c>
      <c r="D2198" s="2" t="s">
        <v>216</v>
      </c>
      <c r="E2198" s="2">
        <v>134</v>
      </c>
      <c r="F2198" s="2">
        <v>2612.56</v>
      </c>
    </row>
    <row r="2199" spans="3:6" x14ac:dyDescent="0.25">
      <c r="C2199" s="2" t="s">
        <v>10306</v>
      </c>
      <c r="D2199" s="2" t="s">
        <v>216</v>
      </c>
      <c r="E2199" s="2">
        <v>134</v>
      </c>
      <c r="F2199" s="2">
        <v>2723.6</v>
      </c>
    </row>
    <row r="2200" spans="3:6" x14ac:dyDescent="0.25">
      <c r="C2200" s="2" t="s">
        <v>10307</v>
      </c>
      <c r="D2200" s="2" t="s">
        <v>216</v>
      </c>
      <c r="E2200" s="2">
        <v>105</v>
      </c>
      <c r="F2200" s="2">
        <v>2070.3</v>
      </c>
    </row>
    <row r="2201" spans="3:6" x14ac:dyDescent="0.25">
      <c r="C2201" s="2" t="s">
        <v>10308</v>
      </c>
      <c r="D2201" s="2" t="s">
        <v>216</v>
      </c>
      <c r="E2201" s="2">
        <v>105</v>
      </c>
      <c r="F2201" s="2">
        <v>2101.569</v>
      </c>
    </row>
    <row r="2202" spans="3:6" x14ac:dyDescent="0.25">
      <c r="C2202" s="2" t="s">
        <v>10309</v>
      </c>
      <c r="D2202" s="2" t="s">
        <v>216</v>
      </c>
      <c r="E2202" s="2">
        <v>105</v>
      </c>
      <c r="F2202" s="2">
        <v>2055.84</v>
      </c>
    </row>
    <row r="2203" spans="3:6" x14ac:dyDescent="0.25">
      <c r="C2203" s="2" t="s">
        <v>10310</v>
      </c>
      <c r="D2203" s="2" t="s">
        <v>236</v>
      </c>
      <c r="E2203" s="2">
        <v>80</v>
      </c>
      <c r="F2203" s="2">
        <v>1516.55</v>
      </c>
    </row>
    <row r="2204" spans="3:6" x14ac:dyDescent="0.25">
      <c r="C2204" s="2" t="s">
        <v>10311</v>
      </c>
      <c r="D2204" s="2" t="s">
        <v>236</v>
      </c>
      <c r="E2204" s="2">
        <v>18</v>
      </c>
      <c r="F2204" s="2">
        <v>357.77</v>
      </c>
    </row>
    <row r="2205" spans="3:4" x14ac:dyDescent="0.25">
      <c r="C2205" s="2" t="s">
        <v>10312</v>
      </c>
      <c r="D2205" s="2" t="s">
        <v>236</v>
      </c>
    </row>
    <row r="2206" spans="3:6" x14ac:dyDescent="0.25">
      <c r="C2206" s="2" t="s">
        <v>10313</v>
      </c>
      <c r="D2206" s="2" t="s">
        <v>236</v>
      </c>
      <c r="E2206" s="2">
        <v>45</v>
      </c>
      <c r="F2206" s="2">
        <v>825.129</v>
      </c>
    </row>
    <row r="2207" spans="3:6" x14ac:dyDescent="0.25">
      <c r="C2207" s="2" t="s">
        <v>10314</v>
      </c>
      <c r="D2207" s="2" t="s">
        <v>236</v>
      </c>
      <c r="E2207" s="2">
        <v>60</v>
      </c>
      <c r="F2207" s="2">
        <v>1147.45</v>
      </c>
    </row>
    <row r="2208" spans="3:6" x14ac:dyDescent="0.25">
      <c r="C2208" s="2" t="s">
        <v>10315</v>
      </c>
      <c r="D2208" s="2" t="s">
        <v>347</v>
      </c>
      <c r="E2208" s="2">
        <v>100</v>
      </c>
      <c r="F2208" s="2">
        <v>1933.14</v>
      </c>
    </row>
    <row r="2209" spans="3:6" x14ac:dyDescent="0.25">
      <c r="C2209" s="2" t="s">
        <v>10316</v>
      </c>
      <c r="D2209" s="2" t="s">
        <v>347</v>
      </c>
      <c r="E2209" s="2">
        <v>56</v>
      </c>
      <c r="F2209" s="2">
        <v>1072.08</v>
      </c>
    </row>
    <row r="2210" spans="3:6" x14ac:dyDescent="0.25">
      <c r="C2210" s="2" t="s">
        <v>10317</v>
      </c>
      <c r="D2210" s="2" t="s">
        <v>347</v>
      </c>
      <c r="E2210" s="2">
        <v>100</v>
      </c>
      <c r="F2210" s="2">
        <v>1903.16</v>
      </c>
    </row>
    <row r="2211" spans="3:6" x14ac:dyDescent="0.25">
      <c r="C2211" s="2" t="s">
        <v>10318</v>
      </c>
      <c r="D2211" s="2" t="s">
        <v>347</v>
      </c>
      <c r="E2211" s="2">
        <v>56</v>
      </c>
      <c r="F2211" s="2">
        <v>1043.9</v>
      </c>
    </row>
    <row r="2212" spans="3:6" x14ac:dyDescent="0.25">
      <c r="C2212" s="2" t="s">
        <v>10319</v>
      </c>
      <c r="D2212" s="2" t="s">
        <v>347</v>
      </c>
      <c r="E2212" s="2">
        <v>56</v>
      </c>
      <c r="F2212" s="2">
        <v>1066.719</v>
      </c>
    </row>
    <row r="2213" spans="3:6" x14ac:dyDescent="0.25">
      <c r="C2213" s="2" t="s">
        <v>10320</v>
      </c>
      <c r="D2213" s="2" t="s">
        <v>347</v>
      </c>
      <c r="E2213" s="2">
        <v>100</v>
      </c>
      <c r="F2213" s="2">
        <v>1878.178</v>
      </c>
    </row>
    <row r="2214" spans="3:6" x14ac:dyDescent="0.25">
      <c r="C2214" s="2" t="s">
        <v>10321</v>
      </c>
      <c r="D2214" s="2" t="s">
        <v>347</v>
      </c>
      <c r="E2214" s="2">
        <v>58</v>
      </c>
      <c r="F2214" s="2">
        <v>1077.61</v>
      </c>
    </row>
    <row r="2215" spans="3:6" x14ac:dyDescent="0.25">
      <c r="C2215" s="2" t="s">
        <v>10322</v>
      </c>
      <c r="D2215" s="2" t="s">
        <v>347</v>
      </c>
      <c r="E2215" s="2">
        <v>24</v>
      </c>
      <c r="F2215" s="2">
        <v>473.9</v>
      </c>
    </row>
    <row r="2216" spans="3:6" x14ac:dyDescent="0.25">
      <c r="C2216" s="2" t="s">
        <v>10323</v>
      </c>
      <c r="D2216" s="2" t="s">
        <v>347</v>
      </c>
      <c r="E2216" s="2">
        <v>74</v>
      </c>
      <c r="F2216" s="2">
        <v>1374.63</v>
      </c>
    </row>
    <row r="2217" spans="3:6" x14ac:dyDescent="0.25">
      <c r="C2217" s="2" t="s">
        <v>9967</v>
      </c>
      <c r="D2217" s="2" t="s">
        <v>342</v>
      </c>
      <c r="E2217" s="2">
        <v>61</v>
      </c>
      <c r="F2217" s="2">
        <v>1014.689</v>
      </c>
    </row>
    <row r="2218" spans="3:6" x14ac:dyDescent="0.25">
      <c r="C2218" s="2" t="s">
        <v>9968</v>
      </c>
      <c r="D2218" s="2" t="s">
        <v>342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10324</v>
      </c>
      <c r="C2219" s="2" t="s">
        <v>10325</v>
      </c>
      <c r="D2219" s="2" t="s">
        <v>20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10326</v>
      </c>
      <c r="D2220" s="2" t="s">
        <v>20</v>
      </c>
      <c r="E2220" s="2">
        <v>235</v>
      </c>
      <c r="F2220" s="2">
        <v>4873.089</v>
      </c>
    </row>
    <row r="2221" spans="3:6" x14ac:dyDescent="0.25">
      <c r="C2221" s="2" t="s">
        <v>10327</v>
      </c>
      <c r="D2221" s="2" t="s">
        <v>20</v>
      </c>
      <c r="E2221" s="2">
        <v>353</v>
      </c>
      <c r="F2221" s="2">
        <v>5548.152</v>
      </c>
    </row>
    <row r="2223" spans="3:6" x14ac:dyDescent="0.25">
      <c r="C2223" s="2" t="s">
        <v>10328</v>
      </c>
      <c r="D2223" s="2" t="s">
        <v>20</v>
      </c>
      <c r="E2223" s="2">
        <v>268</v>
      </c>
      <c r="F2223" s="2">
        <v>5180.25</v>
      </c>
    </row>
    <row r="2224" spans="3:6" x14ac:dyDescent="0.25">
      <c r="C2224" s="2" t="s">
        <v>10329</v>
      </c>
      <c r="D2224" s="2" t="s">
        <v>20</v>
      </c>
      <c r="E2224" s="2">
        <v>163</v>
      </c>
      <c r="F2224" s="2">
        <v>3021.45</v>
      </c>
    </row>
    <row r="2225" spans="3:6" x14ac:dyDescent="0.25">
      <c r="C2225" s="2" t="s">
        <v>10330</v>
      </c>
      <c r="D2225" s="2" t="s">
        <v>20</v>
      </c>
      <c r="E2225" s="2">
        <v>105</v>
      </c>
      <c r="F2225" s="2">
        <v>2036.71</v>
      </c>
    </row>
    <row r="2226" spans="3:6" x14ac:dyDescent="0.25">
      <c r="C2226" s="2" t="s">
        <v>10331</v>
      </c>
      <c r="D2226" s="2" t="s">
        <v>20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1434</v>
      </c>
      <c r="C2228" s="2" t="s">
        <v>10332</v>
      </c>
      <c r="D2228" s="2" t="s">
        <v>122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10333</v>
      </c>
      <c r="D2229" s="2" t="s">
        <v>122</v>
      </c>
      <c r="E2229" s="2">
        <v>35</v>
      </c>
      <c r="F2229" s="2">
        <v>689.98</v>
      </c>
    </row>
    <row r="2230" spans="3:6" x14ac:dyDescent="0.25">
      <c r="C2230" s="2" t="s">
        <v>10334</v>
      </c>
      <c r="D2230" s="2" t="s">
        <v>122</v>
      </c>
      <c r="E2230" s="2">
        <v>79</v>
      </c>
      <c r="F2230" s="2">
        <v>1494.8</v>
      </c>
    </row>
    <row r="2231" spans="3:6" x14ac:dyDescent="0.25">
      <c r="C2231" s="2" t="s">
        <v>10335</v>
      </c>
      <c r="D2231" s="2" t="s">
        <v>122</v>
      </c>
      <c r="E2231" s="2">
        <v>63</v>
      </c>
      <c r="F2231" s="2">
        <v>1312.61</v>
      </c>
    </row>
    <row r="2232" spans="3:6" x14ac:dyDescent="0.25">
      <c r="C2232" s="2" t="s">
        <v>10336</v>
      </c>
      <c r="D2232" s="2" t="s">
        <v>122</v>
      </c>
      <c r="E2232" s="2">
        <v>51</v>
      </c>
      <c r="F2232" s="2">
        <v>971.808</v>
      </c>
    </row>
    <row r="2233" spans="3:6" x14ac:dyDescent="0.25">
      <c r="C2233" s="2" t="s">
        <v>10337</v>
      </c>
      <c r="D2233" s="2" t="s">
        <v>122</v>
      </c>
      <c r="E2233" s="2">
        <v>30</v>
      </c>
      <c r="F2233" s="2">
        <v>547.69</v>
      </c>
    </row>
    <row r="2234" spans="3:6" x14ac:dyDescent="0.25">
      <c r="C2234" s="2" t="s">
        <v>10338</v>
      </c>
      <c r="D2234" s="2" t="s">
        <v>122</v>
      </c>
      <c r="E2234" s="2">
        <v>60</v>
      </c>
      <c r="F2234" s="2">
        <v>1245.33</v>
      </c>
    </row>
    <row r="2235" spans="3:6" x14ac:dyDescent="0.25">
      <c r="C2235" s="2" t="s">
        <v>10339</v>
      </c>
      <c r="D2235" s="2" t="s">
        <v>122</v>
      </c>
      <c r="E2235" s="2">
        <v>141</v>
      </c>
      <c r="F2235" s="2">
        <v>2690.23</v>
      </c>
    </row>
    <row r="2236" spans="3:6" x14ac:dyDescent="0.25">
      <c r="C2236" s="2" t="s">
        <v>10340</v>
      </c>
      <c r="D2236" s="2" t="s">
        <v>122</v>
      </c>
      <c r="E2236" s="2">
        <v>64</v>
      </c>
      <c r="F2236" s="2">
        <v>1336.12</v>
      </c>
    </row>
    <row r="2237" spans="3:6" x14ac:dyDescent="0.25">
      <c r="C2237" s="2" t="s">
        <v>10341</v>
      </c>
      <c r="D2237" s="2" t="s">
        <v>122</v>
      </c>
      <c r="E2237" s="2">
        <v>36</v>
      </c>
      <c r="F2237" s="2">
        <v>725.38</v>
      </c>
    </row>
    <row r="2238" spans="3:6" x14ac:dyDescent="0.25">
      <c r="C2238" s="2" t="s">
        <v>10342</v>
      </c>
      <c r="D2238" s="2" t="s">
        <v>122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324</v>
      </c>
      <c r="C2240" s="2" t="s">
        <v>10343</v>
      </c>
      <c r="D2240" s="2" t="s">
        <v>27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10344</v>
      </c>
      <c r="D2241" s="2" t="s">
        <v>27</v>
      </c>
      <c r="E2241" s="2">
        <v>83</v>
      </c>
      <c r="F2241" s="2">
        <v>1646.75</v>
      </c>
    </row>
    <row r="2242" spans="3:6" x14ac:dyDescent="0.25">
      <c r="C2242" s="2" t="s">
        <v>10345</v>
      </c>
      <c r="D2242" s="2" t="s">
        <v>27</v>
      </c>
      <c r="E2242" s="2">
        <v>82</v>
      </c>
      <c r="F2242" s="2">
        <v>1676.41</v>
      </c>
    </row>
    <row r="2243" spans="3:6" x14ac:dyDescent="0.25">
      <c r="C2243" s="2" t="s">
        <v>10346</v>
      </c>
      <c r="D2243" s="2" t="s">
        <v>27</v>
      </c>
      <c r="E2243" s="2">
        <v>92</v>
      </c>
      <c r="F2243" s="2">
        <v>1768.48</v>
      </c>
    </row>
    <row r="2244" spans="3:3" x14ac:dyDescent="0.25">
      <c r="C2244" s="2" t="s">
        <v>10347</v>
      </c>
    </row>
    <row r="2245" spans="3:6" x14ac:dyDescent="0.25">
      <c r="C2245" s="2" t="s">
        <v>10348</v>
      </c>
      <c r="D2245" s="2" t="s">
        <v>27</v>
      </c>
      <c r="E2245" s="2">
        <v>83</v>
      </c>
      <c r="F2245" s="2">
        <v>1513.06</v>
      </c>
    </row>
    <row r="2246" spans="3:6" x14ac:dyDescent="0.25">
      <c r="C2246" s="2" t="s">
        <v>10349</v>
      </c>
      <c r="D2246" s="2" t="s">
        <v>27</v>
      </c>
      <c r="E2246" s="2">
        <v>50</v>
      </c>
      <c r="F2246" s="2">
        <v>892.03</v>
      </c>
    </row>
    <row r="2247" spans="3:6" x14ac:dyDescent="0.25">
      <c r="C2247" s="2" t="s">
        <v>10350</v>
      </c>
      <c r="D2247" s="2" t="s">
        <v>27</v>
      </c>
      <c r="E2247" s="2">
        <v>90</v>
      </c>
      <c r="F2247" s="2">
        <v>1675.72</v>
      </c>
    </row>
    <row r="2248" spans="3:6" x14ac:dyDescent="0.25">
      <c r="C2248" s="2" t="s">
        <v>10351</v>
      </c>
      <c r="D2248" s="2" t="s">
        <v>27</v>
      </c>
      <c r="E2248" s="2">
        <v>28</v>
      </c>
      <c r="F2248" s="2">
        <v>522.43</v>
      </c>
    </row>
    <row r="2249" spans="3:6" x14ac:dyDescent="0.25">
      <c r="C2249" s="2" t="s">
        <v>10352</v>
      </c>
      <c r="D2249" s="2" t="s">
        <v>27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10353</v>
      </c>
      <c r="C2251" s="2" t="s">
        <v>10354</v>
      </c>
      <c r="D2251" s="2" t="s">
        <v>8441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10</v>
      </c>
      <c r="C2253" s="2" t="s">
        <v>10355</v>
      </c>
      <c r="D2253" s="2" t="s">
        <v>12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10356</v>
      </c>
      <c r="D2254" s="2" t="s">
        <v>12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238</v>
      </c>
      <c r="C2256" s="2" t="s">
        <v>10357</v>
      </c>
      <c r="D2256" s="2" t="s">
        <v>204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10358</v>
      </c>
      <c r="D2257" s="2" t="s">
        <v>204</v>
      </c>
      <c r="E2257" s="2">
        <v>105</v>
      </c>
      <c r="F2257" s="2">
        <v>2130.399</v>
      </c>
    </row>
    <row r="2258" spans="3:6" x14ac:dyDescent="0.25">
      <c r="C2258" s="2" t="s">
        <v>10359</v>
      </c>
      <c r="D2258" s="2" t="s">
        <v>204</v>
      </c>
      <c r="E2258" s="2">
        <v>134</v>
      </c>
      <c r="F2258" s="2">
        <v>2670.21</v>
      </c>
    </row>
    <row r="2259" spans="3:6" x14ac:dyDescent="0.25">
      <c r="C2259" s="2" t="s">
        <v>10360</v>
      </c>
      <c r="D2259" s="2" t="s">
        <v>204</v>
      </c>
      <c r="E2259" s="2">
        <v>134</v>
      </c>
      <c r="F2259" s="2">
        <v>2480.93</v>
      </c>
    </row>
    <row r="2260" spans="3:6" x14ac:dyDescent="0.25">
      <c r="C2260" s="2" t="s">
        <v>10361</v>
      </c>
      <c r="D2260" s="2" t="s">
        <v>204</v>
      </c>
      <c r="E2260" s="2">
        <v>134</v>
      </c>
      <c r="F2260" s="2">
        <v>2601.579</v>
      </c>
    </row>
    <row r="2261" spans="3:6" x14ac:dyDescent="0.25">
      <c r="C2261" s="2" t="s">
        <v>10362</v>
      </c>
      <c r="D2261" s="2" t="s">
        <v>204</v>
      </c>
      <c r="E2261" s="2">
        <v>134</v>
      </c>
      <c r="F2261" s="2">
        <v>2512.11</v>
      </c>
    </row>
    <row r="2262" spans="3:6" x14ac:dyDescent="0.25">
      <c r="C2262" s="2" t="s">
        <v>10363</v>
      </c>
      <c r="D2262" s="2" t="s">
        <v>204</v>
      </c>
      <c r="E2262" s="2">
        <v>134</v>
      </c>
      <c r="F2262" s="2">
        <v>2615.48</v>
      </c>
    </row>
    <row r="2263" spans="3:6" x14ac:dyDescent="0.25">
      <c r="C2263" s="2" t="s">
        <v>10364</v>
      </c>
      <c r="D2263" s="2" t="s">
        <v>204</v>
      </c>
      <c r="E2263" s="2">
        <v>163</v>
      </c>
      <c r="F2263" s="2">
        <v>2469.799</v>
      </c>
    </row>
    <row r="2264" spans="3:6" x14ac:dyDescent="0.25">
      <c r="C2264" s="2" t="s">
        <v>10365</v>
      </c>
      <c r="D2264" s="2" t="s">
        <v>204</v>
      </c>
      <c r="E2264" s="2">
        <v>163</v>
      </c>
      <c r="F2264" s="2">
        <v>3039.619</v>
      </c>
    </row>
    <row r="2265" spans="3:6" x14ac:dyDescent="0.25">
      <c r="C2265" s="2" t="s">
        <v>10366</v>
      </c>
      <c r="D2265" s="2" t="s">
        <v>204</v>
      </c>
      <c r="E2265" s="2">
        <v>47</v>
      </c>
      <c r="F2265" s="2">
        <v>888</v>
      </c>
    </row>
    <row r="2266" spans="3:6" x14ac:dyDescent="0.25">
      <c r="C2266" s="2" t="s">
        <v>10367</v>
      </c>
      <c r="D2266" s="2" t="s">
        <v>204</v>
      </c>
      <c r="E2266" s="2">
        <v>58</v>
      </c>
      <c r="F2266" s="2">
        <v>1136.99</v>
      </c>
    </row>
    <row r="2267" spans="3:6" x14ac:dyDescent="0.25">
      <c r="C2267" s="2" t="s">
        <v>10368</v>
      </c>
      <c r="D2267" s="2" t="s">
        <v>204</v>
      </c>
      <c r="E2267" s="2">
        <v>163</v>
      </c>
      <c r="F2267" s="2">
        <v>3178.69</v>
      </c>
    </row>
    <row r="2268" spans="3:6" x14ac:dyDescent="0.25">
      <c r="C2268" s="2" t="s">
        <v>10369</v>
      </c>
      <c r="D2268" s="2" t="s">
        <v>204</v>
      </c>
      <c r="E2268" s="2">
        <v>163</v>
      </c>
      <c r="F2268" s="2">
        <v>2692.858</v>
      </c>
    </row>
    <row r="2269" spans="3:6" x14ac:dyDescent="0.25">
      <c r="C2269" s="2" t="s">
        <v>10370</v>
      </c>
      <c r="D2269" s="2" t="s">
        <v>204</v>
      </c>
      <c r="E2269" s="2">
        <v>163</v>
      </c>
      <c r="F2269" s="2">
        <v>2907.7</v>
      </c>
    </row>
    <row r="2270" spans="3:6" x14ac:dyDescent="0.25">
      <c r="C2270" s="2" t="s">
        <v>10371</v>
      </c>
      <c r="D2270" s="2" t="s">
        <v>204</v>
      </c>
      <c r="E2270" s="2">
        <v>163</v>
      </c>
      <c r="F2270" s="2">
        <v>3100.398</v>
      </c>
    </row>
    <row r="2271" spans="3:6" x14ac:dyDescent="0.25">
      <c r="C2271" s="2" t="s">
        <v>10372</v>
      </c>
      <c r="D2271" s="2" t="s">
        <v>204</v>
      </c>
      <c r="E2271" s="2">
        <v>163</v>
      </c>
      <c r="F2271" s="2">
        <v>3194.08</v>
      </c>
    </row>
    <row r="2272" spans="3:6" x14ac:dyDescent="0.25">
      <c r="C2272" s="2" t="s">
        <v>10373</v>
      </c>
      <c r="D2272" s="2" t="s">
        <v>204</v>
      </c>
      <c r="E2272" s="2">
        <v>163</v>
      </c>
      <c r="F2272" s="2">
        <v>3207.5</v>
      </c>
    </row>
    <row r="2273" spans="3:6" x14ac:dyDescent="0.25">
      <c r="C2273" s="2" t="s">
        <v>10374</v>
      </c>
      <c r="D2273" s="2" t="s">
        <v>204</v>
      </c>
      <c r="E2273" s="2">
        <v>163</v>
      </c>
      <c r="F2273" s="2">
        <v>2657.559</v>
      </c>
    </row>
    <row r="2274" spans="3:6" x14ac:dyDescent="0.25">
      <c r="C2274" s="2" t="s">
        <v>10375</v>
      </c>
      <c r="D2274" s="2" t="s">
        <v>204</v>
      </c>
      <c r="E2274" s="2">
        <v>105</v>
      </c>
      <c r="F2274" s="2">
        <v>2090.66</v>
      </c>
    </row>
    <row r="2275" spans="3:6" x14ac:dyDescent="0.25">
      <c r="C2275" s="2" t="s">
        <v>10376</v>
      </c>
      <c r="D2275" s="2" t="s">
        <v>204</v>
      </c>
      <c r="E2275" s="2">
        <v>163</v>
      </c>
      <c r="F2275" s="2">
        <v>3042.149</v>
      </c>
    </row>
    <row r="2276" spans="3:6" x14ac:dyDescent="0.25">
      <c r="C2276" s="2" t="s">
        <v>10377</v>
      </c>
      <c r="D2276" s="2" t="s">
        <v>204</v>
      </c>
      <c r="E2276" s="2">
        <v>105</v>
      </c>
      <c r="F2276" s="2">
        <v>1838.67</v>
      </c>
    </row>
    <row r="2277" spans="3:6" x14ac:dyDescent="0.25">
      <c r="C2277" s="2" t="s">
        <v>10378</v>
      </c>
      <c r="D2277" s="2" t="s">
        <v>204</v>
      </c>
      <c r="E2277" s="2">
        <v>36</v>
      </c>
      <c r="F2277" s="2">
        <v>683.28</v>
      </c>
    </row>
    <row r="2278" spans="3:6" x14ac:dyDescent="0.25">
      <c r="C2278" s="2" t="s">
        <v>10379</v>
      </c>
      <c r="D2278" s="2" t="s">
        <v>214</v>
      </c>
      <c r="E2278" s="2">
        <v>100</v>
      </c>
      <c r="F2278" s="2">
        <v>1837.048</v>
      </c>
    </row>
    <row r="2279" spans="3:6" x14ac:dyDescent="0.25">
      <c r="C2279" s="2" t="s">
        <v>10380</v>
      </c>
      <c r="D2279" s="2" t="s">
        <v>214</v>
      </c>
      <c r="E2279" s="2">
        <v>56</v>
      </c>
      <c r="F2279" s="2">
        <v>1013</v>
      </c>
    </row>
    <row r="2280" spans="3:6" x14ac:dyDescent="0.25">
      <c r="C2280" s="2" t="s">
        <v>10381</v>
      </c>
      <c r="D2280" s="2" t="s">
        <v>214</v>
      </c>
      <c r="E2280" s="2">
        <v>56</v>
      </c>
      <c r="F2280" s="2">
        <v>1122.38</v>
      </c>
    </row>
    <row r="2281" spans="3:6" x14ac:dyDescent="0.25">
      <c r="C2281" s="2" t="s">
        <v>10382</v>
      </c>
      <c r="D2281" s="2" t="s">
        <v>214</v>
      </c>
      <c r="E2281" s="2">
        <v>100</v>
      </c>
      <c r="F2281" s="2">
        <v>1977.28</v>
      </c>
    </row>
    <row r="2282" spans="3:6" x14ac:dyDescent="0.25">
      <c r="C2282" s="2" t="s">
        <v>10383</v>
      </c>
      <c r="D2282" s="2" t="s">
        <v>214</v>
      </c>
      <c r="E2282" s="2">
        <v>56</v>
      </c>
      <c r="F2282" s="2">
        <v>1059.209</v>
      </c>
    </row>
    <row r="2283" spans="3:6" x14ac:dyDescent="0.25">
      <c r="C2283" s="2" t="s">
        <v>10384</v>
      </c>
      <c r="D2283" s="2" t="s">
        <v>214</v>
      </c>
      <c r="E2283" s="2">
        <v>100</v>
      </c>
      <c r="F2283" s="2">
        <v>1880.439</v>
      </c>
    </row>
    <row r="2284" spans="3:6" x14ac:dyDescent="0.25">
      <c r="C2284" s="2" t="s">
        <v>10385</v>
      </c>
      <c r="D2284" s="2" t="s">
        <v>214</v>
      </c>
      <c r="E2284" s="2">
        <v>56</v>
      </c>
      <c r="F2284" s="2">
        <v>1108.63</v>
      </c>
    </row>
    <row r="2285" spans="3:6" x14ac:dyDescent="0.25">
      <c r="C2285" s="2" t="s">
        <v>10386</v>
      </c>
      <c r="D2285" s="2" t="s">
        <v>214</v>
      </c>
      <c r="E2285" s="2">
        <v>100</v>
      </c>
      <c r="F2285" s="2">
        <v>2002.409</v>
      </c>
    </row>
    <row r="2286" spans="3:6" x14ac:dyDescent="0.25">
      <c r="C2286" s="2" t="s">
        <v>10387</v>
      </c>
      <c r="D2286" s="2" t="s">
        <v>214</v>
      </c>
      <c r="E2286" s="2">
        <v>100</v>
      </c>
      <c r="F2286" s="2">
        <v>1841.13</v>
      </c>
    </row>
    <row r="2287" spans="3:6" x14ac:dyDescent="0.25">
      <c r="C2287" s="2" t="s">
        <v>10388</v>
      </c>
      <c r="D2287" s="2" t="s">
        <v>214</v>
      </c>
      <c r="E2287" s="2">
        <v>56</v>
      </c>
      <c r="F2287" s="2">
        <v>1114.24</v>
      </c>
    </row>
    <row r="2288" spans="3:6" x14ac:dyDescent="0.25">
      <c r="C2288" s="2" t="s">
        <v>10389</v>
      </c>
      <c r="D2288" s="2" t="s">
        <v>214</v>
      </c>
      <c r="E2288" s="2">
        <v>100</v>
      </c>
      <c r="F2288" s="2">
        <v>1959.829</v>
      </c>
    </row>
    <row r="2289" spans="3:6" x14ac:dyDescent="0.25">
      <c r="C2289" s="2" t="s">
        <v>10390</v>
      </c>
      <c r="D2289" s="2" t="s">
        <v>214</v>
      </c>
      <c r="E2289" s="2">
        <v>56</v>
      </c>
      <c r="F2289" s="2">
        <v>1173.82</v>
      </c>
    </row>
    <row r="2290" spans="3:6" x14ac:dyDescent="0.25">
      <c r="C2290" s="2" t="s">
        <v>10391</v>
      </c>
      <c r="D2290" s="2" t="s">
        <v>236</v>
      </c>
      <c r="E2290" s="2">
        <v>25</v>
      </c>
      <c r="F2290" s="2">
        <v>486.73</v>
      </c>
    </row>
    <row r="2291" spans="3:6" x14ac:dyDescent="0.25">
      <c r="C2291" s="2" t="s">
        <v>10392</v>
      </c>
      <c r="D2291" s="2" t="s">
        <v>236</v>
      </c>
      <c r="E2291" s="2">
        <v>80</v>
      </c>
      <c r="F2291" s="2">
        <v>1559.78</v>
      </c>
    </row>
    <row r="2292" spans="3:6" x14ac:dyDescent="0.25">
      <c r="C2292" s="2" t="s">
        <v>10393</v>
      </c>
      <c r="D2292" s="2" t="s">
        <v>236</v>
      </c>
      <c r="E2292" s="2">
        <v>25</v>
      </c>
      <c r="F2292" s="2">
        <v>487.34</v>
      </c>
    </row>
    <row r="2293" spans="3:6" x14ac:dyDescent="0.25">
      <c r="C2293" s="2" t="s">
        <v>10394</v>
      </c>
      <c r="D2293" s="2" t="s">
        <v>236</v>
      </c>
      <c r="E2293" s="2">
        <v>80</v>
      </c>
      <c r="F2293" s="2">
        <v>1523.499</v>
      </c>
    </row>
    <row r="2294" spans="3:6" x14ac:dyDescent="0.25">
      <c r="C2294" s="2" t="s">
        <v>10395</v>
      </c>
      <c r="D2294" s="2" t="s">
        <v>236</v>
      </c>
      <c r="E2294" s="2">
        <v>60</v>
      </c>
      <c r="F2294" s="2">
        <v>1105.66</v>
      </c>
    </row>
    <row r="2295" spans="3:6" x14ac:dyDescent="0.25">
      <c r="C2295" s="2" t="s">
        <v>10396</v>
      </c>
      <c r="D2295" s="2" t="s">
        <v>236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9851</v>
      </c>
      <c r="C2297" s="2" t="s">
        <v>10397</v>
      </c>
      <c r="D2297" s="2" t="s">
        <v>204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1585</v>
      </c>
      <c r="C2299" s="2" t="s">
        <v>10398</v>
      </c>
      <c r="D2299" s="2" t="s">
        <v>297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10399</v>
      </c>
      <c r="C2301" s="2" t="s">
        <v>10400</v>
      </c>
      <c r="D2301" s="2" t="s">
        <v>1288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794</v>
      </c>
      <c r="C2303" s="2" t="s">
        <v>10401</v>
      </c>
      <c r="D2303" s="2" t="s">
        <v>1288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10402</v>
      </c>
      <c r="D2304" s="2" t="s">
        <v>1288</v>
      </c>
      <c r="E2304" s="2">
        <v>30</v>
      </c>
      <c r="F2304" s="2">
        <v>591.58</v>
      </c>
    </row>
    <row r="2305" spans="3:6" x14ac:dyDescent="0.25">
      <c r="C2305" s="2" t="s">
        <v>10403</v>
      </c>
      <c r="D2305" s="2" t="s">
        <v>1288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120</v>
      </c>
      <c r="C2307" s="2" t="s">
        <v>10404</v>
      </c>
      <c r="D2307" s="2" t="s">
        <v>42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10405</v>
      </c>
      <c r="D2308" s="2" t="s">
        <v>42</v>
      </c>
      <c r="E2308" s="2">
        <v>141</v>
      </c>
      <c r="F2308" s="2">
        <v>2923.889</v>
      </c>
    </row>
    <row r="2309" spans="3:6" x14ac:dyDescent="0.25">
      <c r="C2309" s="2" t="s">
        <v>10406</v>
      </c>
      <c r="D2309" s="2" t="s">
        <v>42</v>
      </c>
      <c r="E2309" s="2">
        <v>102</v>
      </c>
      <c r="F2309" s="2">
        <v>2174.54</v>
      </c>
    </row>
    <row r="2310" spans="3:6" x14ac:dyDescent="0.25">
      <c r="C2310" s="2" t="s">
        <v>10407</v>
      </c>
      <c r="D2310" s="2" t="s">
        <v>42</v>
      </c>
      <c r="E2310" s="2">
        <v>103</v>
      </c>
      <c r="F2310" s="2">
        <v>2010.88</v>
      </c>
    </row>
    <row r="2311" spans="3:6" x14ac:dyDescent="0.25">
      <c r="C2311" s="2" t="s">
        <v>10408</v>
      </c>
      <c r="D2311" s="2" t="s">
        <v>42</v>
      </c>
      <c r="E2311" s="2">
        <v>87</v>
      </c>
      <c r="F2311" s="2">
        <v>1794.99</v>
      </c>
    </row>
    <row r="2312" spans="3:6" x14ac:dyDescent="0.25">
      <c r="C2312" s="2" t="s">
        <v>10409</v>
      </c>
      <c r="D2312" s="2" t="s">
        <v>42</v>
      </c>
      <c r="E2312" s="2">
        <v>36</v>
      </c>
      <c r="F2312" s="2">
        <v>752.53</v>
      </c>
    </row>
    <row r="2313" spans="3:6" x14ac:dyDescent="0.25">
      <c r="C2313" s="2" t="s">
        <v>10410</v>
      </c>
      <c r="D2313" s="2" t="s">
        <v>42</v>
      </c>
      <c r="E2313" s="2">
        <v>123</v>
      </c>
      <c r="F2313" s="2">
        <v>2557.319</v>
      </c>
    </row>
    <row r="2314" spans="3:6" x14ac:dyDescent="0.25">
      <c r="C2314" s="2" t="s">
        <v>10411</v>
      </c>
      <c r="D2314" s="2" t="s">
        <v>42</v>
      </c>
      <c r="E2314" s="2">
        <v>109</v>
      </c>
      <c r="F2314" s="2">
        <v>1561.319</v>
      </c>
    </row>
    <row r="2315" spans="3:6" x14ac:dyDescent="0.25">
      <c r="C2315" s="2" t="s">
        <v>10412</v>
      </c>
      <c r="D2315" s="2" t="s">
        <v>42</v>
      </c>
      <c r="E2315" s="2">
        <v>123</v>
      </c>
      <c r="F2315" s="2">
        <v>2542.32</v>
      </c>
    </row>
    <row r="2316" spans="3:6" x14ac:dyDescent="0.25">
      <c r="C2316" s="2" t="s">
        <v>10413</v>
      </c>
      <c r="D2316" s="2" t="s">
        <v>42</v>
      </c>
      <c r="E2316" s="2">
        <v>141</v>
      </c>
      <c r="F2316" s="2">
        <v>2934.27</v>
      </c>
    </row>
    <row r="2317" spans="3:6" x14ac:dyDescent="0.25">
      <c r="C2317" s="2" t="s">
        <v>10414</v>
      </c>
      <c r="D2317" s="2" t="s">
        <v>42</v>
      </c>
      <c r="E2317" s="2">
        <v>69</v>
      </c>
      <c r="F2317" s="2">
        <v>1386.03</v>
      </c>
    </row>
    <row r="2318" spans="3:6" x14ac:dyDescent="0.25">
      <c r="C2318" s="2" t="s">
        <v>10415</v>
      </c>
      <c r="D2318" s="2" t="s">
        <v>42</v>
      </c>
      <c r="E2318" s="2">
        <v>72</v>
      </c>
      <c r="F2318" s="2">
        <v>1423.07</v>
      </c>
    </row>
    <row r="2319" spans="3:6" x14ac:dyDescent="0.25">
      <c r="C2319" s="2" t="s">
        <v>10416</v>
      </c>
      <c r="D2319" s="2" t="s">
        <v>42</v>
      </c>
      <c r="E2319" s="2">
        <v>50</v>
      </c>
      <c r="F2319" s="2">
        <v>262.16</v>
      </c>
    </row>
    <row r="2320" spans="3:6" x14ac:dyDescent="0.25">
      <c r="C2320" s="2" t="s">
        <v>10417</v>
      </c>
      <c r="D2320" s="2" t="s">
        <v>42</v>
      </c>
      <c r="E2320" s="2">
        <v>91</v>
      </c>
      <c r="F2320" s="2">
        <v>1926.06</v>
      </c>
    </row>
    <row r="2321" spans="3:6" x14ac:dyDescent="0.25">
      <c r="C2321" s="2" t="s">
        <v>10418</v>
      </c>
      <c r="D2321" s="2" t="s">
        <v>42</v>
      </c>
      <c r="E2321" s="2">
        <v>50</v>
      </c>
      <c r="F2321" s="2">
        <v>859.749</v>
      </c>
    </row>
    <row r="2322" spans="3:6" x14ac:dyDescent="0.25">
      <c r="C2322" s="2" t="s">
        <v>10419</v>
      </c>
      <c r="D2322" s="2" t="s">
        <v>42</v>
      </c>
      <c r="E2322" s="2">
        <v>93</v>
      </c>
      <c r="F2322" s="2">
        <v>1828.994</v>
      </c>
    </row>
    <row r="2323" spans="3:6" x14ac:dyDescent="0.25">
      <c r="C2323" s="2" t="s">
        <v>10420</v>
      </c>
      <c r="D2323" s="2" t="s">
        <v>42</v>
      </c>
      <c r="E2323" s="2">
        <v>48</v>
      </c>
      <c r="F2323" s="2">
        <v>980.98</v>
      </c>
    </row>
    <row r="2324" spans="3:6" x14ac:dyDescent="0.25">
      <c r="C2324" s="2" t="s">
        <v>10421</v>
      </c>
      <c r="D2324" s="2" t="s">
        <v>42</v>
      </c>
      <c r="E2324" s="2">
        <v>141</v>
      </c>
      <c r="F2324" s="2">
        <v>2825.77</v>
      </c>
    </row>
    <row r="2325" spans="3:6" x14ac:dyDescent="0.25">
      <c r="C2325" s="2" t="s">
        <v>10422</v>
      </c>
      <c r="D2325" s="2" t="s">
        <v>42</v>
      </c>
      <c r="E2325" s="2">
        <v>45</v>
      </c>
      <c r="F2325" s="2">
        <v>233.44</v>
      </c>
    </row>
    <row r="2326" spans="3:6" x14ac:dyDescent="0.25">
      <c r="C2326" s="2" t="s">
        <v>10423</v>
      </c>
      <c r="D2326" s="2" t="s">
        <v>42</v>
      </c>
      <c r="E2326" s="2">
        <v>20</v>
      </c>
      <c r="F2326" s="2">
        <v>416.82</v>
      </c>
    </row>
    <row r="2327" spans="3:6" x14ac:dyDescent="0.25">
      <c r="C2327" s="2" t="s">
        <v>10424</v>
      </c>
      <c r="D2327" s="2" t="s">
        <v>42</v>
      </c>
      <c r="E2327" s="2">
        <v>121</v>
      </c>
      <c r="F2327" s="2">
        <v>2407.907</v>
      </c>
    </row>
    <row r="2328" spans="3:6" x14ac:dyDescent="0.25">
      <c r="C2328" s="2" t="s">
        <v>10425</v>
      </c>
      <c r="D2328" s="2" t="s">
        <v>42</v>
      </c>
      <c r="E2328" s="2">
        <v>70</v>
      </c>
      <c r="F2328" s="2">
        <v>1533.193</v>
      </c>
    </row>
    <row r="2329" spans="3:6" x14ac:dyDescent="0.25">
      <c r="C2329" s="2" t="s">
        <v>10426</v>
      </c>
      <c r="D2329" s="2" t="s">
        <v>42</v>
      </c>
      <c r="E2329" s="2">
        <v>58</v>
      </c>
      <c r="F2329" s="2">
        <v>1014.29</v>
      </c>
    </row>
    <row r="2330" spans="3:6" x14ac:dyDescent="0.25">
      <c r="C2330" s="2" t="s">
        <v>10427</v>
      </c>
      <c r="D2330" s="2" t="s">
        <v>42</v>
      </c>
      <c r="E2330" s="2">
        <v>62</v>
      </c>
      <c r="F2330" s="2">
        <v>1273.15</v>
      </c>
    </row>
    <row r="2331" spans="3:6" x14ac:dyDescent="0.25">
      <c r="C2331" s="2" t="s">
        <v>10428</v>
      </c>
      <c r="D2331" s="2" t="s">
        <v>42</v>
      </c>
      <c r="E2331" s="2">
        <v>31</v>
      </c>
      <c r="F2331" s="2">
        <v>638.489</v>
      </c>
    </row>
    <row r="2332" spans="3:6" x14ac:dyDescent="0.25">
      <c r="C2332" s="2" t="s">
        <v>10429</v>
      </c>
      <c r="D2332" s="2" t="s">
        <v>42</v>
      </c>
      <c r="E2332" s="2">
        <v>48</v>
      </c>
      <c r="F2332" s="2">
        <v>902.87</v>
      </c>
    </row>
    <row r="2333" spans="3:6" x14ac:dyDescent="0.25">
      <c r="C2333" s="2" t="s">
        <v>10430</v>
      </c>
      <c r="D2333" s="2" t="s">
        <v>42</v>
      </c>
      <c r="E2333" s="2">
        <v>45</v>
      </c>
      <c r="F2333" s="2">
        <v>240.04</v>
      </c>
    </row>
    <row r="2334" spans="3:6" x14ac:dyDescent="0.25">
      <c r="C2334" s="2" t="s">
        <v>10431</v>
      </c>
      <c r="D2334" s="2" t="s">
        <v>42</v>
      </c>
      <c r="E2334" s="2">
        <v>141</v>
      </c>
      <c r="F2334" s="2">
        <v>2757.33</v>
      </c>
    </row>
    <row r="2335" spans="3:6" x14ac:dyDescent="0.25">
      <c r="C2335" s="2" t="s">
        <v>10432</v>
      </c>
      <c r="D2335" s="2" t="s">
        <v>42</v>
      </c>
      <c r="E2335" s="2">
        <v>131</v>
      </c>
      <c r="F2335" s="2">
        <v>2386.819</v>
      </c>
    </row>
    <row r="2336" spans="3:6" x14ac:dyDescent="0.25">
      <c r="C2336" s="2" t="s">
        <v>10433</v>
      </c>
      <c r="D2336" s="2" t="s">
        <v>42</v>
      </c>
      <c r="E2336" s="2">
        <v>77</v>
      </c>
      <c r="F2336" s="2">
        <v>1571.54</v>
      </c>
    </row>
    <row r="2337" spans="3:6" x14ac:dyDescent="0.25">
      <c r="C2337" s="2" t="s">
        <v>10434</v>
      </c>
      <c r="D2337" s="2" t="s">
        <v>42</v>
      </c>
      <c r="E2337" s="2">
        <v>55</v>
      </c>
      <c r="F2337" s="2">
        <v>1115.74</v>
      </c>
    </row>
    <row r="2338" spans="3:6" x14ac:dyDescent="0.25">
      <c r="C2338" s="2" t="s">
        <v>10435</v>
      </c>
      <c r="D2338" s="2" t="s">
        <v>42</v>
      </c>
      <c r="E2338" s="2">
        <v>11</v>
      </c>
      <c r="F2338" s="2">
        <v>121.65</v>
      </c>
    </row>
    <row r="2339" spans="3:6" x14ac:dyDescent="0.25">
      <c r="C2339" s="2" t="s">
        <v>10436</v>
      </c>
      <c r="D2339" s="2" t="s">
        <v>42</v>
      </c>
      <c r="E2339" s="2">
        <v>89</v>
      </c>
      <c r="F2339" s="2">
        <v>2105.19</v>
      </c>
    </row>
    <row r="2340" spans="3:6" x14ac:dyDescent="0.25">
      <c r="C2340" s="2" t="s">
        <v>10437</v>
      </c>
      <c r="D2340" s="2" t="s">
        <v>42</v>
      </c>
      <c r="E2340" s="2">
        <v>52</v>
      </c>
      <c r="F2340" s="2">
        <v>1001.81</v>
      </c>
    </row>
    <row r="2341" spans="3:6" x14ac:dyDescent="0.25">
      <c r="C2341" s="2" t="s">
        <v>10438</v>
      </c>
      <c r="D2341" s="2" t="s">
        <v>42</v>
      </c>
      <c r="E2341" s="2">
        <v>60</v>
      </c>
      <c r="F2341" s="2">
        <v>303.31</v>
      </c>
    </row>
    <row r="2342" spans="3:6" x14ac:dyDescent="0.25">
      <c r="C2342" s="2" t="s">
        <v>10439</v>
      </c>
      <c r="D2342" s="2" t="s">
        <v>42</v>
      </c>
      <c r="E2342" s="2">
        <v>54</v>
      </c>
      <c r="F2342" s="2">
        <v>1249.29</v>
      </c>
    </row>
    <row r="2343" spans="3:6" x14ac:dyDescent="0.25">
      <c r="C2343" s="2" t="s">
        <v>10440</v>
      </c>
      <c r="D2343" s="2" t="s">
        <v>42</v>
      </c>
      <c r="E2343" s="2">
        <v>44</v>
      </c>
      <c r="F2343" s="2">
        <v>907.73</v>
      </c>
    </row>
    <row r="2344" spans="3:6" x14ac:dyDescent="0.25">
      <c r="C2344" s="2" t="s">
        <v>10441</v>
      </c>
      <c r="D2344" s="2" t="s">
        <v>42</v>
      </c>
      <c r="E2344" s="2">
        <v>0</v>
      </c>
      <c r="F2344" s="2">
        <v>0</v>
      </c>
    </row>
    <row r="2345" spans="3:6" x14ac:dyDescent="0.25">
      <c r="C2345" s="2" t="s">
        <v>10442</v>
      </c>
      <c r="D2345" s="2" t="s">
        <v>42</v>
      </c>
      <c r="E2345" s="2">
        <v>67</v>
      </c>
      <c r="F2345" s="2">
        <v>1382.09</v>
      </c>
    </row>
    <row r="2346" spans="3:6" x14ac:dyDescent="0.25">
      <c r="C2346" s="2" t="s">
        <v>10443</v>
      </c>
      <c r="D2346" s="2" t="s">
        <v>42</v>
      </c>
      <c r="E2346" s="2">
        <v>77</v>
      </c>
      <c r="F2346" s="2">
        <v>1595.33</v>
      </c>
    </row>
    <row r="2347" spans="3:6" x14ac:dyDescent="0.25">
      <c r="C2347" s="2" t="s">
        <v>10444</v>
      </c>
      <c r="D2347" s="2" t="s">
        <v>42</v>
      </c>
      <c r="E2347" s="2">
        <v>21</v>
      </c>
      <c r="F2347" s="2">
        <v>358.08</v>
      </c>
    </row>
    <row r="2348" spans="3:6" x14ac:dyDescent="0.25">
      <c r="C2348" s="2" t="s">
        <v>10445</v>
      </c>
      <c r="D2348" s="2" t="s">
        <v>42</v>
      </c>
      <c r="E2348" s="2">
        <v>32</v>
      </c>
      <c r="F2348" s="2">
        <v>653.3</v>
      </c>
    </row>
    <row r="2349" spans="3:6" x14ac:dyDescent="0.25">
      <c r="C2349" s="2" t="s">
        <v>10446</v>
      </c>
      <c r="D2349" s="2" t="s">
        <v>42</v>
      </c>
      <c r="E2349" s="2">
        <v>68</v>
      </c>
      <c r="F2349" s="2">
        <v>1293.568</v>
      </c>
    </row>
    <row r="2350" spans="3:6" x14ac:dyDescent="0.25">
      <c r="C2350" s="2" t="s">
        <v>10447</v>
      </c>
      <c r="D2350" s="2" t="s">
        <v>42</v>
      </c>
      <c r="E2350" s="2">
        <v>29</v>
      </c>
      <c r="F2350" s="2">
        <v>712.17</v>
      </c>
    </row>
    <row r="2351" spans="3:6" x14ac:dyDescent="0.25">
      <c r="C2351" s="2" t="s">
        <v>10448</v>
      </c>
      <c r="D2351" s="2" t="s">
        <v>42</v>
      </c>
      <c r="E2351" s="2">
        <v>71</v>
      </c>
      <c r="F2351" s="2">
        <v>1482.99</v>
      </c>
    </row>
    <row r="2352" spans="3:6" x14ac:dyDescent="0.25">
      <c r="C2352" s="2" t="s">
        <v>10449</v>
      </c>
      <c r="D2352" s="2" t="s">
        <v>42</v>
      </c>
      <c r="E2352" s="2">
        <v>10</v>
      </c>
      <c r="F2352" s="2">
        <v>200.86</v>
      </c>
    </row>
    <row r="2353" spans="3:6" x14ac:dyDescent="0.25">
      <c r="C2353" s="2" t="s">
        <v>10450</v>
      </c>
      <c r="D2353" s="2" t="s">
        <v>42</v>
      </c>
      <c r="E2353" s="2">
        <v>65</v>
      </c>
      <c r="F2353" s="2">
        <v>1263.38</v>
      </c>
    </row>
    <row r="2354" spans="3:6" x14ac:dyDescent="0.25">
      <c r="C2354" s="2" t="s">
        <v>10451</v>
      </c>
      <c r="D2354" s="2" t="s">
        <v>42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10</v>
      </c>
      <c r="C2356" s="2" t="s">
        <v>10452</v>
      </c>
      <c r="D2356" s="2" t="s">
        <v>12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10453</v>
      </c>
      <c r="D2357" s="2" t="s">
        <v>12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202</v>
      </c>
      <c r="C2359" s="2" t="s">
        <v>10454</v>
      </c>
      <c r="D2359" s="2" t="s">
        <v>8441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10455</v>
      </c>
      <c r="D2360" s="2" t="s">
        <v>8441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212</v>
      </c>
      <c r="C2362" s="2" t="s">
        <v>10456</v>
      </c>
      <c r="D2362" s="2" t="s">
        <v>204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10457</v>
      </c>
      <c r="D2363" s="2" t="s">
        <v>204</v>
      </c>
      <c r="E2363" s="2">
        <v>233</v>
      </c>
      <c r="F2363" s="2">
        <v>760.143</v>
      </c>
    </row>
    <row r="2364" spans="3:6" x14ac:dyDescent="0.25">
      <c r="C2364" s="2" t="s">
        <v>10458</v>
      </c>
      <c r="D2364" s="2" t="s">
        <v>204</v>
      </c>
      <c r="E2364" s="2">
        <v>163</v>
      </c>
      <c r="F2364" s="2">
        <v>3078.669</v>
      </c>
    </row>
    <row r="2365" spans="3:6" x14ac:dyDescent="0.25">
      <c r="C2365" s="2" t="s">
        <v>10459</v>
      </c>
      <c r="D2365" s="2" t="s">
        <v>204</v>
      </c>
      <c r="E2365" s="2">
        <v>163</v>
      </c>
      <c r="F2365" s="2">
        <v>3031.299</v>
      </c>
    </row>
    <row r="2366" spans="3:6" x14ac:dyDescent="0.25">
      <c r="C2366" s="2" t="s">
        <v>10460</v>
      </c>
      <c r="D2366" s="2" t="s">
        <v>204</v>
      </c>
      <c r="E2366" s="2">
        <v>163</v>
      </c>
      <c r="F2366" s="2">
        <v>3040.029</v>
      </c>
    </row>
    <row r="2367" spans="3:6" x14ac:dyDescent="0.25">
      <c r="C2367" s="2" t="s">
        <v>10461</v>
      </c>
      <c r="D2367" s="2" t="s">
        <v>204</v>
      </c>
      <c r="E2367" s="2">
        <v>27</v>
      </c>
      <c r="F2367" s="2">
        <v>0</v>
      </c>
    </row>
    <row r="2368" spans="3:6" x14ac:dyDescent="0.25">
      <c r="C2368" s="2" t="s">
        <v>10462</v>
      </c>
      <c r="D2368" s="2" t="s">
        <v>204</v>
      </c>
      <c r="E2368" s="2">
        <v>136</v>
      </c>
      <c r="F2368" s="2">
        <v>2664.068</v>
      </c>
    </row>
    <row r="2369" spans="3:6" x14ac:dyDescent="0.25">
      <c r="C2369" s="2" t="s">
        <v>10463</v>
      </c>
      <c r="D2369" s="2" t="s">
        <v>204</v>
      </c>
      <c r="E2369" s="2">
        <v>163</v>
      </c>
      <c r="F2369" s="2">
        <v>3181.722</v>
      </c>
    </row>
    <row r="2370" spans="3:6" x14ac:dyDescent="0.25">
      <c r="C2370" s="2" t="s">
        <v>10464</v>
      </c>
      <c r="D2370" s="2" t="s">
        <v>204</v>
      </c>
      <c r="E2370" s="2">
        <v>105</v>
      </c>
      <c r="F2370" s="2">
        <v>2071.764</v>
      </c>
    </row>
    <row r="2371" spans="3:6" x14ac:dyDescent="0.25">
      <c r="C2371" s="2" t="s">
        <v>10465</v>
      </c>
      <c r="D2371" s="2" t="s">
        <v>204</v>
      </c>
      <c r="E2371" s="2">
        <v>163</v>
      </c>
      <c r="F2371" s="2">
        <v>0</v>
      </c>
    </row>
    <row r="2372" spans="3:6" x14ac:dyDescent="0.25">
      <c r="C2372" s="2" t="s">
        <v>10466</v>
      </c>
      <c r="D2372" s="2" t="s">
        <v>204</v>
      </c>
      <c r="E2372" s="2">
        <v>36</v>
      </c>
      <c r="F2372" s="2">
        <v>0</v>
      </c>
    </row>
    <row r="2373" spans="3:6" x14ac:dyDescent="0.25">
      <c r="C2373" s="2" t="s">
        <v>10377</v>
      </c>
      <c r="D2373" s="2" t="s">
        <v>204</v>
      </c>
      <c r="E2373" s="2">
        <v>105</v>
      </c>
      <c r="F2373" s="2">
        <v>1838.67</v>
      </c>
    </row>
    <row r="2374" spans="3:6" x14ac:dyDescent="0.25">
      <c r="C2374" s="2" t="s">
        <v>10467</v>
      </c>
      <c r="D2374" s="2" t="s">
        <v>214</v>
      </c>
      <c r="E2374" s="2">
        <v>56</v>
      </c>
      <c r="F2374" s="2">
        <v>1105.189</v>
      </c>
    </row>
    <row r="2375" spans="3:6" x14ac:dyDescent="0.25">
      <c r="C2375" s="2" t="s">
        <v>10468</v>
      </c>
      <c r="D2375" s="2" t="s">
        <v>214</v>
      </c>
      <c r="E2375" s="2">
        <v>100</v>
      </c>
      <c r="F2375" s="2">
        <v>1935.43</v>
      </c>
    </row>
    <row r="2376" spans="3:6" x14ac:dyDescent="0.25">
      <c r="C2376" s="2" t="s">
        <v>10469</v>
      </c>
      <c r="D2376" s="2" t="s">
        <v>214</v>
      </c>
      <c r="E2376" s="2">
        <v>56</v>
      </c>
      <c r="F2376" s="2">
        <v>1091.599</v>
      </c>
    </row>
    <row r="2377" spans="3:6" x14ac:dyDescent="0.25">
      <c r="C2377" s="2" t="s">
        <v>10470</v>
      </c>
      <c r="D2377" s="2" t="s">
        <v>214</v>
      </c>
      <c r="E2377" s="2">
        <v>100</v>
      </c>
      <c r="F2377" s="2">
        <v>1795.128</v>
      </c>
    </row>
    <row r="2378" spans="3:6" x14ac:dyDescent="0.25">
      <c r="C2378" s="2" t="s">
        <v>10471</v>
      </c>
      <c r="D2378" s="2" t="s">
        <v>214</v>
      </c>
      <c r="E2378" s="2">
        <v>56</v>
      </c>
      <c r="F2378" s="2">
        <v>1076.819</v>
      </c>
    </row>
    <row r="2379" spans="3:6" x14ac:dyDescent="0.25">
      <c r="C2379" s="2" t="s">
        <v>10472</v>
      </c>
      <c r="D2379" s="2" t="s">
        <v>214</v>
      </c>
      <c r="E2379" s="2">
        <v>100</v>
      </c>
      <c r="F2379" s="2">
        <v>2007.54</v>
      </c>
    </row>
    <row r="2380" spans="3:6" x14ac:dyDescent="0.25">
      <c r="C2380" s="2" t="s">
        <v>10473</v>
      </c>
      <c r="D2380" s="2" t="s">
        <v>214</v>
      </c>
      <c r="E2380" s="2">
        <v>56</v>
      </c>
      <c r="F2380" s="2">
        <v>1055.43</v>
      </c>
    </row>
    <row r="2381" spans="3:6" x14ac:dyDescent="0.25">
      <c r="C2381" s="2" t="s">
        <v>10474</v>
      </c>
      <c r="D2381" s="2" t="s">
        <v>214</v>
      </c>
      <c r="E2381" s="2">
        <v>100</v>
      </c>
      <c r="F2381" s="2">
        <v>1901.73</v>
      </c>
    </row>
    <row r="2382" spans="3:6" x14ac:dyDescent="0.25">
      <c r="C2382" s="2" t="s">
        <v>10475</v>
      </c>
      <c r="D2382" s="2" t="s">
        <v>214</v>
      </c>
      <c r="E2382" s="2">
        <v>56</v>
      </c>
      <c r="F2382" s="2">
        <v>1001.94</v>
      </c>
    </row>
    <row r="2383" spans="3:6" x14ac:dyDescent="0.25">
      <c r="C2383" s="2" t="s">
        <v>10476</v>
      </c>
      <c r="D2383" s="2" t="s">
        <v>214</v>
      </c>
      <c r="E2383" s="2">
        <v>100</v>
      </c>
      <c r="F2383" s="2">
        <v>1911.42</v>
      </c>
    </row>
    <row r="2384" spans="3:6" x14ac:dyDescent="0.25">
      <c r="C2384" s="2" t="s">
        <v>10477</v>
      </c>
      <c r="D2384" s="2" t="s">
        <v>216</v>
      </c>
      <c r="E2384" s="2">
        <v>134</v>
      </c>
      <c r="F2384" s="2">
        <v>2591.49</v>
      </c>
    </row>
    <row r="2385" spans="3:6" x14ac:dyDescent="0.25">
      <c r="C2385" s="2" t="s">
        <v>10478</v>
      </c>
      <c r="D2385" s="2" t="s">
        <v>216</v>
      </c>
      <c r="E2385" s="2">
        <v>134</v>
      </c>
      <c r="F2385" s="2">
        <v>2623.149</v>
      </c>
    </row>
    <row r="2386" spans="3:6" x14ac:dyDescent="0.25">
      <c r="C2386" s="2" t="s">
        <v>10479</v>
      </c>
      <c r="D2386" s="2" t="s">
        <v>216</v>
      </c>
      <c r="E2386" s="2">
        <v>134</v>
      </c>
      <c r="F2386" s="2">
        <v>2693.85</v>
      </c>
    </row>
    <row r="2387" spans="3:6" x14ac:dyDescent="0.25">
      <c r="C2387" s="2" t="s">
        <v>10480</v>
      </c>
      <c r="D2387" s="2" t="s">
        <v>216</v>
      </c>
      <c r="E2387" s="2">
        <v>134</v>
      </c>
      <c r="F2387" s="2">
        <v>2733.759</v>
      </c>
    </row>
    <row r="2388" spans="3:6" x14ac:dyDescent="0.25">
      <c r="C2388" s="2" t="s">
        <v>10481</v>
      </c>
      <c r="D2388" s="2" t="s">
        <v>216</v>
      </c>
      <c r="E2388" s="2">
        <v>134</v>
      </c>
      <c r="F2388" s="2">
        <v>2413.66</v>
      </c>
    </row>
    <row r="2389" spans="3:6" x14ac:dyDescent="0.25">
      <c r="C2389" s="2" t="s">
        <v>10482</v>
      </c>
      <c r="D2389" s="2" t="s">
        <v>216</v>
      </c>
      <c r="E2389" s="2">
        <v>134</v>
      </c>
      <c r="F2389" s="2">
        <v>2581.54</v>
      </c>
    </row>
    <row r="2390" spans="3:6" x14ac:dyDescent="0.25">
      <c r="C2390" s="2" t="s">
        <v>10483</v>
      </c>
      <c r="D2390" s="2" t="s">
        <v>216</v>
      </c>
      <c r="E2390" s="2">
        <v>163</v>
      </c>
      <c r="F2390" s="2">
        <v>3104.188</v>
      </c>
    </row>
    <row r="2391" spans="3:6" x14ac:dyDescent="0.25">
      <c r="C2391" s="2" t="s">
        <v>10484</v>
      </c>
      <c r="D2391" s="2" t="s">
        <v>216</v>
      </c>
      <c r="E2391" s="2">
        <v>163</v>
      </c>
      <c r="F2391" s="2">
        <v>3001.3</v>
      </c>
    </row>
    <row r="2392" spans="3:6" x14ac:dyDescent="0.25">
      <c r="C2392" s="2" t="s">
        <v>10485</v>
      </c>
      <c r="D2392" s="2" t="s">
        <v>216</v>
      </c>
      <c r="E2392" s="2">
        <v>163</v>
      </c>
      <c r="F2392" s="2">
        <v>3193.57</v>
      </c>
    </row>
    <row r="2393" spans="3:6" x14ac:dyDescent="0.25">
      <c r="C2393" s="2" t="s">
        <v>10486</v>
      </c>
      <c r="D2393" s="2" t="s">
        <v>216</v>
      </c>
      <c r="E2393" s="2">
        <v>95</v>
      </c>
      <c r="F2393" s="2">
        <v>0</v>
      </c>
    </row>
    <row r="2394" spans="3:6" x14ac:dyDescent="0.25">
      <c r="C2394" s="2" t="s">
        <v>10487</v>
      </c>
      <c r="D2394" s="2" t="s">
        <v>216</v>
      </c>
      <c r="E2394" s="2">
        <v>12</v>
      </c>
      <c r="F2394" s="2">
        <v>88.02</v>
      </c>
    </row>
    <row r="2395" spans="3:6" x14ac:dyDescent="0.25">
      <c r="C2395" s="2" t="s">
        <v>10488</v>
      </c>
      <c r="D2395" s="2" t="s">
        <v>236</v>
      </c>
      <c r="E2395" s="2">
        <v>80</v>
      </c>
      <c r="F2395" s="2">
        <v>1579.54</v>
      </c>
    </row>
    <row r="2396" spans="3:6" x14ac:dyDescent="0.25">
      <c r="C2396" s="2" t="s">
        <v>10489</v>
      </c>
      <c r="D2396" s="2" t="s">
        <v>236</v>
      </c>
      <c r="E2396" s="2">
        <v>18</v>
      </c>
      <c r="F2396" s="2">
        <v>385.39</v>
      </c>
    </row>
    <row r="2397" spans="3:6" x14ac:dyDescent="0.25">
      <c r="C2397" s="2" t="s">
        <v>10490</v>
      </c>
      <c r="D2397" s="2" t="s">
        <v>236</v>
      </c>
      <c r="E2397" s="2">
        <v>7</v>
      </c>
      <c r="F2397" s="2">
        <v>0</v>
      </c>
    </row>
    <row r="2398" spans="3:6" x14ac:dyDescent="0.25">
      <c r="C2398" s="2" t="s">
        <v>10491</v>
      </c>
      <c r="D2398" s="2" t="s">
        <v>236</v>
      </c>
      <c r="E2398" s="2">
        <v>45</v>
      </c>
      <c r="F2398" s="2">
        <v>841.67</v>
      </c>
    </row>
    <row r="2399" spans="3:6" x14ac:dyDescent="0.25">
      <c r="C2399" s="2" t="s">
        <v>10492</v>
      </c>
      <c r="D2399" s="2" t="s">
        <v>236</v>
      </c>
      <c r="E2399" s="2">
        <v>60</v>
      </c>
      <c r="F2399" s="2">
        <v>1097.51</v>
      </c>
    </row>
    <row r="2400" spans="3:6" x14ac:dyDescent="0.25">
      <c r="C2400" s="2" t="s">
        <v>10493</v>
      </c>
      <c r="D2400" s="2" t="s">
        <v>342</v>
      </c>
      <c r="E2400" s="2">
        <v>128</v>
      </c>
      <c r="F2400" s="2">
        <v>2381.1</v>
      </c>
    </row>
    <row r="2401" spans="3:6" x14ac:dyDescent="0.25">
      <c r="C2401" s="2" t="s">
        <v>10494</v>
      </c>
      <c r="D2401" s="2" t="s">
        <v>342</v>
      </c>
      <c r="E2401" s="2">
        <v>28</v>
      </c>
      <c r="F2401" s="2">
        <v>475.35</v>
      </c>
    </row>
    <row r="2403" spans="2:7" x14ac:dyDescent="0.25">
      <c r="B2403" s="2" t="s">
        <v>2077</v>
      </c>
      <c r="C2403" s="2" t="s">
        <v>10495</v>
      </c>
      <c r="D2403" s="2" t="s">
        <v>216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10496</v>
      </c>
      <c r="D2404" s="2" t="s">
        <v>214</v>
      </c>
      <c r="E2404" s="2">
        <v>40</v>
      </c>
      <c r="F2404" s="2">
        <v>631</v>
      </c>
    </row>
    <row r="2405" spans="3:6" x14ac:dyDescent="0.25">
      <c r="C2405" s="2" t="s">
        <v>10497</v>
      </c>
      <c r="D2405" s="2" t="s">
        <v>214</v>
      </c>
      <c r="E2405" s="2">
        <v>116</v>
      </c>
      <c r="F2405" s="2">
        <v>2116</v>
      </c>
    </row>
    <row r="2406" spans="3:6" x14ac:dyDescent="0.25">
      <c r="C2406" s="2" t="s">
        <v>10498</v>
      </c>
      <c r="D2406" s="2" t="s">
        <v>216</v>
      </c>
      <c r="E2406" s="2">
        <v>157</v>
      </c>
      <c r="F2406" s="2">
        <v>2791</v>
      </c>
    </row>
    <row r="2407" spans="3:6" x14ac:dyDescent="0.25">
      <c r="C2407" s="2" t="s">
        <v>10499</v>
      </c>
      <c r="D2407" s="2" t="s">
        <v>216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10500</v>
      </c>
      <c r="C2409" s="2" t="s">
        <v>10501</v>
      </c>
      <c r="D2409" s="2" t="s">
        <v>20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10502</v>
      </c>
      <c r="D2410" s="2" t="s">
        <v>20</v>
      </c>
      <c r="E2410" s="2">
        <v>237</v>
      </c>
      <c r="F2410" s="2">
        <v>4599.01</v>
      </c>
    </row>
    <row r="2411" spans="3:6" x14ac:dyDescent="0.25">
      <c r="C2411" s="2" t="s">
        <v>10503</v>
      </c>
      <c r="D2411" s="2" t="s">
        <v>20</v>
      </c>
      <c r="E2411" s="2">
        <v>155</v>
      </c>
      <c r="F2411" s="2">
        <v>3068.63</v>
      </c>
    </row>
    <row r="2412" spans="3:6" x14ac:dyDescent="0.25">
      <c r="C2412" s="2" t="s">
        <v>10504</v>
      </c>
      <c r="D2412" s="2" t="s">
        <v>20</v>
      </c>
      <c r="E2412" s="2">
        <v>163</v>
      </c>
      <c r="F2412" s="2">
        <v>3173.449</v>
      </c>
    </row>
    <row r="2413" spans="3:6" x14ac:dyDescent="0.25">
      <c r="C2413" s="2" t="s">
        <v>10505</v>
      </c>
      <c r="D2413" s="2" t="s">
        <v>20</v>
      </c>
      <c r="E2413" s="2">
        <v>274</v>
      </c>
      <c r="F2413" s="2">
        <v>5389.299</v>
      </c>
    </row>
    <row r="2414" spans="3:6" x14ac:dyDescent="0.25">
      <c r="C2414" s="2" t="s">
        <v>10506</v>
      </c>
      <c r="D2414" s="2" t="s">
        <v>20</v>
      </c>
      <c r="E2414" s="2">
        <v>222</v>
      </c>
      <c r="F2414" s="2">
        <v>4913.86</v>
      </c>
    </row>
    <row r="2415" spans="3:6" x14ac:dyDescent="0.25">
      <c r="C2415" s="2" t="s">
        <v>10507</v>
      </c>
      <c r="D2415" s="2" t="s">
        <v>20</v>
      </c>
      <c r="E2415" s="2">
        <v>132</v>
      </c>
      <c r="F2415" s="2">
        <v>2610.6</v>
      </c>
    </row>
    <row r="2416" spans="3:6" x14ac:dyDescent="0.25">
      <c r="C2416" s="2" t="s">
        <v>10508</v>
      </c>
      <c r="D2416" s="2" t="s">
        <v>20</v>
      </c>
      <c r="E2416" s="2">
        <v>210</v>
      </c>
      <c r="F2416" s="2">
        <v>4219.72</v>
      </c>
    </row>
    <row r="2417" spans="3:6" x14ac:dyDescent="0.25">
      <c r="C2417" s="2" t="s">
        <v>10509</v>
      </c>
      <c r="D2417" s="2" t="s">
        <v>20</v>
      </c>
      <c r="E2417" s="2">
        <v>133</v>
      </c>
      <c r="F2417" s="2">
        <v>2592.84</v>
      </c>
    </row>
    <row r="2418" spans="3:6" x14ac:dyDescent="0.25">
      <c r="C2418" s="2" t="s">
        <v>10510</v>
      </c>
      <c r="D2418" s="2" t="s">
        <v>20</v>
      </c>
      <c r="E2418" s="2">
        <v>68</v>
      </c>
      <c r="F2418" s="2">
        <v>1680.038</v>
      </c>
    </row>
    <row r="2419" spans="3:6" x14ac:dyDescent="0.25">
      <c r="C2419" s="2" t="s">
        <v>10511</v>
      </c>
      <c r="D2419" s="2" t="s">
        <v>20</v>
      </c>
      <c r="E2419" s="2">
        <v>237</v>
      </c>
      <c r="F2419" s="2">
        <v>4571.809</v>
      </c>
    </row>
    <row r="2420" spans="3:6" x14ac:dyDescent="0.25">
      <c r="C2420" s="2" t="s">
        <v>10512</v>
      </c>
      <c r="D2420" s="2" t="s">
        <v>20</v>
      </c>
      <c r="E2420" s="2">
        <v>163</v>
      </c>
      <c r="F2420" s="2">
        <v>3176.71</v>
      </c>
    </row>
    <row r="2421" spans="3:6" x14ac:dyDescent="0.25">
      <c r="C2421" s="2" t="s">
        <v>10513</v>
      </c>
      <c r="D2421" s="2" t="s">
        <v>20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335</v>
      </c>
      <c r="C2423" s="2" t="s">
        <v>10514</v>
      </c>
      <c r="D2423" s="2" t="s">
        <v>20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10515</v>
      </c>
      <c r="D2424" s="2" t="s">
        <v>20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1434</v>
      </c>
      <c r="C2426" s="2" t="s">
        <v>10516</v>
      </c>
      <c r="D2426" s="2" t="s">
        <v>122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10517</v>
      </c>
      <c r="D2427" s="2" t="s">
        <v>122</v>
      </c>
      <c r="E2427" s="2">
        <v>141</v>
      </c>
      <c r="F2427" s="2">
        <v>2767.48</v>
      </c>
    </row>
    <row r="2428" spans="3:6" x14ac:dyDescent="0.25">
      <c r="C2428" s="2" t="s">
        <v>10518</v>
      </c>
      <c r="D2428" s="2" t="s">
        <v>122</v>
      </c>
      <c r="E2428" s="2">
        <v>141</v>
      </c>
      <c r="F2428" s="2">
        <v>2996.79</v>
      </c>
    </row>
    <row r="2429" spans="3:6" x14ac:dyDescent="0.25">
      <c r="C2429" s="2" t="s">
        <v>10519</v>
      </c>
      <c r="D2429" s="2" t="s">
        <v>122</v>
      </c>
      <c r="E2429" s="2">
        <v>101</v>
      </c>
      <c r="F2429" s="2">
        <v>2033.719</v>
      </c>
    </row>
    <row r="2430" spans="3:6" x14ac:dyDescent="0.25">
      <c r="C2430" s="2" t="s">
        <v>10520</v>
      </c>
      <c r="D2430" s="2" t="s">
        <v>122</v>
      </c>
      <c r="E2430" s="2">
        <v>40</v>
      </c>
      <c r="F2430" s="2">
        <v>813.32</v>
      </c>
    </row>
    <row r="2431" spans="3:6" x14ac:dyDescent="0.25">
      <c r="C2431" s="2" t="s">
        <v>10521</v>
      </c>
      <c r="D2431" s="2" t="s">
        <v>122</v>
      </c>
      <c r="E2431" s="2">
        <v>96</v>
      </c>
      <c r="F2431" s="2">
        <v>1943.838</v>
      </c>
    </row>
    <row r="2432" spans="3:6" x14ac:dyDescent="0.25">
      <c r="C2432" s="2" t="s">
        <v>10522</v>
      </c>
      <c r="D2432" s="2" t="s">
        <v>122</v>
      </c>
      <c r="E2432" s="2">
        <v>45</v>
      </c>
      <c r="F2432" s="2">
        <v>940.99</v>
      </c>
    </row>
    <row r="2433" spans="3:6" x14ac:dyDescent="0.25">
      <c r="C2433" s="2" t="s">
        <v>10523</v>
      </c>
      <c r="D2433" s="2" t="s">
        <v>122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206</v>
      </c>
      <c r="C2435" s="2" t="s">
        <v>10524</v>
      </c>
      <c r="D2435" s="2" t="s">
        <v>27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10525</v>
      </c>
      <c r="D2436" s="2" t="s">
        <v>27</v>
      </c>
      <c r="E2436" s="2">
        <v>84</v>
      </c>
      <c r="F2436" s="2">
        <v>1751.88</v>
      </c>
    </row>
    <row r="2437" spans="3:6" x14ac:dyDescent="0.25">
      <c r="C2437" s="2" t="s">
        <v>10526</v>
      </c>
      <c r="D2437" s="2" t="s">
        <v>27</v>
      </c>
      <c r="E2437" s="2">
        <v>8</v>
      </c>
      <c r="F2437" s="2">
        <v>184.5</v>
      </c>
    </row>
    <row r="2438" spans="3:6" x14ac:dyDescent="0.25">
      <c r="C2438" s="2" t="s">
        <v>10527</v>
      </c>
      <c r="D2438" s="2" t="s">
        <v>27</v>
      </c>
      <c r="E2438" s="2">
        <v>46</v>
      </c>
      <c r="F2438" s="2">
        <v>855.99</v>
      </c>
    </row>
    <row r="2439" spans="3:6" x14ac:dyDescent="0.25">
      <c r="C2439" s="2" t="s">
        <v>10528</v>
      </c>
      <c r="D2439" s="2" t="s">
        <v>27</v>
      </c>
      <c r="E2439" s="2">
        <v>45</v>
      </c>
      <c r="F2439" s="2">
        <v>773.06</v>
      </c>
    </row>
    <row r="2440" spans="3:6" x14ac:dyDescent="0.25">
      <c r="C2440" s="2" t="s">
        <v>10529</v>
      </c>
      <c r="D2440" s="2" t="s">
        <v>27</v>
      </c>
      <c r="E2440" s="2">
        <v>77</v>
      </c>
      <c r="F2440" s="2">
        <v>1356.3</v>
      </c>
    </row>
    <row r="2441" spans="3:6" x14ac:dyDescent="0.25">
      <c r="C2441" s="2" t="s">
        <v>10530</v>
      </c>
      <c r="D2441" s="2" t="s">
        <v>27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10</v>
      </c>
      <c r="C2443" s="2" t="s">
        <v>10531</v>
      </c>
      <c r="D2443" s="2" t="s">
        <v>12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10532</v>
      </c>
      <c r="D2444" s="2" t="s">
        <v>12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2097</v>
      </c>
      <c r="C2446" s="2" t="s">
        <v>10533</v>
      </c>
      <c r="D2446" s="2" t="s">
        <v>27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10534</v>
      </c>
      <c r="D2447" s="2" t="s">
        <v>27</v>
      </c>
      <c r="E2447" s="2">
        <v>78</v>
      </c>
      <c r="F2447" s="2">
        <v>1540.97</v>
      </c>
    </row>
    <row r="2448" spans="3:6" x14ac:dyDescent="0.25">
      <c r="C2448" s="2" t="s">
        <v>10535</v>
      </c>
      <c r="D2448" s="2" t="s">
        <v>27</v>
      </c>
      <c r="E2448" s="2">
        <v>40</v>
      </c>
      <c r="F2448" s="2">
        <v>750.16</v>
      </c>
    </row>
    <row r="2449" spans="3:6" x14ac:dyDescent="0.25">
      <c r="C2449" s="2" t="s">
        <v>10536</v>
      </c>
      <c r="D2449" s="2" t="s">
        <v>27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794</v>
      </c>
      <c r="C2451" s="2" t="s">
        <v>10537</v>
      </c>
      <c r="D2451" s="2" t="s">
        <v>1288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120</v>
      </c>
      <c r="C2453" s="2" t="s">
        <v>10538</v>
      </c>
      <c r="D2453" s="2" t="s">
        <v>122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10539</v>
      </c>
      <c r="D2454" s="2" t="s">
        <v>122</v>
      </c>
      <c r="E2454" s="2">
        <v>121</v>
      </c>
      <c r="F2454" s="2">
        <v>2364.64</v>
      </c>
    </row>
    <row r="2455" spans="3:6" x14ac:dyDescent="0.25">
      <c r="C2455" s="2" t="s">
        <v>10540</v>
      </c>
      <c r="D2455" s="2" t="s">
        <v>122</v>
      </c>
      <c r="E2455" s="2">
        <v>64</v>
      </c>
      <c r="F2455" s="2">
        <v>1355.73</v>
      </c>
    </row>
    <row r="2456" spans="3:6" x14ac:dyDescent="0.25">
      <c r="C2456" s="2" t="s">
        <v>10541</v>
      </c>
      <c r="D2456" s="2" t="s">
        <v>122</v>
      </c>
      <c r="E2456" s="2">
        <v>43</v>
      </c>
      <c r="F2456" s="2">
        <v>897.78</v>
      </c>
    </row>
    <row r="2457" spans="3:6" x14ac:dyDescent="0.25">
      <c r="C2457" s="2" t="s">
        <v>10542</v>
      </c>
      <c r="D2457" s="2" t="s">
        <v>122</v>
      </c>
      <c r="E2457" s="2">
        <v>14</v>
      </c>
      <c r="F2457" s="2">
        <v>261.95</v>
      </c>
    </row>
    <row r="2458" spans="3:6" x14ac:dyDescent="0.25">
      <c r="C2458" s="2" t="s">
        <v>10543</v>
      </c>
      <c r="D2458" s="2" t="s">
        <v>122</v>
      </c>
      <c r="E2458" s="2">
        <v>63</v>
      </c>
      <c r="F2458" s="2">
        <v>1274.57</v>
      </c>
    </row>
    <row r="2459" spans="3:6" x14ac:dyDescent="0.25">
      <c r="C2459" s="2" t="s">
        <v>10544</v>
      </c>
      <c r="D2459" s="2" t="s">
        <v>122</v>
      </c>
      <c r="E2459" s="2">
        <v>58</v>
      </c>
      <c r="F2459" s="2">
        <v>1129.34</v>
      </c>
    </row>
    <row r="2460" spans="3:6" x14ac:dyDescent="0.25">
      <c r="C2460" s="2" t="s">
        <v>10545</v>
      </c>
      <c r="D2460" s="2" t="s">
        <v>122</v>
      </c>
      <c r="E2460" s="2">
        <v>134</v>
      </c>
      <c r="F2460" s="2">
        <v>2740.949</v>
      </c>
    </row>
    <row r="2461" spans="3:6" x14ac:dyDescent="0.25">
      <c r="C2461" s="2" t="s">
        <v>10546</v>
      </c>
      <c r="D2461" s="2" t="s">
        <v>122</v>
      </c>
      <c r="E2461" s="2">
        <v>10</v>
      </c>
      <c r="F2461" s="2">
        <v>185.41</v>
      </c>
    </row>
    <row r="2462" spans="3:6" x14ac:dyDescent="0.25">
      <c r="C2462" s="2" t="s">
        <v>10547</v>
      </c>
      <c r="D2462" s="2" t="s">
        <v>122</v>
      </c>
      <c r="E2462" s="2">
        <v>92</v>
      </c>
      <c r="F2462" s="2">
        <v>1783.159</v>
      </c>
    </row>
    <row r="2463" spans="3:6" x14ac:dyDescent="0.25">
      <c r="C2463" s="2" t="s">
        <v>10548</v>
      </c>
      <c r="D2463" s="2" t="s">
        <v>122</v>
      </c>
      <c r="E2463" s="2">
        <v>103</v>
      </c>
      <c r="F2463" s="2">
        <v>2091.95</v>
      </c>
    </row>
    <row r="2464" spans="3:6" x14ac:dyDescent="0.25">
      <c r="C2464" s="2" t="s">
        <v>10549</v>
      </c>
      <c r="D2464" s="2" t="s">
        <v>122</v>
      </c>
      <c r="E2464" s="2">
        <v>102</v>
      </c>
      <c r="F2464" s="2">
        <v>2107.33</v>
      </c>
    </row>
    <row r="2465" spans="3:6" x14ac:dyDescent="0.25">
      <c r="C2465" s="2" t="s">
        <v>10550</v>
      </c>
      <c r="D2465" s="2" t="s">
        <v>122</v>
      </c>
      <c r="E2465" s="2">
        <v>102</v>
      </c>
      <c r="F2465" s="2">
        <v>2151.46</v>
      </c>
    </row>
    <row r="2466" spans="3:6" x14ac:dyDescent="0.25">
      <c r="C2466" s="2" t="s">
        <v>10551</v>
      </c>
      <c r="D2466" s="2" t="s">
        <v>122</v>
      </c>
      <c r="E2466" s="2">
        <v>65</v>
      </c>
      <c r="F2466" s="2">
        <v>1242.46</v>
      </c>
    </row>
    <row r="2467" spans="3:6" x14ac:dyDescent="0.25">
      <c r="C2467" s="2" t="s">
        <v>10552</v>
      </c>
      <c r="D2467" s="2" t="s">
        <v>122</v>
      </c>
      <c r="E2467" s="2">
        <v>10</v>
      </c>
      <c r="F2467" s="2">
        <v>98.729</v>
      </c>
    </row>
    <row r="2468" spans="3:6" x14ac:dyDescent="0.25">
      <c r="C2468" s="2" t="s">
        <v>10553</v>
      </c>
      <c r="D2468" s="2" t="s">
        <v>122</v>
      </c>
      <c r="E2468" s="2">
        <v>130</v>
      </c>
      <c r="F2468" s="2">
        <v>2656.41</v>
      </c>
    </row>
    <row r="2469" spans="3:6" x14ac:dyDescent="0.25">
      <c r="C2469" s="2" t="s">
        <v>10554</v>
      </c>
      <c r="D2469" s="2" t="s">
        <v>122</v>
      </c>
      <c r="E2469" s="2">
        <v>11</v>
      </c>
      <c r="F2469" s="2">
        <v>214.74</v>
      </c>
    </row>
    <row r="2470" spans="3:6" x14ac:dyDescent="0.25">
      <c r="C2470" s="2" t="s">
        <v>10555</v>
      </c>
      <c r="D2470" s="2" t="s">
        <v>122</v>
      </c>
      <c r="E2470" s="2">
        <v>141</v>
      </c>
      <c r="F2470" s="2">
        <v>2826.93</v>
      </c>
    </row>
    <row r="2471" spans="3:6" x14ac:dyDescent="0.25">
      <c r="C2471" s="2" t="s">
        <v>10556</v>
      </c>
      <c r="D2471" s="2" t="s">
        <v>122</v>
      </c>
      <c r="E2471" s="2">
        <v>37</v>
      </c>
      <c r="F2471" s="2">
        <v>710.41</v>
      </c>
    </row>
    <row r="2472" spans="3:6" x14ac:dyDescent="0.25">
      <c r="C2472" s="2" t="s">
        <v>10557</v>
      </c>
      <c r="D2472" s="2" t="s">
        <v>122</v>
      </c>
      <c r="E2472" s="2">
        <v>28</v>
      </c>
      <c r="F2472" s="2">
        <v>494.1</v>
      </c>
    </row>
    <row r="2473" spans="3:6" x14ac:dyDescent="0.25">
      <c r="C2473" s="2" t="s">
        <v>10558</v>
      </c>
      <c r="D2473" s="2" t="s">
        <v>122</v>
      </c>
      <c r="E2473" s="2">
        <v>45</v>
      </c>
      <c r="F2473" s="2">
        <v>806.38</v>
      </c>
    </row>
    <row r="2474" spans="3:6" x14ac:dyDescent="0.25">
      <c r="C2474" s="2" t="s">
        <v>10559</v>
      </c>
      <c r="D2474" s="2" t="s">
        <v>122</v>
      </c>
      <c r="E2474" s="2">
        <v>31</v>
      </c>
      <c r="F2474" s="2">
        <v>629.52</v>
      </c>
    </row>
    <row r="2475" spans="3:6" x14ac:dyDescent="0.25">
      <c r="C2475" s="2" t="s">
        <v>10560</v>
      </c>
      <c r="D2475" s="2" t="s">
        <v>122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10561</v>
      </c>
      <c r="D2476" s="2" t="s">
        <v>122</v>
      </c>
      <c r="E2476" s="2">
        <v>16</v>
      </c>
      <c r="F2476" s="2">
        <v>303.12</v>
      </c>
    </row>
    <row r="2477" spans="3:6" x14ac:dyDescent="0.25">
      <c r="C2477" s="2" t="s">
        <v>10562</v>
      </c>
      <c r="D2477" s="2" t="s">
        <v>122</v>
      </c>
      <c r="E2477" s="2">
        <v>15</v>
      </c>
      <c r="F2477" s="2">
        <v>287.68</v>
      </c>
    </row>
    <row r="2478" spans="3:6" x14ac:dyDescent="0.25">
      <c r="C2478" s="2" t="s">
        <v>10563</v>
      </c>
      <c r="D2478" s="2" t="s">
        <v>122</v>
      </c>
      <c r="E2478" s="2">
        <v>71</v>
      </c>
      <c r="F2478" s="2">
        <v>1277.65</v>
      </c>
    </row>
    <row r="2479" spans="3:6" x14ac:dyDescent="0.25">
      <c r="C2479" s="2" t="s">
        <v>10564</v>
      </c>
      <c r="D2479" s="2" t="s">
        <v>122</v>
      </c>
      <c r="E2479" s="2">
        <v>39</v>
      </c>
      <c r="F2479" s="2">
        <v>667.03</v>
      </c>
    </row>
    <row r="2480" spans="3:6" x14ac:dyDescent="0.25">
      <c r="C2480" s="2" t="s">
        <v>10565</v>
      </c>
      <c r="D2480" s="2" t="s">
        <v>122</v>
      </c>
      <c r="E2480" s="2">
        <v>141</v>
      </c>
      <c r="F2480" s="2">
        <v>2890.64</v>
      </c>
    </row>
    <row r="2481" spans="3:6" x14ac:dyDescent="0.25">
      <c r="C2481" s="2" t="s">
        <v>10566</v>
      </c>
      <c r="D2481" s="2" t="s">
        <v>122</v>
      </c>
      <c r="E2481" s="2">
        <v>141</v>
      </c>
      <c r="F2481" s="2">
        <v>2817.22</v>
      </c>
    </row>
    <row r="2482" spans="3:6" x14ac:dyDescent="0.25">
      <c r="C2482" s="2" t="s">
        <v>10567</v>
      </c>
      <c r="D2482" s="2" t="s">
        <v>122</v>
      </c>
      <c r="E2482" s="2">
        <v>26</v>
      </c>
      <c r="F2482" s="2">
        <v>557.81</v>
      </c>
    </row>
    <row r="2483" spans="3:6" x14ac:dyDescent="0.25">
      <c r="C2483" s="2" t="s">
        <v>10568</v>
      </c>
      <c r="D2483" s="2" t="s">
        <v>122</v>
      </c>
      <c r="E2483" s="2">
        <v>25</v>
      </c>
      <c r="F2483" s="2">
        <v>515.82</v>
      </c>
    </row>
    <row r="2484" spans="3:6" x14ac:dyDescent="0.25">
      <c r="C2484" s="2" t="s">
        <v>10569</v>
      </c>
      <c r="D2484" s="2" t="s">
        <v>122</v>
      </c>
      <c r="E2484" s="2">
        <v>90</v>
      </c>
      <c r="F2484" s="2">
        <v>1913.42</v>
      </c>
    </row>
    <row r="2485" spans="3:6" x14ac:dyDescent="0.25">
      <c r="C2485" s="2" t="s">
        <v>10570</v>
      </c>
      <c r="D2485" s="2" t="s">
        <v>122</v>
      </c>
      <c r="E2485" s="2">
        <v>102</v>
      </c>
      <c r="F2485" s="2">
        <v>2090.33</v>
      </c>
    </row>
    <row r="2486" spans="3:6" x14ac:dyDescent="0.25">
      <c r="C2486" s="2" t="s">
        <v>10571</v>
      </c>
      <c r="D2486" s="2" t="s">
        <v>122</v>
      </c>
      <c r="E2486" s="2">
        <v>39</v>
      </c>
      <c r="F2486" s="2">
        <v>645.98</v>
      </c>
    </row>
    <row r="2487" spans="3:6" x14ac:dyDescent="0.25">
      <c r="C2487" s="2" t="s">
        <v>10572</v>
      </c>
      <c r="D2487" s="2" t="s">
        <v>122</v>
      </c>
      <c r="E2487" s="2">
        <v>112</v>
      </c>
      <c r="F2487" s="2">
        <v>2376.96</v>
      </c>
    </row>
    <row r="2488" spans="3:6" x14ac:dyDescent="0.25">
      <c r="C2488" s="2" t="s">
        <v>10573</v>
      </c>
      <c r="D2488" s="2" t="s">
        <v>122</v>
      </c>
      <c r="E2488" s="2">
        <v>29</v>
      </c>
      <c r="F2488" s="2">
        <v>553.24</v>
      </c>
    </row>
    <row r="2489" spans="3:6" x14ac:dyDescent="0.25">
      <c r="C2489" s="2" t="s">
        <v>10574</v>
      </c>
      <c r="D2489" s="2" t="s">
        <v>122</v>
      </c>
      <c r="E2489" s="2">
        <v>57</v>
      </c>
      <c r="F2489" s="2">
        <v>1122.52</v>
      </c>
    </row>
    <row r="2490" spans="3:6" x14ac:dyDescent="0.25">
      <c r="C2490" s="2" t="s">
        <v>10575</v>
      </c>
      <c r="D2490" s="2" t="s">
        <v>122</v>
      </c>
      <c r="E2490" s="2">
        <v>84</v>
      </c>
      <c r="F2490" s="2">
        <v>1649.75</v>
      </c>
    </row>
    <row r="2491" spans="3:6" x14ac:dyDescent="0.25">
      <c r="C2491" s="2" t="s">
        <v>10576</v>
      </c>
      <c r="D2491" s="2" t="s">
        <v>122</v>
      </c>
      <c r="E2491" s="2">
        <v>50</v>
      </c>
      <c r="F2491" s="2">
        <v>933.41</v>
      </c>
    </row>
    <row r="2492" spans="3:6" x14ac:dyDescent="0.25">
      <c r="C2492" s="2" t="s">
        <v>10577</v>
      </c>
      <c r="D2492" s="2" t="s">
        <v>122</v>
      </c>
      <c r="E2492" s="2">
        <v>91</v>
      </c>
      <c r="F2492" s="2">
        <v>1630.898</v>
      </c>
    </row>
    <row r="2493" spans="3:6" x14ac:dyDescent="0.25">
      <c r="C2493" s="2" t="s">
        <v>10578</v>
      </c>
      <c r="D2493" s="2" t="s">
        <v>122</v>
      </c>
      <c r="E2493" s="2">
        <v>32</v>
      </c>
      <c r="F2493" s="2">
        <v>602.829</v>
      </c>
    </row>
    <row r="2494" spans="3:6" x14ac:dyDescent="0.25">
      <c r="C2494" s="2" t="s">
        <v>10579</v>
      </c>
      <c r="D2494" s="2" t="s">
        <v>122</v>
      </c>
      <c r="E2494" s="2">
        <v>84</v>
      </c>
      <c r="F2494" s="2">
        <v>1690.359</v>
      </c>
    </row>
    <row r="2495" spans="3:6" x14ac:dyDescent="0.25">
      <c r="C2495" s="2" t="s">
        <v>10580</v>
      </c>
      <c r="D2495" s="2" t="s">
        <v>122</v>
      </c>
      <c r="E2495" s="2">
        <v>25</v>
      </c>
      <c r="F2495" s="2">
        <v>479.84</v>
      </c>
    </row>
    <row r="2496" spans="3:6" x14ac:dyDescent="0.25">
      <c r="C2496" s="2" t="s">
        <v>10581</v>
      </c>
      <c r="D2496" s="2" t="s">
        <v>122</v>
      </c>
      <c r="E2496" s="2">
        <v>37</v>
      </c>
      <c r="F2496" s="2">
        <v>765.39</v>
      </c>
    </row>
    <row r="2497" spans="3:6" x14ac:dyDescent="0.25">
      <c r="C2497" s="2" t="s">
        <v>10582</v>
      </c>
      <c r="D2497" s="2" t="s">
        <v>122</v>
      </c>
      <c r="E2497" s="2">
        <v>24</v>
      </c>
      <c r="F2497" s="2">
        <v>507.17</v>
      </c>
    </row>
    <row r="2498" spans="3:6" x14ac:dyDescent="0.25">
      <c r="C2498" s="2" t="s">
        <v>10583</v>
      </c>
      <c r="D2498" s="2" t="s">
        <v>122</v>
      </c>
      <c r="E2498" s="2">
        <v>62</v>
      </c>
      <c r="F2498" s="2">
        <v>499.011</v>
      </c>
    </row>
    <row r="2499" spans="3:6" x14ac:dyDescent="0.25">
      <c r="C2499" s="2" t="s">
        <v>10584</v>
      </c>
      <c r="D2499" s="2" t="s">
        <v>122</v>
      </c>
      <c r="E2499" s="2">
        <v>85</v>
      </c>
      <c r="F2499" s="2">
        <v>1661.87</v>
      </c>
    </row>
    <row r="2500" spans="3:6" x14ac:dyDescent="0.25">
      <c r="C2500" s="2" t="s">
        <v>10585</v>
      </c>
      <c r="D2500" s="2" t="s">
        <v>122</v>
      </c>
      <c r="E2500" s="2">
        <v>29</v>
      </c>
      <c r="F2500" s="2">
        <v>481.75</v>
      </c>
    </row>
    <row r="2501" spans="3:6" x14ac:dyDescent="0.25">
      <c r="C2501" s="2" t="s">
        <v>10586</v>
      </c>
      <c r="D2501" s="2" t="s">
        <v>122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40</v>
      </c>
      <c r="C2503" s="2" t="s">
        <v>10587</v>
      </c>
      <c r="D2503" s="2" t="s">
        <v>42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10588</v>
      </c>
      <c r="D2504" s="2" t="s">
        <v>42</v>
      </c>
      <c r="E2504" s="2">
        <v>57</v>
      </c>
      <c r="F2504" s="2">
        <v>1096.329</v>
      </c>
    </row>
    <row r="2505" spans="3:6" x14ac:dyDescent="0.25">
      <c r="C2505" s="2" t="s">
        <v>10589</v>
      </c>
      <c r="D2505" s="2" t="s">
        <v>42</v>
      </c>
      <c r="E2505" s="2">
        <v>125</v>
      </c>
      <c r="F2505" s="2">
        <v>2522.75</v>
      </c>
    </row>
    <row r="2506" spans="3:6" x14ac:dyDescent="0.25">
      <c r="C2506" s="2" t="s">
        <v>10590</v>
      </c>
      <c r="D2506" s="2" t="s">
        <v>42</v>
      </c>
      <c r="E2506" s="2">
        <v>16</v>
      </c>
      <c r="F2506" s="2">
        <v>279.62</v>
      </c>
    </row>
    <row r="2507" spans="3:6" x14ac:dyDescent="0.25">
      <c r="C2507" s="2" t="s">
        <v>10591</v>
      </c>
      <c r="D2507" s="2" t="s">
        <v>42</v>
      </c>
      <c r="E2507" s="2">
        <v>30</v>
      </c>
      <c r="F2507" s="2">
        <v>265.942</v>
      </c>
    </row>
    <row r="2508" spans="3:6" x14ac:dyDescent="0.25">
      <c r="C2508" s="2" t="s">
        <v>10592</v>
      </c>
      <c r="D2508" s="2" t="s">
        <v>42</v>
      </c>
      <c r="E2508" s="2">
        <v>111</v>
      </c>
      <c r="F2508" s="2">
        <v>2285.2</v>
      </c>
    </row>
    <row r="2509" spans="3:6" x14ac:dyDescent="0.25">
      <c r="C2509" s="2" t="s">
        <v>10593</v>
      </c>
      <c r="D2509" s="2" t="s">
        <v>42</v>
      </c>
      <c r="E2509" s="2">
        <v>13</v>
      </c>
      <c r="F2509" s="2">
        <v>170.13</v>
      </c>
    </row>
    <row r="2510" spans="3:6" x14ac:dyDescent="0.25">
      <c r="C2510" s="2" t="s">
        <v>10594</v>
      </c>
      <c r="D2510" s="2" t="s">
        <v>42</v>
      </c>
      <c r="E2510" s="2">
        <v>5</v>
      </c>
      <c r="F2510" s="2">
        <v>43.819</v>
      </c>
    </row>
    <row r="2511" spans="3:6" x14ac:dyDescent="0.25">
      <c r="C2511" s="2" t="s">
        <v>10595</v>
      </c>
      <c r="D2511" s="2" t="s">
        <v>42</v>
      </c>
      <c r="E2511" s="2">
        <v>25</v>
      </c>
      <c r="F2511" s="2">
        <v>591.299</v>
      </c>
    </row>
    <row r="2512" spans="3:6" x14ac:dyDescent="0.25">
      <c r="C2512" s="2" t="s">
        <v>10596</v>
      </c>
      <c r="D2512" s="2" t="s">
        <v>42</v>
      </c>
      <c r="E2512" s="2">
        <v>59</v>
      </c>
      <c r="F2512" s="2">
        <v>1238.23</v>
      </c>
    </row>
    <row r="2513" spans="3:6" x14ac:dyDescent="0.25">
      <c r="C2513" s="2" t="s">
        <v>10597</v>
      </c>
      <c r="D2513" s="2" t="s">
        <v>42</v>
      </c>
      <c r="E2513" s="2">
        <v>123</v>
      </c>
      <c r="F2513" s="2">
        <v>2528.88</v>
      </c>
    </row>
    <row r="2514" spans="3:6" x14ac:dyDescent="0.25">
      <c r="C2514" s="2" t="s">
        <v>10598</v>
      </c>
      <c r="D2514" s="2" t="s">
        <v>42</v>
      </c>
      <c r="E2514" s="2">
        <v>123</v>
      </c>
      <c r="F2514" s="2">
        <v>2478.53</v>
      </c>
    </row>
    <row r="2515" spans="3:6" x14ac:dyDescent="0.25">
      <c r="C2515" s="2" t="s">
        <v>10599</v>
      </c>
      <c r="D2515" s="2" t="s">
        <v>42</v>
      </c>
      <c r="E2515" s="2">
        <v>123</v>
      </c>
      <c r="F2515" s="2">
        <v>2567.04</v>
      </c>
    </row>
    <row r="2516" spans="3:6" x14ac:dyDescent="0.25">
      <c r="C2516" s="2" t="s">
        <v>10600</v>
      </c>
      <c r="D2516" s="2" t="s">
        <v>42</v>
      </c>
      <c r="E2516" s="2">
        <v>134</v>
      </c>
      <c r="F2516" s="2">
        <v>1211.359</v>
      </c>
    </row>
    <row r="2517" spans="3:6" x14ac:dyDescent="0.25">
      <c r="C2517" s="2" t="s">
        <v>10601</v>
      </c>
      <c r="D2517" s="2" t="s">
        <v>42</v>
      </c>
      <c r="E2517" s="2">
        <v>127</v>
      </c>
      <c r="F2517" s="2">
        <v>2646.11</v>
      </c>
    </row>
    <row r="2518" spans="3:6" x14ac:dyDescent="0.25">
      <c r="C2518" s="2" t="s">
        <v>10602</v>
      </c>
      <c r="D2518" s="2" t="s">
        <v>42</v>
      </c>
      <c r="E2518" s="2">
        <v>14</v>
      </c>
      <c r="F2518" s="2">
        <v>281.2</v>
      </c>
    </row>
    <row r="2519" spans="3:6" x14ac:dyDescent="0.25">
      <c r="C2519" s="2" t="s">
        <v>10603</v>
      </c>
      <c r="D2519" s="2" t="s">
        <v>42</v>
      </c>
      <c r="E2519" s="2">
        <v>50</v>
      </c>
      <c r="F2519" s="2">
        <v>256.68</v>
      </c>
    </row>
    <row r="2520" spans="3:6" x14ac:dyDescent="0.25">
      <c r="C2520" s="2" t="s">
        <v>10604</v>
      </c>
      <c r="D2520" s="2" t="s">
        <v>42</v>
      </c>
      <c r="E2520" s="2">
        <v>132</v>
      </c>
      <c r="F2520" s="2">
        <v>2129.791</v>
      </c>
    </row>
    <row r="2521" spans="3:6" x14ac:dyDescent="0.25">
      <c r="C2521" s="2" t="s">
        <v>10605</v>
      </c>
      <c r="D2521" s="2" t="s">
        <v>42</v>
      </c>
      <c r="E2521" s="2">
        <v>11</v>
      </c>
      <c r="F2521" s="2">
        <v>208.81</v>
      </c>
    </row>
    <row r="2522" spans="3:6" x14ac:dyDescent="0.25">
      <c r="C2522" s="2" t="s">
        <v>10606</v>
      </c>
      <c r="D2522" s="2" t="s">
        <v>42</v>
      </c>
      <c r="E2522" s="2">
        <v>103</v>
      </c>
      <c r="F2522" s="2">
        <v>2074.592</v>
      </c>
    </row>
    <row r="2523" spans="3:6" x14ac:dyDescent="0.25">
      <c r="C2523" s="2" t="s">
        <v>10607</v>
      </c>
      <c r="D2523" s="2" t="s">
        <v>42</v>
      </c>
      <c r="E2523" s="2">
        <v>21</v>
      </c>
      <c r="F2523" s="2">
        <v>429.46</v>
      </c>
    </row>
    <row r="2524" spans="3:6" x14ac:dyDescent="0.25">
      <c r="C2524" s="2" t="s">
        <v>10608</v>
      </c>
      <c r="D2524" s="2" t="s">
        <v>42</v>
      </c>
      <c r="E2524" s="2">
        <v>52</v>
      </c>
      <c r="F2524" s="2">
        <v>1061.83</v>
      </c>
    </row>
    <row r="2525" spans="3:6" x14ac:dyDescent="0.25">
      <c r="C2525" s="2" t="s">
        <v>10609</v>
      </c>
      <c r="D2525" s="2" t="s">
        <v>42</v>
      </c>
      <c r="E2525" s="2">
        <v>46</v>
      </c>
      <c r="F2525" s="2">
        <v>914.24</v>
      </c>
    </row>
    <row r="2526" spans="3:6" x14ac:dyDescent="0.25">
      <c r="C2526" s="2" t="s">
        <v>10610</v>
      </c>
      <c r="D2526" s="2" t="s">
        <v>42</v>
      </c>
      <c r="E2526" s="2">
        <v>43</v>
      </c>
      <c r="F2526" s="2">
        <v>910.62</v>
      </c>
    </row>
    <row r="2527" spans="3:6" x14ac:dyDescent="0.25">
      <c r="C2527" s="2" t="s">
        <v>10611</v>
      </c>
      <c r="D2527" s="2" t="s">
        <v>42</v>
      </c>
      <c r="E2527" s="2">
        <v>60</v>
      </c>
      <c r="F2527" s="2">
        <v>1225.589</v>
      </c>
    </row>
    <row r="2528" spans="3:6" x14ac:dyDescent="0.25">
      <c r="C2528" s="2" t="s">
        <v>10612</v>
      </c>
      <c r="D2528" s="2" t="s">
        <v>42</v>
      </c>
      <c r="E2528" s="2">
        <v>81</v>
      </c>
      <c r="F2528" s="2">
        <v>1626.536</v>
      </c>
    </row>
    <row r="2529" spans="3:6" x14ac:dyDescent="0.25">
      <c r="C2529" s="2" t="s">
        <v>10613</v>
      </c>
      <c r="D2529" s="2" t="s">
        <v>42</v>
      </c>
      <c r="E2529" s="2">
        <v>60</v>
      </c>
      <c r="F2529" s="2">
        <v>300.66</v>
      </c>
    </row>
    <row r="2530" spans="3:6" x14ac:dyDescent="0.25">
      <c r="C2530" s="2" t="s">
        <v>10614</v>
      </c>
      <c r="D2530" s="2" t="s">
        <v>42</v>
      </c>
      <c r="E2530" s="2">
        <v>134</v>
      </c>
      <c r="F2530" s="2">
        <v>2498.212</v>
      </c>
    </row>
    <row r="2531" spans="3:6" x14ac:dyDescent="0.25">
      <c r="C2531" s="2" t="s">
        <v>10615</v>
      </c>
      <c r="D2531" s="2" t="s">
        <v>42</v>
      </c>
      <c r="E2531" s="2">
        <v>32</v>
      </c>
      <c r="F2531" s="2">
        <v>561.29</v>
      </c>
    </row>
    <row r="2532" spans="3:6" x14ac:dyDescent="0.25">
      <c r="C2532" s="2" t="s">
        <v>10616</v>
      </c>
      <c r="D2532" s="2" t="s">
        <v>42</v>
      </c>
      <c r="E2532" s="2">
        <v>109</v>
      </c>
      <c r="F2532" s="2">
        <v>2154.548</v>
      </c>
    </row>
    <row r="2533" spans="3:6" x14ac:dyDescent="0.25">
      <c r="C2533" s="2" t="s">
        <v>10617</v>
      </c>
      <c r="D2533" s="2" t="s">
        <v>42</v>
      </c>
      <c r="E2533" s="2">
        <v>93</v>
      </c>
      <c r="F2533" s="2">
        <v>1945.06</v>
      </c>
    </row>
    <row r="2534" spans="3:6" x14ac:dyDescent="0.25">
      <c r="C2534" s="2" t="s">
        <v>10618</v>
      </c>
      <c r="D2534" s="2" t="s">
        <v>42</v>
      </c>
      <c r="E2534" s="2">
        <v>37</v>
      </c>
      <c r="F2534" s="2">
        <v>708.77</v>
      </c>
    </row>
    <row r="2535" spans="3:6" x14ac:dyDescent="0.25">
      <c r="C2535" s="2" t="s">
        <v>10619</v>
      </c>
      <c r="D2535" s="2" t="s">
        <v>42</v>
      </c>
      <c r="E2535" s="2">
        <v>11</v>
      </c>
      <c r="F2535" s="2">
        <v>227.5</v>
      </c>
    </row>
    <row r="2536" spans="3:6" x14ac:dyDescent="0.25">
      <c r="C2536" s="2" t="s">
        <v>10620</v>
      </c>
      <c r="D2536" s="2" t="s">
        <v>42</v>
      </c>
      <c r="E2536" s="2">
        <v>45</v>
      </c>
      <c r="F2536" s="2">
        <v>230.29</v>
      </c>
    </row>
    <row r="2537" spans="3:6" x14ac:dyDescent="0.25">
      <c r="C2537" s="2" t="s">
        <v>10621</v>
      </c>
      <c r="D2537" s="2" t="s">
        <v>42</v>
      </c>
      <c r="E2537" s="2">
        <v>134</v>
      </c>
      <c r="F2537" s="2">
        <v>2816.01</v>
      </c>
    </row>
    <row r="2538" spans="3:6" x14ac:dyDescent="0.25">
      <c r="C2538" s="2" t="s">
        <v>10622</v>
      </c>
      <c r="D2538" s="2" t="s">
        <v>42</v>
      </c>
      <c r="E2538" s="2">
        <v>20</v>
      </c>
      <c r="F2538" s="2">
        <v>345.99</v>
      </c>
    </row>
    <row r="2539" spans="3:6" x14ac:dyDescent="0.25">
      <c r="C2539" s="2" t="s">
        <v>10623</v>
      </c>
      <c r="D2539" s="2" t="s">
        <v>42</v>
      </c>
      <c r="E2539" s="2">
        <v>80</v>
      </c>
      <c r="F2539" s="2">
        <v>1666.12</v>
      </c>
    </row>
    <row r="2540" spans="3:6" x14ac:dyDescent="0.25">
      <c r="C2540" s="2" t="s">
        <v>10624</v>
      </c>
      <c r="D2540" s="2" t="s">
        <v>42</v>
      </c>
      <c r="E2540" s="2">
        <v>5</v>
      </c>
      <c r="F2540" s="2">
        <v>122.43</v>
      </c>
    </row>
    <row r="2541" spans="3:6" x14ac:dyDescent="0.25">
      <c r="C2541" s="2" t="s">
        <v>10625</v>
      </c>
      <c r="D2541" s="2" t="s">
        <v>42</v>
      </c>
      <c r="E2541" s="2">
        <v>35</v>
      </c>
      <c r="F2541" s="2">
        <v>870.84</v>
      </c>
    </row>
    <row r="2542" spans="3:6" x14ac:dyDescent="0.25">
      <c r="C2542" s="2" t="s">
        <v>10626</v>
      </c>
      <c r="D2542" s="2" t="s">
        <v>42</v>
      </c>
      <c r="E2542" s="2">
        <v>65</v>
      </c>
      <c r="F2542" s="2">
        <v>1604</v>
      </c>
    </row>
    <row r="2543" spans="3:6" x14ac:dyDescent="0.25">
      <c r="C2543" s="2" t="s">
        <v>10627</v>
      </c>
      <c r="D2543" s="2" t="s">
        <v>42</v>
      </c>
      <c r="E2543" s="2">
        <v>35</v>
      </c>
      <c r="F2543" s="2">
        <v>760</v>
      </c>
    </row>
    <row r="2544" spans="3:6" x14ac:dyDescent="0.25">
      <c r="C2544" s="2" t="s">
        <v>10628</v>
      </c>
      <c r="D2544" s="2" t="s">
        <v>42</v>
      </c>
      <c r="E2544" s="2">
        <v>118</v>
      </c>
      <c r="F2544" s="2">
        <v>2648</v>
      </c>
    </row>
    <row r="2545" spans="3:6" x14ac:dyDescent="0.25">
      <c r="C2545" s="2" t="s">
        <v>10629</v>
      </c>
      <c r="D2545" s="2" t="s">
        <v>42</v>
      </c>
      <c r="E2545" s="2">
        <v>135</v>
      </c>
      <c r="F2545" s="2">
        <v>2832</v>
      </c>
    </row>
    <row r="2546" spans="3:6" x14ac:dyDescent="0.25">
      <c r="C2546" s="2" t="s">
        <v>10630</v>
      </c>
      <c r="D2546" s="2" t="s">
        <v>42</v>
      </c>
      <c r="E2546" s="2">
        <v>141</v>
      </c>
      <c r="F2546" s="2">
        <v>2854</v>
      </c>
    </row>
    <row r="2547" spans="3:6" x14ac:dyDescent="0.25">
      <c r="C2547" s="2" t="s">
        <v>10631</v>
      </c>
      <c r="D2547" s="2" t="s">
        <v>42</v>
      </c>
      <c r="E2547" s="2">
        <v>102</v>
      </c>
      <c r="F2547" s="2">
        <v>2097</v>
      </c>
    </row>
    <row r="2548" spans="3:6" x14ac:dyDescent="0.25">
      <c r="C2548" s="2" t="s">
        <v>10632</v>
      </c>
      <c r="D2548" s="2" t="s">
        <v>42</v>
      </c>
      <c r="E2548" s="2">
        <v>102</v>
      </c>
      <c r="F2548" s="2">
        <v>2135.45</v>
      </c>
    </row>
    <row r="2549" spans="3:6" x14ac:dyDescent="0.25">
      <c r="C2549" s="2" t="s">
        <v>10633</v>
      </c>
      <c r="D2549" s="2" t="s">
        <v>42</v>
      </c>
      <c r="E2549" s="2">
        <v>102</v>
      </c>
      <c r="F2549" s="2">
        <v>2022.44</v>
      </c>
    </row>
    <row r="2550" spans="3:6" x14ac:dyDescent="0.25">
      <c r="C2550" s="2" t="s">
        <v>10634</v>
      </c>
      <c r="D2550" s="2" t="s">
        <v>42</v>
      </c>
      <c r="E2550" s="2">
        <v>141</v>
      </c>
      <c r="F2550" s="2">
        <v>2985.788</v>
      </c>
    </row>
    <row r="2551" spans="3:6" x14ac:dyDescent="0.25">
      <c r="C2551" s="2" t="s">
        <v>10635</v>
      </c>
      <c r="D2551" s="2" t="s">
        <v>42</v>
      </c>
      <c r="E2551" s="2">
        <v>141</v>
      </c>
      <c r="F2551" s="2">
        <v>2989.53</v>
      </c>
    </row>
    <row r="2552" spans="3:6" x14ac:dyDescent="0.25">
      <c r="C2552" s="2" t="s">
        <v>10636</v>
      </c>
      <c r="D2552" s="2" t="s">
        <v>42</v>
      </c>
      <c r="E2552" s="2">
        <v>102</v>
      </c>
      <c r="F2552" s="2">
        <v>2006.509</v>
      </c>
    </row>
    <row r="2553" spans="3:6" x14ac:dyDescent="0.25">
      <c r="C2553" s="2" t="s">
        <v>10637</v>
      </c>
      <c r="D2553" s="2" t="s">
        <v>42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90</v>
      </c>
      <c r="C2555" s="2" t="s">
        <v>10638</v>
      </c>
      <c r="D2555" s="2" t="s">
        <v>9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10639</v>
      </c>
      <c r="D2556" s="2" t="s">
        <v>9</v>
      </c>
      <c r="E2556" s="2">
        <v>124</v>
      </c>
      <c r="F2556" s="2">
        <v>2511.86</v>
      </c>
    </row>
    <row r="2557" spans="3:6" x14ac:dyDescent="0.25">
      <c r="C2557" s="2" t="s">
        <v>10640</v>
      </c>
      <c r="D2557" s="2" t="s">
        <v>9</v>
      </c>
      <c r="E2557" s="2">
        <v>123</v>
      </c>
      <c r="F2557" s="2">
        <v>2428.309</v>
      </c>
    </row>
    <row r="2558" spans="3:6" x14ac:dyDescent="0.25">
      <c r="C2558" s="2" t="s">
        <v>10641</v>
      </c>
      <c r="D2558" s="2" t="s">
        <v>9</v>
      </c>
      <c r="E2558" s="2">
        <v>134</v>
      </c>
      <c r="F2558" s="2">
        <v>2548.079</v>
      </c>
    </row>
    <row r="2559" spans="3:6" x14ac:dyDescent="0.25">
      <c r="C2559" s="2" t="s">
        <v>10642</v>
      </c>
      <c r="D2559" s="2" t="s">
        <v>9</v>
      </c>
      <c r="E2559" s="2">
        <v>46</v>
      </c>
      <c r="F2559" s="2">
        <v>880.339</v>
      </c>
    </row>
    <row r="2560" spans="3:6" x14ac:dyDescent="0.25">
      <c r="C2560" s="2" t="s">
        <v>10643</v>
      </c>
      <c r="D2560" s="2" t="s">
        <v>9</v>
      </c>
      <c r="E2560" s="2">
        <v>29</v>
      </c>
      <c r="F2560" s="2">
        <v>569.399</v>
      </c>
    </row>
    <row r="2561" spans="3:6" x14ac:dyDescent="0.25">
      <c r="C2561" s="2" t="s">
        <v>10644</v>
      </c>
      <c r="D2561" s="2" t="s">
        <v>9</v>
      </c>
      <c r="E2561" s="2">
        <v>60</v>
      </c>
      <c r="F2561" s="2">
        <v>258.39</v>
      </c>
    </row>
    <row r="2562" spans="3:6" x14ac:dyDescent="0.25">
      <c r="C2562" s="2" t="s">
        <v>10645</v>
      </c>
      <c r="D2562" s="2" t="s">
        <v>9</v>
      </c>
      <c r="E2562" s="2">
        <v>102</v>
      </c>
      <c r="F2562" s="2">
        <v>2116.27</v>
      </c>
    </row>
    <row r="2563" spans="3:6" x14ac:dyDescent="0.25">
      <c r="C2563" s="2" t="s">
        <v>10646</v>
      </c>
      <c r="D2563" s="2" t="s">
        <v>9</v>
      </c>
      <c r="E2563" s="2">
        <v>141</v>
      </c>
      <c r="F2563" s="2">
        <v>2844.73</v>
      </c>
    </row>
    <row r="2564" spans="3:6" x14ac:dyDescent="0.25">
      <c r="C2564" s="2" t="s">
        <v>10647</v>
      </c>
      <c r="D2564" s="2" t="s">
        <v>9</v>
      </c>
      <c r="E2564" s="2">
        <v>123</v>
      </c>
      <c r="F2564" s="2">
        <v>2531.87</v>
      </c>
    </row>
    <row r="2565" spans="3:6" x14ac:dyDescent="0.25">
      <c r="C2565" s="2" t="s">
        <v>10648</v>
      </c>
      <c r="D2565" s="2" t="s">
        <v>9</v>
      </c>
      <c r="E2565" s="2">
        <v>141</v>
      </c>
      <c r="F2565" s="2">
        <v>2883.46</v>
      </c>
    </row>
    <row r="2566" spans="3:6" x14ac:dyDescent="0.25">
      <c r="C2566" s="2" t="s">
        <v>10649</v>
      </c>
      <c r="D2566" s="2" t="s">
        <v>9</v>
      </c>
      <c r="E2566" s="2">
        <v>141</v>
      </c>
      <c r="F2566" s="2">
        <v>2811.63</v>
      </c>
    </row>
    <row r="2567" spans="3:6" x14ac:dyDescent="0.25">
      <c r="C2567" s="2" t="s">
        <v>10650</v>
      </c>
      <c r="D2567" s="2" t="s">
        <v>9</v>
      </c>
      <c r="E2567" s="2">
        <v>141</v>
      </c>
      <c r="F2567" s="2">
        <v>2878.36</v>
      </c>
    </row>
    <row r="2568" spans="3:6" x14ac:dyDescent="0.25">
      <c r="C2568" s="2" t="s">
        <v>10651</v>
      </c>
      <c r="D2568" s="2" t="s">
        <v>9</v>
      </c>
      <c r="E2568" s="2">
        <v>141</v>
      </c>
      <c r="F2568" s="2">
        <v>2931.92</v>
      </c>
    </row>
    <row r="2569" spans="3:6" x14ac:dyDescent="0.25">
      <c r="C2569" s="2" t="s">
        <v>10652</v>
      </c>
      <c r="D2569" s="2" t="s">
        <v>9</v>
      </c>
      <c r="E2569" s="2">
        <v>102</v>
      </c>
      <c r="F2569" s="2">
        <v>2102.53</v>
      </c>
    </row>
    <row r="2570" spans="3:6" x14ac:dyDescent="0.25">
      <c r="C2570" s="2" t="s">
        <v>10653</v>
      </c>
      <c r="D2570" s="2" t="s">
        <v>9</v>
      </c>
      <c r="E2570" s="2">
        <v>141</v>
      </c>
      <c r="F2570" s="2">
        <v>2891.76</v>
      </c>
    </row>
    <row r="2571" spans="3:6" x14ac:dyDescent="0.25">
      <c r="C2571" s="2" t="s">
        <v>10654</v>
      </c>
      <c r="D2571" s="2" t="s">
        <v>9</v>
      </c>
      <c r="E2571" s="2">
        <v>141</v>
      </c>
      <c r="F2571" s="2">
        <v>2845.509</v>
      </c>
    </row>
    <row r="2572" spans="3:6" x14ac:dyDescent="0.25">
      <c r="C2572" s="2" t="s">
        <v>10655</v>
      </c>
      <c r="D2572" s="2" t="s">
        <v>9</v>
      </c>
      <c r="E2572" s="2">
        <v>142</v>
      </c>
      <c r="F2572" s="2">
        <v>2793.94</v>
      </c>
    </row>
    <row r="2573" spans="3:6" x14ac:dyDescent="0.25">
      <c r="C2573" s="2" t="s">
        <v>10656</v>
      </c>
      <c r="D2573" s="2" t="s">
        <v>9</v>
      </c>
      <c r="E2573" s="2">
        <v>60</v>
      </c>
      <c r="F2573" s="2">
        <v>258.46</v>
      </c>
    </row>
    <row r="2574" spans="3:6" x14ac:dyDescent="0.25">
      <c r="C2574" s="2" t="s">
        <v>10657</v>
      </c>
      <c r="D2574" s="2" t="s">
        <v>9</v>
      </c>
      <c r="E2574" s="2">
        <v>60</v>
      </c>
      <c r="F2574" s="2">
        <v>250.699</v>
      </c>
    </row>
    <row r="2575" spans="3:6" x14ac:dyDescent="0.25">
      <c r="C2575" s="2" t="s">
        <v>10658</v>
      </c>
      <c r="D2575" s="2" t="s">
        <v>9</v>
      </c>
      <c r="E2575" s="2">
        <v>141</v>
      </c>
      <c r="F2575" s="2">
        <v>2870.979</v>
      </c>
    </row>
    <row r="2576" spans="3:6" x14ac:dyDescent="0.25">
      <c r="C2576" s="2" t="s">
        <v>10659</v>
      </c>
      <c r="D2576" s="2" t="s">
        <v>9</v>
      </c>
      <c r="E2576" s="2">
        <v>141</v>
      </c>
      <c r="F2576" s="2">
        <v>2796.34</v>
      </c>
    </row>
    <row r="2577" spans="3:6" x14ac:dyDescent="0.25">
      <c r="C2577" s="2" t="s">
        <v>10660</v>
      </c>
      <c r="D2577" s="2" t="s">
        <v>9</v>
      </c>
      <c r="E2577" s="2">
        <v>141</v>
      </c>
      <c r="F2577" s="2">
        <v>2893.92</v>
      </c>
    </row>
    <row r="2578" spans="3:6" x14ac:dyDescent="0.25">
      <c r="C2578" s="2" t="s">
        <v>10661</v>
      </c>
      <c r="D2578" s="2" t="s">
        <v>9</v>
      </c>
      <c r="E2578" s="2">
        <v>102</v>
      </c>
      <c r="F2578" s="2">
        <v>1990.07</v>
      </c>
    </row>
    <row r="2579" spans="3:6" x14ac:dyDescent="0.25">
      <c r="C2579" s="2" t="s">
        <v>10662</v>
      </c>
      <c r="D2579" s="2" t="s">
        <v>9</v>
      </c>
      <c r="E2579" s="2">
        <v>141</v>
      </c>
      <c r="F2579" s="2">
        <v>2873.82</v>
      </c>
    </row>
    <row r="2580" spans="3:6" x14ac:dyDescent="0.25">
      <c r="C2580" s="2" t="s">
        <v>10663</v>
      </c>
      <c r="D2580" s="2" t="s">
        <v>9</v>
      </c>
      <c r="E2580" s="2">
        <v>141</v>
      </c>
      <c r="F2580" s="2">
        <v>2912.449</v>
      </c>
    </row>
    <row r="2581" spans="3:6" x14ac:dyDescent="0.25">
      <c r="C2581" s="2" t="s">
        <v>10664</v>
      </c>
      <c r="D2581" s="2" t="s">
        <v>9</v>
      </c>
      <c r="E2581" s="2">
        <v>141</v>
      </c>
      <c r="F2581" s="2">
        <v>2885.1</v>
      </c>
    </row>
    <row r="2582" spans="3:6" x14ac:dyDescent="0.25">
      <c r="C2582" s="2" t="s">
        <v>10665</v>
      </c>
      <c r="D2582" s="2" t="s">
        <v>9</v>
      </c>
      <c r="E2582" s="2">
        <v>142</v>
      </c>
      <c r="F2582" s="2">
        <v>2892.989</v>
      </c>
    </row>
    <row r="2583" spans="3:6" x14ac:dyDescent="0.25">
      <c r="C2583" s="2" t="s">
        <v>10666</v>
      </c>
      <c r="D2583" s="2" t="s">
        <v>9</v>
      </c>
      <c r="E2583" s="2">
        <v>51</v>
      </c>
      <c r="F2583" s="2">
        <v>1053.7</v>
      </c>
    </row>
    <row r="2584" spans="3:6" x14ac:dyDescent="0.25">
      <c r="C2584" s="2" t="s">
        <v>10667</v>
      </c>
      <c r="D2584" s="2" t="s">
        <v>9</v>
      </c>
      <c r="E2584" s="2">
        <v>51</v>
      </c>
      <c r="F2584" s="2">
        <v>1069.05</v>
      </c>
    </row>
    <row r="2585" spans="3:6" x14ac:dyDescent="0.25">
      <c r="C2585" s="2" t="s">
        <v>10668</v>
      </c>
      <c r="D2585" s="2" t="s">
        <v>9</v>
      </c>
      <c r="E2585" s="2">
        <v>107</v>
      </c>
      <c r="F2585" s="2">
        <v>2193.23</v>
      </c>
    </row>
    <row r="2586" spans="3:6" x14ac:dyDescent="0.25">
      <c r="C2586" s="2" t="s">
        <v>10669</v>
      </c>
      <c r="D2586" s="2" t="s">
        <v>9</v>
      </c>
      <c r="E2586" s="2">
        <v>36</v>
      </c>
      <c r="F2586" s="2">
        <v>540.23</v>
      </c>
    </row>
    <row r="2587" spans="3:6" x14ac:dyDescent="0.25">
      <c r="C2587" s="2" t="s">
        <v>10670</v>
      </c>
      <c r="D2587" s="2" t="s">
        <v>9</v>
      </c>
      <c r="E2587" s="2">
        <v>97</v>
      </c>
      <c r="F2587" s="2">
        <v>1870.33</v>
      </c>
    </row>
    <row r="2588" spans="3:6" x14ac:dyDescent="0.25">
      <c r="C2588" s="2" t="s">
        <v>10671</v>
      </c>
      <c r="D2588" s="2" t="s">
        <v>9</v>
      </c>
      <c r="E2588" s="2">
        <v>45</v>
      </c>
      <c r="F2588" s="2">
        <v>798</v>
      </c>
    </row>
    <row r="2589" spans="3:6" x14ac:dyDescent="0.25">
      <c r="C2589" s="2" t="s">
        <v>10672</v>
      </c>
      <c r="D2589" s="2" t="s">
        <v>9</v>
      </c>
      <c r="E2589" s="2">
        <v>102</v>
      </c>
      <c r="F2589" s="2">
        <v>2092.81</v>
      </c>
    </row>
    <row r="2590" spans="3:6" x14ac:dyDescent="0.25">
      <c r="C2590" s="2" t="s">
        <v>10673</v>
      </c>
      <c r="D2590" s="2" t="s">
        <v>9</v>
      </c>
      <c r="E2590" s="2">
        <v>52</v>
      </c>
      <c r="F2590" s="2">
        <v>1042.95</v>
      </c>
    </row>
    <row r="2591" spans="3:6" x14ac:dyDescent="0.25">
      <c r="C2591" s="2" t="s">
        <v>10674</v>
      </c>
      <c r="D2591" s="2" t="s">
        <v>9</v>
      </c>
      <c r="E2591" s="2">
        <v>51</v>
      </c>
      <c r="F2591" s="2">
        <v>965.379</v>
      </c>
    </row>
    <row r="2592" spans="3:6" x14ac:dyDescent="0.25">
      <c r="C2592" s="2" t="s">
        <v>10675</v>
      </c>
      <c r="D2592" s="2" t="s">
        <v>9</v>
      </c>
      <c r="E2592" s="2">
        <v>52</v>
      </c>
      <c r="F2592" s="2">
        <v>1062.9</v>
      </c>
    </row>
    <row r="2593" spans="3:6" x14ac:dyDescent="0.25">
      <c r="C2593" s="2" t="s">
        <v>10676</v>
      </c>
      <c r="D2593" s="2" t="s">
        <v>9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14</v>
      </c>
      <c r="C2595" s="2" t="s">
        <v>10677</v>
      </c>
      <c r="D2595" s="2" t="s">
        <v>12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10678</v>
      </c>
      <c r="D2596" s="2" t="s">
        <v>12</v>
      </c>
      <c r="E2596" s="2">
        <v>156</v>
      </c>
      <c r="F2596" s="2">
        <v>2952.585</v>
      </c>
    </row>
    <row r="2597" spans="3:6" x14ac:dyDescent="0.25">
      <c r="C2597" s="2" t="s">
        <v>10679</v>
      </c>
      <c r="D2597" s="2" t="s">
        <v>12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10</v>
      </c>
      <c r="C2599" s="2" t="s">
        <v>10680</v>
      </c>
      <c r="D2599" s="2" t="s">
        <v>12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10681</v>
      </c>
      <c r="D2600" s="2" t="s">
        <v>12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10682</v>
      </c>
      <c r="C2602" s="2" t="s">
        <v>10683</v>
      </c>
      <c r="D2602" s="2" t="s">
        <v>8441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1101</v>
      </c>
      <c r="C2604" s="2" t="s">
        <v>10684</v>
      </c>
      <c r="D2604" s="2" t="s">
        <v>20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10685</v>
      </c>
      <c r="D2605" s="2" t="s">
        <v>20</v>
      </c>
      <c r="E2605" s="2">
        <v>105</v>
      </c>
      <c r="F2605" s="2">
        <v>2161.73</v>
      </c>
    </row>
    <row r="2606" spans="3:6" x14ac:dyDescent="0.25">
      <c r="C2606" s="2" t="s">
        <v>10686</v>
      </c>
      <c r="D2606" s="2" t="s">
        <v>20</v>
      </c>
      <c r="E2606" s="2">
        <v>163</v>
      </c>
      <c r="F2606" s="2">
        <v>3192.34</v>
      </c>
    </row>
    <row r="2607" spans="3:6" x14ac:dyDescent="0.25">
      <c r="C2607" s="2" t="s">
        <v>10687</v>
      </c>
      <c r="D2607" s="2" t="s">
        <v>20</v>
      </c>
      <c r="E2607" s="2">
        <v>105</v>
      </c>
      <c r="F2607" s="2">
        <v>2005.369</v>
      </c>
    </row>
    <row r="2608" spans="3:6" x14ac:dyDescent="0.25">
      <c r="C2608" s="2" t="s">
        <v>10688</v>
      </c>
      <c r="D2608" s="2" t="s">
        <v>20</v>
      </c>
      <c r="E2608" s="2">
        <v>105</v>
      </c>
      <c r="F2608" s="2">
        <v>2056.279</v>
      </c>
    </row>
    <row r="2609" spans="3:6" x14ac:dyDescent="0.25">
      <c r="C2609" s="2" t="s">
        <v>10689</v>
      </c>
      <c r="D2609" s="2" t="s">
        <v>20</v>
      </c>
      <c r="E2609" s="2">
        <v>163</v>
      </c>
      <c r="F2609" s="2">
        <v>3235.42</v>
      </c>
    </row>
    <row r="2610" spans="3:6" x14ac:dyDescent="0.25">
      <c r="C2610" s="2" t="s">
        <v>10690</v>
      </c>
      <c r="D2610" s="2" t="s">
        <v>20</v>
      </c>
      <c r="E2610" s="2">
        <v>131</v>
      </c>
      <c r="F2610" s="2">
        <v>2773.62</v>
      </c>
    </row>
    <row r="2611" spans="3:6" x14ac:dyDescent="0.25">
      <c r="C2611" s="2" t="s">
        <v>10691</v>
      </c>
      <c r="D2611" s="2" t="s">
        <v>20</v>
      </c>
      <c r="E2611" s="2">
        <v>243</v>
      </c>
      <c r="F2611" s="2">
        <v>4410.505</v>
      </c>
    </row>
    <row r="2612" spans="3:6" x14ac:dyDescent="0.25">
      <c r="C2612" s="2" t="s">
        <v>10692</v>
      </c>
      <c r="D2612" s="2" t="s">
        <v>20</v>
      </c>
      <c r="E2612" s="2">
        <v>163</v>
      </c>
      <c r="F2612" s="2">
        <v>3066.11</v>
      </c>
    </row>
    <row r="2613" spans="3:6" x14ac:dyDescent="0.25">
      <c r="C2613" s="2" t="s">
        <v>10693</v>
      </c>
      <c r="D2613" s="2" t="s">
        <v>20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380</v>
      </c>
      <c r="C2615" s="2" t="s">
        <v>10694</v>
      </c>
      <c r="D2615" s="2" t="s">
        <v>20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10695</v>
      </c>
      <c r="D2616" s="2" t="s">
        <v>20</v>
      </c>
      <c r="E2616" s="2">
        <v>102</v>
      </c>
      <c r="F2616" s="2">
        <v>2016.098</v>
      </c>
    </row>
    <row r="2617" spans="3:6" x14ac:dyDescent="0.25">
      <c r="C2617" s="2" t="s">
        <v>10696</v>
      </c>
      <c r="D2617" s="2" t="s">
        <v>20</v>
      </c>
      <c r="E2617" s="2">
        <v>149</v>
      </c>
      <c r="F2617" s="2">
        <v>2827.729</v>
      </c>
    </row>
    <row r="2618" spans="3:6" x14ac:dyDescent="0.25">
      <c r="C2618" s="2" t="s">
        <v>10697</v>
      </c>
      <c r="D2618" s="2" t="s">
        <v>20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2094</v>
      </c>
      <c r="C2620" s="2" t="s">
        <v>10698</v>
      </c>
      <c r="D2620" s="2" t="s">
        <v>8441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10699</v>
      </c>
      <c r="D2621" s="2" t="s">
        <v>8441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2736</v>
      </c>
      <c r="C2623" s="2" t="s">
        <v>10700</v>
      </c>
      <c r="D2623" s="2" t="s">
        <v>342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2738</v>
      </c>
      <c r="C2625" s="2" t="s">
        <v>10701</v>
      </c>
      <c r="D2625" s="2" t="s">
        <v>122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8911</v>
      </c>
      <c r="C2627" s="2" t="s">
        <v>10702</v>
      </c>
      <c r="D2627" s="2" t="s">
        <v>1288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10703</v>
      </c>
      <c r="D2628" s="2" t="s">
        <v>1288</v>
      </c>
      <c r="E2628" s="2">
        <v>65</v>
      </c>
      <c r="F2628" s="2">
        <v>1350.31</v>
      </c>
    </row>
    <row r="2629" spans="3:6" x14ac:dyDescent="0.25">
      <c r="C2629" s="2" t="s">
        <v>10704</v>
      </c>
      <c r="D2629" s="2" t="s">
        <v>1288</v>
      </c>
      <c r="E2629" s="2">
        <v>16</v>
      </c>
      <c r="F2629" s="2">
        <v>527.31</v>
      </c>
    </row>
    <row r="2630" spans="3:6" x14ac:dyDescent="0.25">
      <c r="C2630" s="2" t="s">
        <v>10705</v>
      </c>
      <c r="D2630" s="2" t="s">
        <v>1288</v>
      </c>
      <c r="E2630" s="2">
        <v>32</v>
      </c>
      <c r="F2630" s="2">
        <v>672.89</v>
      </c>
    </row>
    <row r="2631" spans="3:6" x14ac:dyDescent="0.25">
      <c r="C2631" s="2" t="s">
        <v>10706</v>
      </c>
      <c r="D2631" s="2" t="s">
        <v>1288</v>
      </c>
      <c r="E2631" s="2">
        <v>35</v>
      </c>
      <c r="F2631" s="2">
        <v>706.089</v>
      </c>
    </row>
    <row r="2632" spans="3:6" x14ac:dyDescent="0.25">
      <c r="C2632" s="2" t="s">
        <v>10707</v>
      </c>
      <c r="D2632" s="2" t="s">
        <v>1288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25</v>
      </c>
      <c r="C2634" s="2" t="s">
        <v>10708</v>
      </c>
      <c r="D2634" s="2" t="s">
        <v>122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10709</v>
      </c>
      <c r="D2635" s="2" t="s">
        <v>122</v>
      </c>
      <c r="E2635" s="2">
        <v>28</v>
      </c>
      <c r="F2635" s="2">
        <v>971.83</v>
      </c>
    </row>
    <row r="2636" spans="3:6" x14ac:dyDescent="0.25">
      <c r="C2636" s="2" t="s">
        <v>10710</v>
      </c>
      <c r="D2636" s="2" t="s">
        <v>122</v>
      </c>
      <c r="E2636" s="2">
        <v>11</v>
      </c>
      <c r="F2636" s="2">
        <v>218.61</v>
      </c>
    </row>
    <row r="2637" spans="3:6" x14ac:dyDescent="0.25">
      <c r="C2637" s="2" t="s">
        <v>10711</v>
      </c>
      <c r="D2637" s="2" t="s">
        <v>122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324</v>
      </c>
      <c r="C2639" s="2" t="s">
        <v>10712</v>
      </c>
      <c r="D2639" s="2" t="s">
        <v>27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10713</v>
      </c>
      <c r="D2640" s="2" t="s">
        <v>27</v>
      </c>
      <c r="E2640" s="2">
        <v>94</v>
      </c>
      <c r="F2640" s="2">
        <v>1846.46</v>
      </c>
    </row>
    <row r="2641" spans="3:6" x14ac:dyDescent="0.25">
      <c r="C2641" s="2" t="s">
        <v>10714</v>
      </c>
      <c r="D2641" s="2" t="s">
        <v>27</v>
      </c>
      <c r="E2641" s="2">
        <v>41</v>
      </c>
      <c r="F2641" s="2">
        <v>717.32</v>
      </c>
    </row>
    <row r="2642" spans="3:6" x14ac:dyDescent="0.25">
      <c r="C2642" s="2" t="s">
        <v>10715</v>
      </c>
      <c r="D2642" s="2" t="s">
        <v>27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2097</v>
      </c>
      <c r="C2644" s="2" t="s">
        <v>10716</v>
      </c>
      <c r="D2644" s="2" t="s">
        <v>27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10717</v>
      </c>
      <c r="D2645" s="2" t="s">
        <v>27</v>
      </c>
      <c r="E2645" s="2">
        <v>100</v>
      </c>
      <c r="F2645" s="2">
        <v>1931.6</v>
      </c>
    </row>
    <row r="2646" spans="3:6" x14ac:dyDescent="0.25">
      <c r="C2646" s="2" t="s">
        <v>10718</v>
      </c>
      <c r="D2646" s="2" t="s">
        <v>27</v>
      </c>
      <c r="E2646" s="2">
        <v>46</v>
      </c>
      <c r="F2646" s="2">
        <v>815.769</v>
      </c>
    </row>
    <row r="2647" spans="3:6" x14ac:dyDescent="0.25">
      <c r="C2647" s="2" t="s">
        <v>10719</v>
      </c>
      <c r="D2647" s="2" t="s">
        <v>27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8925</v>
      </c>
      <c r="C2649" s="2" t="s">
        <v>10720</v>
      </c>
      <c r="D2649" s="2" t="s">
        <v>122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10721</v>
      </c>
      <c r="D2650" s="2" t="s">
        <v>122</v>
      </c>
      <c r="E2650" s="2">
        <v>123</v>
      </c>
      <c r="F2650" s="2">
        <v>998.777</v>
      </c>
    </row>
    <row r="2651" spans="3:6" x14ac:dyDescent="0.25">
      <c r="C2651" s="2" t="s">
        <v>10722</v>
      </c>
      <c r="D2651" s="2" t="s">
        <v>122</v>
      </c>
      <c r="E2651" s="2">
        <v>123</v>
      </c>
      <c r="F2651" s="2">
        <v>1347.784</v>
      </c>
    </row>
    <row r="2652" spans="3:6" x14ac:dyDescent="0.25">
      <c r="C2652" s="2" t="s">
        <v>10723</v>
      </c>
      <c r="D2652" s="2" t="s">
        <v>122</v>
      </c>
      <c r="E2652" s="2">
        <v>123</v>
      </c>
      <c r="F2652" s="2">
        <v>2174.134</v>
      </c>
    </row>
    <row r="2653" spans="3:6" x14ac:dyDescent="0.25">
      <c r="C2653" s="2" t="s">
        <v>10724</v>
      </c>
      <c r="D2653" s="2" t="s">
        <v>122</v>
      </c>
      <c r="E2653" s="2">
        <v>97</v>
      </c>
      <c r="F2653" s="2">
        <v>2055.56</v>
      </c>
    </row>
    <row r="2654" spans="3:6" x14ac:dyDescent="0.25">
      <c r="C2654" s="2" t="s">
        <v>10725</v>
      </c>
      <c r="D2654" s="2" t="s">
        <v>122</v>
      </c>
      <c r="E2654" s="2">
        <v>24</v>
      </c>
      <c r="F2654" s="2">
        <v>510.59</v>
      </c>
    </row>
    <row r="2655" spans="3:6" x14ac:dyDescent="0.25">
      <c r="C2655" s="2" t="s">
        <v>10726</v>
      </c>
      <c r="D2655" s="2" t="s">
        <v>122</v>
      </c>
      <c r="E2655" s="2">
        <v>69</v>
      </c>
      <c r="F2655" s="2">
        <v>1149.817</v>
      </c>
    </row>
    <row r="2656" spans="3:6" x14ac:dyDescent="0.25">
      <c r="C2656" s="2" t="s">
        <v>10727</v>
      </c>
      <c r="D2656" s="2" t="s">
        <v>122</v>
      </c>
      <c r="E2656" s="2">
        <v>21</v>
      </c>
      <c r="F2656" s="2">
        <v>394.119</v>
      </c>
    </row>
    <row r="2657" spans="3:6" x14ac:dyDescent="0.25">
      <c r="C2657" s="2" t="s">
        <v>10728</v>
      </c>
      <c r="D2657" s="2" t="s">
        <v>122</v>
      </c>
      <c r="E2657" s="2">
        <v>7</v>
      </c>
      <c r="F2657" s="2">
        <v>99.28</v>
      </c>
    </row>
    <row r="2658" spans="3:6" x14ac:dyDescent="0.25">
      <c r="C2658" s="2" t="s">
        <v>10729</v>
      </c>
      <c r="D2658" s="2" t="s">
        <v>122</v>
      </c>
      <c r="E2658" s="2">
        <v>102</v>
      </c>
      <c r="F2658" s="2">
        <v>2155.09</v>
      </c>
    </row>
    <row r="2659" spans="3:6" x14ac:dyDescent="0.25">
      <c r="C2659" s="2" t="s">
        <v>10730</v>
      </c>
      <c r="D2659" s="2" t="s">
        <v>122</v>
      </c>
      <c r="E2659" s="2">
        <v>102</v>
      </c>
      <c r="F2659" s="2">
        <v>2053.279</v>
      </c>
    </row>
    <row r="2660" spans="3:6" x14ac:dyDescent="0.25">
      <c r="C2660" s="2" t="s">
        <v>10731</v>
      </c>
      <c r="D2660" s="2" t="s">
        <v>122</v>
      </c>
      <c r="E2660" s="2">
        <v>102</v>
      </c>
      <c r="F2660" s="2">
        <v>2119.739</v>
      </c>
    </row>
    <row r="2661" spans="3:6" x14ac:dyDescent="0.25">
      <c r="C2661" s="2" t="s">
        <v>10732</v>
      </c>
      <c r="D2661" s="2" t="s">
        <v>122</v>
      </c>
      <c r="E2661" s="2">
        <v>30</v>
      </c>
      <c r="F2661" s="2">
        <v>579.19</v>
      </c>
    </row>
    <row r="2662" spans="3:6" x14ac:dyDescent="0.25">
      <c r="C2662" s="2" t="s">
        <v>10733</v>
      </c>
      <c r="D2662" s="2" t="s">
        <v>122</v>
      </c>
      <c r="E2662" s="2">
        <v>31</v>
      </c>
      <c r="F2662" s="2">
        <v>564.42</v>
      </c>
    </row>
    <row r="2663" spans="3:6" x14ac:dyDescent="0.25">
      <c r="C2663" s="2" t="s">
        <v>10734</v>
      </c>
      <c r="D2663" s="2" t="s">
        <v>122</v>
      </c>
      <c r="E2663" s="2">
        <v>29</v>
      </c>
      <c r="F2663" s="2">
        <v>572.36</v>
      </c>
    </row>
    <row r="2664" spans="3:6" x14ac:dyDescent="0.25">
      <c r="C2664" s="2" t="s">
        <v>10735</v>
      </c>
      <c r="D2664" s="2" t="s">
        <v>122</v>
      </c>
      <c r="E2664" s="2">
        <v>45</v>
      </c>
      <c r="F2664" s="2">
        <v>871.65</v>
      </c>
    </row>
    <row r="2665" spans="3:6" x14ac:dyDescent="0.25">
      <c r="C2665" s="2" t="s">
        <v>10736</v>
      </c>
      <c r="D2665" s="2" t="s">
        <v>122</v>
      </c>
      <c r="E2665" s="2">
        <v>80</v>
      </c>
      <c r="F2665" s="2">
        <v>1596.2</v>
      </c>
    </row>
    <row r="2666" spans="3:6" x14ac:dyDescent="0.25">
      <c r="C2666" s="2" t="s">
        <v>10737</v>
      </c>
      <c r="D2666" s="2" t="s">
        <v>122</v>
      </c>
      <c r="E2666" s="2">
        <v>36</v>
      </c>
      <c r="F2666" s="2">
        <v>704.49</v>
      </c>
    </row>
    <row r="2667" spans="3:6" x14ac:dyDescent="0.25">
      <c r="C2667" s="2" t="s">
        <v>10738</v>
      </c>
      <c r="D2667" s="2" t="s">
        <v>122</v>
      </c>
      <c r="E2667" s="2">
        <v>25</v>
      </c>
      <c r="F2667" s="2">
        <v>485.59</v>
      </c>
    </row>
    <row r="2668" spans="3:6" x14ac:dyDescent="0.25">
      <c r="C2668" s="2" t="s">
        <v>10739</v>
      </c>
      <c r="D2668" s="2" t="s">
        <v>122</v>
      </c>
      <c r="E2668" s="2">
        <v>102</v>
      </c>
      <c r="F2668" s="2">
        <v>2062.5</v>
      </c>
    </row>
    <row r="2669" spans="3:6" x14ac:dyDescent="0.25">
      <c r="C2669" s="2" t="s">
        <v>10740</v>
      </c>
      <c r="D2669" s="2" t="s">
        <v>122</v>
      </c>
      <c r="E2669" s="2">
        <v>65</v>
      </c>
      <c r="F2669" s="2">
        <v>1269.5</v>
      </c>
    </row>
    <row r="2670" spans="3:6" x14ac:dyDescent="0.25">
      <c r="C2670" s="2" t="s">
        <v>10741</v>
      </c>
      <c r="D2670" s="2" t="s">
        <v>122</v>
      </c>
      <c r="E2670" s="2">
        <v>10</v>
      </c>
      <c r="F2670" s="2">
        <v>197.3</v>
      </c>
    </row>
    <row r="2671" spans="3:6" x14ac:dyDescent="0.25">
      <c r="C2671" s="2" t="s">
        <v>10742</v>
      </c>
      <c r="D2671" s="2" t="s">
        <v>122</v>
      </c>
      <c r="E2671" s="2">
        <v>59</v>
      </c>
      <c r="F2671" s="2">
        <v>258.788</v>
      </c>
    </row>
    <row r="2672" spans="3:6" x14ac:dyDescent="0.25">
      <c r="C2672" s="2" t="s">
        <v>10743</v>
      </c>
      <c r="D2672" s="2" t="s">
        <v>122</v>
      </c>
      <c r="E2672" s="2">
        <v>50</v>
      </c>
      <c r="F2672" s="2">
        <v>216.75</v>
      </c>
    </row>
    <row r="2673" spans="3:6" x14ac:dyDescent="0.25">
      <c r="C2673" s="2" t="s">
        <v>10744</v>
      </c>
      <c r="D2673" s="2" t="s">
        <v>122</v>
      </c>
      <c r="E2673" s="2">
        <v>82</v>
      </c>
      <c r="F2673" s="2">
        <v>1560.65</v>
      </c>
    </row>
    <row r="2674" spans="3:6" x14ac:dyDescent="0.25">
      <c r="C2674" s="2" t="s">
        <v>10745</v>
      </c>
      <c r="D2674" s="2" t="s">
        <v>122</v>
      </c>
      <c r="E2674" s="2">
        <v>21</v>
      </c>
      <c r="F2674" s="2">
        <v>438.42</v>
      </c>
    </row>
    <row r="2675" spans="3:6" x14ac:dyDescent="0.25">
      <c r="C2675" s="2" t="s">
        <v>10746</v>
      </c>
      <c r="D2675" s="2" t="s">
        <v>122</v>
      </c>
      <c r="E2675" s="2">
        <v>20</v>
      </c>
      <c r="F2675" s="2">
        <v>383.82</v>
      </c>
    </row>
    <row r="2676" spans="3:6" x14ac:dyDescent="0.25">
      <c r="C2676" s="2" t="s">
        <v>10747</v>
      </c>
      <c r="D2676" s="2" t="s">
        <v>122</v>
      </c>
      <c r="E2676" s="2">
        <v>80</v>
      </c>
      <c r="F2676" s="2">
        <v>1573.07</v>
      </c>
    </row>
    <row r="2677" spans="3:6" x14ac:dyDescent="0.25">
      <c r="C2677" s="2" t="s">
        <v>10748</v>
      </c>
      <c r="D2677" s="2" t="s">
        <v>122</v>
      </c>
      <c r="E2677" s="2">
        <v>21</v>
      </c>
      <c r="F2677" s="2">
        <v>428.06</v>
      </c>
    </row>
    <row r="2678" spans="3:6" x14ac:dyDescent="0.25">
      <c r="C2678" s="2" t="s">
        <v>10749</v>
      </c>
      <c r="D2678" s="2" t="s">
        <v>122</v>
      </c>
      <c r="E2678" s="2">
        <v>20</v>
      </c>
      <c r="F2678" s="2">
        <v>401.49</v>
      </c>
    </row>
    <row r="2679" spans="3:6" x14ac:dyDescent="0.25">
      <c r="C2679" s="2" t="s">
        <v>10750</v>
      </c>
      <c r="D2679" s="2" t="s">
        <v>122</v>
      </c>
      <c r="E2679" s="2">
        <v>80</v>
      </c>
      <c r="F2679" s="2">
        <v>1565.78</v>
      </c>
    </row>
    <row r="2680" spans="3:6" x14ac:dyDescent="0.25">
      <c r="C2680" s="2" t="s">
        <v>10751</v>
      </c>
      <c r="D2680" s="2" t="s">
        <v>122</v>
      </c>
      <c r="E2680" s="2">
        <v>41</v>
      </c>
      <c r="F2680" s="2">
        <v>868.09</v>
      </c>
    </row>
    <row r="2681" spans="3:6" x14ac:dyDescent="0.25">
      <c r="C2681" s="2" t="s">
        <v>10752</v>
      </c>
      <c r="D2681" s="2" t="s">
        <v>122</v>
      </c>
      <c r="E2681" s="2">
        <v>90</v>
      </c>
      <c r="F2681" s="2">
        <v>1849.52</v>
      </c>
    </row>
    <row r="2682" spans="3:6" x14ac:dyDescent="0.25">
      <c r="C2682" s="2" t="s">
        <v>10753</v>
      </c>
      <c r="D2682" s="2" t="s">
        <v>122</v>
      </c>
      <c r="E2682" s="2">
        <v>38</v>
      </c>
      <c r="F2682" s="2">
        <v>783.939</v>
      </c>
    </row>
    <row r="2683" spans="3:6" x14ac:dyDescent="0.25">
      <c r="C2683" s="2" t="s">
        <v>10754</v>
      </c>
      <c r="D2683" s="2" t="s">
        <v>122</v>
      </c>
      <c r="E2683" s="2">
        <v>13</v>
      </c>
      <c r="F2683" s="2">
        <v>243.16</v>
      </c>
    </row>
    <row r="2684" spans="3:6" x14ac:dyDescent="0.25">
      <c r="C2684" s="2" t="s">
        <v>10755</v>
      </c>
      <c r="D2684" s="2" t="s">
        <v>122</v>
      </c>
      <c r="E2684" s="2">
        <v>71</v>
      </c>
      <c r="F2684" s="2">
        <v>1325.02</v>
      </c>
    </row>
    <row r="2685" spans="3:6" x14ac:dyDescent="0.25">
      <c r="C2685" s="2" t="s">
        <v>10756</v>
      </c>
      <c r="D2685" s="2" t="s">
        <v>122</v>
      </c>
      <c r="E2685" s="2">
        <v>26</v>
      </c>
      <c r="F2685" s="2">
        <v>321.379</v>
      </c>
    </row>
    <row r="2686" spans="3:6" x14ac:dyDescent="0.25">
      <c r="C2686" s="2" t="s">
        <v>10757</v>
      </c>
      <c r="D2686" s="2" t="s">
        <v>122</v>
      </c>
      <c r="E2686" s="2">
        <v>26</v>
      </c>
      <c r="F2686" s="2">
        <v>484.524</v>
      </c>
    </row>
    <row r="2687" spans="3:6" x14ac:dyDescent="0.25">
      <c r="C2687" s="2" t="s">
        <v>10758</v>
      </c>
      <c r="D2687" s="2" t="s">
        <v>122</v>
      </c>
      <c r="E2687" s="2">
        <v>57</v>
      </c>
      <c r="F2687" s="2">
        <v>1086.96</v>
      </c>
    </row>
    <row r="2688" spans="3:6" x14ac:dyDescent="0.25">
      <c r="C2688" s="2" t="s">
        <v>10759</v>
      </c>
      <c r="D2688" s="2" t="s">
        <v>122</v>
      </c>
      <c r="E2688" s="2">
        <v>57</v>
      </c>
      <c r="F2688" s="2">
        <v>1099.589</v>
      </c>
    </row>
    <row r="2689" spans="3:6" x14ac:dyDescent="0.25">
      <c r="C2689" s="2" t="s">
        <v>10760</v>
      </c>
      <c r="D2689" s="2" t="s">
        <v>122</v>
      </c>
      <c r="E2689" s="2">
        <v>29</v>
      </c>
      <c r="F2689" s="2">
        <v>534.58</v>
      </c>
    </row>
    <row r="2690" spans="3:6" x14ac:dyDescent="0.25">
      <c r="C2690" s="2" t="s">
        <v>10761</v>
      </c>
      <c r="D2690" s="2" t="s">
        <v>122</v>
      </c>
      <c r="E2690" s="2">
        <v>46</v>
      </c>
      <c r="F2690" s="2">
        <v>854.48</v>
      </c>
    </row>
    <row r="2691" spans="3:6" x14ac:dyDescent="0.25">
      <c r="C2691" s="2" t="s">
        <v>10762</v>
      </c>
      <c r="D2691" s="2" t="s">
        <v>122</v>
      </c>
      <c r="E2691" s="2">
        <v>40</v>
      </c>
      <c r="F2691" s="2">
        <v>800.82</v>
      </c>
    </row>
    <row r="2692" spans="3:6" x14ac:dyDescent="0.25">
      <c r="C2692" s="2" t="s">
        <v>10763</v>
      </c>
      <c r="D2692" s="2" t="s">
        <v>122</v>
      </c>
      <c r="E2692" s="2">
        <v>16</v>
      </c>
      <c r="F2692" s="2">
        <v>203.91</v>
      </c>
    </row>
    <row r="2693" spans="3:6" x14ac:dyDescent="0.25">
      <c r="C2693" s="2" t="s">
        <v>10764</v>
      </c>
      <c r="D2693" s="2" t="s">
        <v>122</v>
      </c>
      <c r="E2693" s="2">
        <v>39</v>
      </c>
      <c r="F2693" s="2">
        <v>788.55</v>
      </c>
    </row>
    <row r="2694" spans="3:6" x14ac:dyDescent="0.25">
      <c r="C2694" s="2" t="s">
        <v>10765</v>
      </c>
      <c r="D2694" s="2" t="s">
        <v>122</v>
      </c>
      <c r="E2694" s="2">
        <v>144</v>
      </c>
      <c r="F2694" s="2">
        <v>2800.99</v>
      </c>
    </row>
    <row r="2695" spans="3:6" x14ac:dyDescent="0.25">
      <c r="C2695" s="2" t="s">
        <v>10766</v>
      </c>
      <c r="D2695" s="2" t="s">
        <v>122</v>
      </c>
      <c r="E2695" s="2">
        <v>141</v>
      </c>
      <c r="F2695" s="2">
        <v>2804.35</v>
      </c>
    </row>
    <row r="2696" spans="3:6" x14ac:dyDescent="0.25">
      <c r="C2696" s="2" t="s">
        <v>10767</v>
      </c>
      <c r="D2696" s="2" t="s">
        <v>122</v>
      </c>
      <c r="E2696" s="2">
        <v>141</v>
      </c>
      <c r="F2696" s="2">
        <v>2855.25</v>
      </c>
    </row>
    <row r="2697" spans="3:6" x14ac:dyDescent="0.25">
      <c r="C2697" s="2" t="s">
        <v>10768</v>
      </c>
      <c r="D2697" s="2" t="s">
        <v>122</v>
      </c>
      <c r="E2697" s="2">
        <v>141</v>
      </c>
      <c r="F2697" s="2">
        <v>2948.47</v>
      </c>
    </row>
    <row r="2698" spans="3:6" x14ac:dyDescent="0.25">
      <c r="C2698" s="2" t="s">
        <v>10769</v>
      </c>
      <c r="D2698" s="2" t="s">
        <v>122</v>
      </c>
      <c r="E2698" s="2">
        <v>141</v>
      </c>
      <c r="F2698" s="2">
        <v>2889.818</v>
      </c>
    </row>
    <row r="2699" spans="3:6" x14ac:dyDescent="0.25">
      <c r="C2699" s="2" t="s">
        <v>10770</v>
      </c>
      <c r="D2699" s="2" t="s">
        <v>122</v>
      </c>
      <c r="E2699" s="2">
        <v>48</v>
      </c>
      <c r="F2699" s="2">
        <v>1017.81</v>
      </c>
    </row>
    <row r="2700" spans="3:6" x14ac:dyDescent="0.25">
      <c r="C2700" s="2" t="s">
        <v>10771</v>
      </c>
      <c r="D2700" s="2" t="s">
        <v>122</v>
      </c>
      <c r="E2700" s="2">
        <v>8</v>
      </c>
      <c r="F2700" s="2">
        <v>181.87</v>
      </c>
    </row>
    <row r="2701" spans="3:6" x14ac:dyDescent="0.25">
      <c r="C2701" s="2" t="s">
        <v>10772</v>
      </c>
      <c r="D2701" s="2" t="s">
        <v>122</v>
      </c>
      <c r="E2701" s="2">
        <v>82</v>
      </c>
      <c r="F2701" s="2">
        <v>1721.19</v>
      </c>
    </row>
    <row r="2702" spans="3:6" x14ac:dyDescent="0.25">
      <c r="C2702" s="2" t="s">
        <v>10773</v>
      </c>
      <c r="D2702" s="2" t="s">
        <v>122</v>
      </c>
      <c r="E2702" s="2">
        <v>35</v>
      </c>
      <c r="F2702" s="2">
        <v>720.629</v>
      </c>
    </row>
    <row r="2703" spans="3:6" x14ac:dyDescent="0.25">
      <c r="C2703" s="2" t="s">
        <v>10774</v>
      </c>
      <c r="D2703" s="2" t="s">
        <v>122</v>
      </c>
      <c r="E2703" s="2">
        <v>41</v>
      </c>
      <c r="F2703" s="2">
        <v>838.549</v>
      </c>
    </row>
    <row r="2704" spans="3:6" x14ac:dyDescent="0.25">
      <c r="C2704" s="2" t="s">
        <v>10775</v>
      </c>
      <c r="D2704" s="2" t="s">
        <v>122</v>
      </c>
      <c r="E2704" s="2">
        <v>20</v>
      </c>
      <c r="F2704" s="2">
        <v>396.89</v>
      </c>
    </row>
    <row r="2705" spans="3:6" x14ac:dyDescent="0.25">
      <c r="C2705" s="2" t="s">
        <v>10776</v>
      </c>
      <c r="D2705" s="2" t="s">
        <v>122</v>
      </c>
      <c r="E2705" s="2">
        <v>45</v>
      </c>
      <c r="F2705" s="2">
        <v>934.85</v>
      </c>
    </row>
    <row r="2706" spans="3:6" x14ac:dyDescent="0.25">
      <c r="C2706" s="2" t="s">
        <v>10777</v>
      </c>
      <c r="D2706" s="2" t="s">
        <v>122</v>
      </c>
      <c r="E2706" s="2">
        <v>27</v>
      </c>
      <c r="F2706" s="2">
        <v>581.2</v>
      </c>
    </row>
    <row r="2707" spans="3:6" x14ac:dyDescent="0.25">
      <c r="C2707" s="2" t="s">
        <v>10778</v>
      </c>
      <c r="D2707" s="2" t="s">
        <v>122</v>
      </c>
      <c r="E2707" s="2">
        <v>15</v>
      </c>
      <c r="F2707" s="2">
        <v>313.85</v>
      </c>
    </row>
    <row r="2708" spans="3:6" x14ac:dyDescent="0.25">
      <c r="C2708" s="2" t="s">
        <v>10779</v>
      </c>
      <c r="D2708" s="2" t="s">
        <v>122</v>
      </c>
      <c r="E2708" s="2">
        <v>49</v>
      </c>
      <c r="F2708" s="2">
        <v>970.229</v>
      </c>
    </row>
    <row r="2709" spans="3:6" x14ac:dyDescent="0.25">
      <c r="C2709" s="2" t="s">
        <v>10780</v>
      </c>
      <c r="D2709" s="2" t="s">
        <v>122</v>
      </c>
      <c r="E2709" s="2">
        <v>26</v>
      </c>
      <c r="F2709" s="2">
        <v>566.92</v>
      </c>
    </row>
    <row r="2710" spans="3:6" x14ac:dyDescent="0.25">
      <c r="C2710" s="2" t="s">
        <v>10781</v>
      </c>
      <c r="D2710" s="2" t="s">
        <v>122</v>
      </c>
      <c r="E2710" s="2">
        <v>13</v>
      </c>
      <c r="F2710" s="2">
        <v>239.219</v>
      </c>
    </row>
    <row r="2711" spans="3:6" x14ac:dyDescent="0.25">
      <c r="C2711" s="2" t="s">
        <v>10782</v>
      </c>
      <c r="D2711" s="2" t="s">
        <v>122</v>
      </c>
      <c r="E2711" s="2">
        <v>11</v>
      </c>
      <c r="F2711" s="2">
        <v>212.69</v>
      </c>
    </row>
    <row r="2712" spans="3:6" x14ac:dyDescent="0.25">
      <c r="C2712" s="2" t="s">
        <v>10783</v>
      </c>
      <c r="D2712" s="2" t="s">
        <v>122</v>
      </c>
      <c r="E2712" s="2">
        <v>16</v>
      </c>
      <c r="F2712" s="2">
        <v>328.84</v>
      </c>
    </row>
    <row r="2713" spans="3:6" x14ac:dyDescent="0.25">
      <c r="C2713" s="2" t="s">
        <v>10784</v>
      </c>
      <c r="D2713" s="2" t="s">
        <v>122</v>
      </c>
      <c r="E2713" s="2">
        <v>10</v>
      </c>
      <c r="F2713" s="2">
        <v>219.61</v>
      </c>
    </row>
    <row r="2714" spans="3:6" x14ac:dyDescent="0.25">
      <c r="C2714" s="2" t="s">
        <v>10785</v>
      </c>
      <c r="D2714" s="2" t="s">
        <v>122</v>
      </c>
      <c r="E2714" s="2">
        <v>14</v>
      </c>
      <c r="F2714" s="2">
        <v>283.95</v>
      </c>
    </row>
    <row r="2715" spans="3:6" x14ac:dyDescent="0.25">
      <c r="C2715" s="2" t="s">
        <v>10786</v>
      </c>
      <c r="D2715" s="2" t="s">
        <v>122</v>
      </c>
      <c r="E2715" s="2">
        <v>39</v>
      </c>
      <c r="F2715" s="2">
        <v>790.68</v>
      </c>
    </row>
    <row r="2716" spans="3:6" x14ac:dyDescent="0.25">
      <c r="C2716" s="2" t="s">
        <v>10787</v>
      </c>
      <c r="D2716" s="2" t="s">
        <v>122</v>
      </c>
      <c r="E2716" s="2">
        <v>11</v>
      </c>
      <c r="F2716" s="2">
        <v>195.3</v>
      </c>
    </row>
    <row r="2717" spans="3:6" x14ac:dyDescent="0.25">
      <c r="C2717" s="2" t="s">
        <v>10788</v>
      </c>
      <c r="D2717" s="2" t="s">
        <v>122</v>
      </c>
      <c r="E2717" s="2">
        <v>12</v>
      </c>
      <c r="F2717" s="2">
        <v>241.9</v>
      </c>
    </row>
    <row r="2718" spans="3:6" x14ac:dyDescent="0.25">
      <c r="C2718" s="2" t="s">
        <v>10789</v>
      </c>
      <c r="D2718" s="2" t="s">
        <v>122</v>
      </c>
      <c r="E2718" s="2">
        <v>18</v>
      </c>
      <c r="F2718" s="2">
        <v>372.99</v>
      </c>
    </row>
    <row r="2719" spans="3:6" x14ac:dyDescent="0.25">
      <c r="C2719" s="2" t="s">
        <v>10790</v>
      </c>
      <c r="D2719" s="2" t="s">
        <v>122</v>
      </c>
      <c r="E2719" s="2">
        <v>15</v>
      </c>
      <c r="F2719" s="2">
        <v>294.36</v>
      </c>
    </row>
    <row r="2720" spans="3:6" x14ac:dyDescent="0.25">
      <c r="C2720" s="2" t="s">
        <v>10791</v>
      </c>
      <c r="D2720" s="2" t="s">
        <v>122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10</v>
      </c>
      <c r="C2722" s="2" t="s">
        <v>10792</v>
      </c>
      <c r="D2722" s="2" t="s">
        <v>12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10793</v>
      </c>
      <c r="D2723" s="2" t="s">
        <v>12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503</v>
      </c>
      <c r="C2725" s="2" t="s">
        <v>10794</v>
      </c>
      <c r="D2725" s="2" t="s">
        <v>42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10795</v>
      </c>
      <c r="C2727" s="2" t="s">
        <v>10796</v>
      </c>
      <c r="D2727" s="2" t="s">
        <v>1288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453</v>
      </c>
      <c r="C2729" s="2" t="s">
        <v>10797</v>
      </c>
      <c r="D2729" s="2" t="s">
        <v>204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10798</v>
      </c>
      <c r="D2730" s="2" t="s">
        <v>204</v>
      </c>
      <c r="E2730" s="2">
        <v>163</v>
      </c>
      <c r="F2730" s="2">
        <v>3101.8</v>
      </c>
    </row>
    <row r="2731" spans="3:6" x14ac:dyDescent="0.25">
      <c r="C2731" s="2" t="s">
        <v>10799</v>
      </c>
      <c r="D2731" s="2" t="s">
        <v>204</v>
      </c>
      <c r="E2731" s="2">
        <v>163</v>
      </c>
      <c r="F2731" s="2">
        <v>3050.63</v>
      </c>
    </row>
    <row r="2732" spans="3:6" x14ac:dyDescent="0.25">
      <c r="C2732" s="2" t="s">
        <v>10800</v>
      </c>
      <c r="D2732" s="2" t="s">
        <v>204</v>
      </c>
      <c r="E2732" s="2">
        <v>163</v>
      </c>
      <c r="F2732" s="2">
        <v>2978.52</v>
      </c>
    </row>
    <row r="2733" spans="3:6" x14ac:dyDescent="0.25">
      <c r="C2733" s="2" t="s">
        <v>10801</v>
      </c>
      <c r="D2733" s="2" t="s">
        <v>204</v>
      </c>
      <c r="E2733" s="2">
        <v>156</v>
      </c>
      <c r="F2733" s="2">
        <v>3096.63</v>
      </c>
    </row>
    <row r="2734" spans="3:6" x14ac:dyDescent="0.25">
      <c r="C2734" s="2" t="s">
        <v>10802</v>
      </c>
      <c r="D2734" s="2" t="s">
        <v>204</v>
      </c>
      <c r="E2734" s="2">
        <v>71</v>
      </c>
      <c r="F2734" s="2">
        <v>1435.16</v>
      </c>
    </row>
    <row r="2735" spans="3:6" x14ac:dyDescent="0.25">
      <c r="C2735" s="2" t="s">
        <v>10803</v>
      </c>
      <c r="D2735" s="2" t="s">
        <v>204</v>
      </c>
      <c r="E2735" s="2" t="e">
        <v>#N/A</v>
      </c>
      <c r="F2735" s="2">
        <v>0</v>
      </c>
    </row>
    <row r="2736" spans="3:6" x14ac:dyDescent="0.25">
      <c r="C2736" s="2" t="s">
        <v>10804</v>
      </c>
      <c r="D2736" s="2" t="s">
        <v>204</v>
      </c>
      <c r="E2736" s="2">
        <v>105</v>
      </c>
      <c r="F2736" s="2">
        <v>2078.619</v>
      </c>
    </row>
    <row r="2737" spans="3:6" x14ac:dyDescent="0.25">
      <c r="C2737" s="2" t="s">
        <v>10805</v>
      </c>
      <c r="D2737" s="2" t="s">
        <v>204</v>
      </c>
      <c r="E2737" s="2">
        <v>300</v>
      </c>
      <c r="F2737" s="2">
        <v>769.408</v>
      </c>
    </row>
    <row r="2738" spans="3:6" x14ac:dyDescent="0.25">
      <c r="C2738" s="2" t="s">
        <v>10806</v>
      </c>
      <c r="D2738" s="2" t="s">
        <v>204</v>
      </c>
      <c r="E2738" s="2">
        <v>95</v>
      </c>
      <c r="F2738" s="2">
        <v>1643.665</v>
      </c>
    </row>
    <row r="2739" spans="3:6" x14ac:dyDescent="0.25">
      <c r="C2739" s="2" t="s">
        <v>10807</v>
      </c>
      <c r="D2739" s="2" t="s">
        <v>204</v>
      </c>
      <c r="E2739" s="2">
        <v>134</v>
      </c>
      <c r="F2739" s="2">
        <v>2576.98</v>
      </c>
    </row>
    <row r="2740" spans="3:6" x14ac:dyDescent="0.25">
      <c r="C2740" s="2" t="s">
        <v>10808</v>
      </c>
      <c r="D2740" s="2" t="s">
        <v>204</v>
      </c>
      <c r="E2740" s="2">
        <v>163</v>
      </c>
      <c r="F2740" s="2">
        <v>0</v>
      </c>
    </row>
    <row r="2741" spans="3:6" x14ac:dyDescent="0.25">
      <c r="C2741" s="2" t="s">
        <v>10809</v>
      </c>
      <c r="D2741" s="2" t="s">
        <v>204</v>
      </c>
      <c r="E2741" s="2">
        <v>281</v>
      </c>
      <c r="F2741" s="2">
        <v>823.54</v>
      </c>
    </row>
    <row r="2742" spans="3:6" x14ac:dyDescent="0.25">
      <c r="C2742" s="2" t="s">
        <v>10810</v>
      </c>
      <c r="D2742" s="2" t="s">
        <v>204</v>
      </c>
      <c r="E2742" s="2">
        <v>81</v>
      </c>
      <c r="F2742" s="2">
        <v>1548.719</v>
      </c>
    </row>
    <row r="2743" spans="3:6" x14ac:dyDescent="0.25">
      <c r="C2743" s="2" t="s">
        <v>10811</v>
      </c>
      <c r="D2743" s="2" t="s">
        <v>204</v>
      </c>
      <c r="E2743" s="2">
        <v>76</v>
      </c>
      <c r="F2743" s="2">
        <v>0</v>
      </c>
    </row>
    <row r="2744" spans="3:6" x14ac:dyDescent="0.25">
      <c r="C2744" s="2" t="s">
        <v>10812</v>
      </c>
      <c r="D2744" s="2" t="s">
        <v>204</v>
      </c>
      <c r="E2744" s="2">
        <v>36</v>
      </c>
      <c r="F2744" s="2">
        <v>536.77</v>
      </c>
    </row>
    <row r="2745" spans="3:6" x14ac:dyDescent="0.25">
      <c r="C2745" s="2" t="s">
        <v>10813</v>
      </c>
      <c r="D2745" s="2" t="s">
        <v>214</v>
      </c>
      <c r="E2745" s="2">
        <v>56</v>
      </c>
      <c r="F2745" s="2">
        <v>1099.819</v>
      </c>
    </row>
    <row r="2746" spans="3:6" x14ac:dyDescent="0.25">
      <c r="C2746" s="2" t="s">
        <v>10814</v>
      </c>
      <c r="D2746" s="2" t="s">
        <v>214</v>
      </c>
      <c r="E2746" s="2">
        <v>100</v>
      </c>
      <c r="F2746" s="2">
        <v>2023.1</v>
      </c>
    </row>
    <row r="2747" spans="3:6" x14ac:dyDescent="0.25">
      <c r="C2747" s="2" t="s">
        <v>10815</v>
      </c>
      <c r="D2747" s="2" t="s">
        <v>214</v>
      </c>
      <c r="E2747" s="2">
        <v>56</v>
      </c>
      <c r="F2747" s="2">
        <v>1129.47</v>
      </c>
    </row>
    <row r="2748" spans="3:6" x14ac:dyDescent="0.25">
      <c r="C2748" s="2" t="s">
        <v>10816</v>
      </c>
      <c r="D2748" s="2" t="s">
        <v>214</v>
      </c>
      <c r="E2748" s="2">
        <v>100</v>
      </c>
      <c r="F2748" s="2">
        <v>1987.719</v>
      </c>
    </row>
    <row r="2749" spans="3:6" x14ac:dyDescent="0.25">
      <c r="C2749" s="2" t="s">
        <v>10817</v>
      </c>
      <c r="D2749" s="2" t="s">
        <v>214</v>
      </c>
      <c r="E2749" s="2">
        <v>56</v>
      </c>
      <c r="F2749" s="2">
        <v>1142.54</v>
      </c>
    </row>
    <row r="2750" spans="3:6" x14ac:dyDescent="0.25">
      <c r="C2750" s="2" t="s">
        <v>10818</v>
      </c>
      <c r="D2750" s="2" t="s">
        <v>214</v>
      </c>
      <c r="E2750" s="2">
        <v>100</v>
      </c>
      <c r="F2750" s="2">
        <v>1762.484</v>
      </c>
    </row>
    <row r="2751" spans="3:6" x14ac:dyDescent="0.25">
      <c r="C2751" s="2" t="s">
        <v>10819</v>
      </c>
      <c r="D2751" s="2" t="s">
        <v>214</v>
      </c>
      <c r="E2751" s="2">
        <v>56</v>
      </c>
      <c r="F2751" s="2">
        <v>1083.55</v>
      </c>
    </row>
    <row r="2752" spans="3:6" x14ac:dyDescent="0.25">
      <c r="C2752" s="2" t="s">
        <v>10820</v>
      </c>
      <c r="D2752" s="2" t="s">
        <v>214</v>
      </c>
      <c r="E2752" s="2">
        <v>100</v>
      </c>
      <c r="F2752" s="2">
        <v>1886.99</v>
      </c>
    </row>
    <row r="2753" spans="3:6" x14ac:dyDescent="0.25">
      <c r="C2753" s="2" t="s">
        <v>10821</v>
      </c>
      <c r="D2753" s="2" t="s">
        <v>216</v>
      </c>
      <c r="E2753" s="2">
        <v>134</v>
      </c>
      <c r="F2753" s="2">
        <v>2739.26</v>
      </c>
    </row>
    <row r="2754" spans="3:6" x14ac:dyDescent="0.25">
      <c r="C2754" s="2" t="s">
        <v>10822</v>
      </c>
      <c r="D2754" s="2" t="s">
        <v>216</v>
      </c>
      <c r="E2754" s="2">
        <v>134</v>
      </c>
      <c r="F2754" s="2">
        <v>2700.68</v>
      </c>
    </row>
    <row r="2755" spans="3:6" x14ac:dyDescent="0.25">
      <c r="C2755" s="2" t="s">
        <v>10823</v>
      </c>
      <c r="D2755" s="2" t="s">
        <v>216</v>
      </c>
      <c r="E2755" s="2">
        <v>134</v>
      </c>
      <c r="F2755" s="2">
        <v>2757.55</v>
      </c>
    </row>
    <row r="2756" spans="3:6" x14ac:dyDescent="0.25">
      <c r="C2756" s="2" t="s">
        <v>10824</v>
      </c>
      <c r="D2756" s="2" t="s">
        <v>216</v>
      </c>
      <c r="E2756" s="2">
        <v>134</v>
      </c>
      <c r="F2756" s="2">
        <v>2745.91</v>
      </c>
    </row>
    <row r="2757" spans="3:6" x14ac:dyDescent="0.25">
      <c r="C2757" s="2" t="s">
        <v>10825</v>
      </c>
      <c r="D2757" s="2" t="s">
        <v>216</v>
      </c>
      <c r="E2757" s="2">
        <v>74</v>
      </c>
      <c r="F2757" s="2">
        <v>1376.069</v>
      </c>
    </row>
    <row r="2758" spans="3:6" x14ac:dyDescent="0.25">
      <c r="C2758" s="2" t="s">
        <v>10826</v>
      </c>
      <c r="D2758" s="2" t="s">
        <v>236</v>
      </c>
      <c r="E2758" s="2">
        <v>60</v>
      </c>
      <c r="F2758" s="2">
        <v>1095.35</v>
      </c>
    </row>
    <row r="2759" spans="3:6" x14ac:dyDescent="0.25">
      <c r="C2759" s="2" t="s">
        <v>10827</v>
      </c>
      <c r="D2759" s="2" t="s">
        <v>236</v>
      </c>
      <c r="E2759" s="2">
        <v>45</v>
      </c>
      <c r="F2759" s="2">
        <v>772.599</v>
      </c>
    </row>
    <row r="2760" spans="3:6" x14ac:dyDescent="0.25">
      <c r="C2760" s="2" t="s">
        <v>10828</v>
      </c>
      <c r="D2760" s="2" t="s">
        <v>236</v>
      </c>
      <c r="E2760" s="2">
        <v>45</v>
      </c>
      <c r="F2760" s="2">
        <v>806.099</v>
      </c>
    </row>
    <row r="2761" spans="3:6" x14ac:dyDescent="0.25">
      <c r="C2761" s="2" t="s">
        <v>10829</v>
      </c>
      <c r="D2761" s="2" t="s">
        <v>236</v>
      </c>
      <c r="E2761" s="2">
        <v>60</v>
      </c>
      <c r="F2761" s="2">
        <v>1091.74</v>
      </c>
    </row>
    <row r="2762" spans="3:6" x14ac:dyDescent="0.25">
      <c r="C2762" s="2" t="s">
        <v>10830</v>
      </c>
      <c r="D2762" s="2" t="s">
        <v>236</v>
      </c>
      <c r="E2762" s="2" t="e">
        <v>#N/A</v>
      </c>
      <c r="F2762" s="2">
        <v>0</v>
      </c>
    </row>
    <row r="2763" spans="3:6" x14ac:dyDescent="0.25">
      <c r="C2763" s="2" t="s">
        <v>10831</v>
      </c>
      <c r="D2763" s="2" t="s">
        <v>236</v>
      </c>
      <c r="E2763" s="2">
        <v>20</v>
      </c>
      <c r="F2763" s="2">
        <v>376.58</v>
      </c>
    </row>
    <row r="2764" spans="3:6" x14ac:dyDescent="0.25">
      <c r="C2764" s="2" t="s">
        <v>10832</v>
      </c>
      <c r="D2764" s="2" t="s">
        <v>236</v>
      </c>
      <c r="E2764" s="2">
        <v>80</v>
      </c>
      <c r="F2764" s="2">
        <v>1507.749</v>
      </c>
    </row>
    <row r="2765" spans="3:6" x14ac:dyDescent="0.25">
      <c r="C2765" s="2" t="s">
        <v>10833</v>
      </c>
      <c r="D2765" s="2" t="s">
        <v>236</v>
      </c>
      <c r="E2765" s="2">
        <v>80</v>
      </c>
      <c r="F2765" s="2">
        <v>1564.469</v>
      </c>
    </row>
    <row r="2766" spans="3:6" x14ac:dyDescent="0.25">
      <c r="C2766" s="2" t="s">
        <v>10834</v>
      </c>
      <c r="D2766" s="2" t="s">
        <v>236</v>
      </c>
      <c r="E2766" s="2">
        <v>25</v>
      </c>
      <c r="F2766" s="2">
        <v>524.35</v>
      </c>
    </row>
    <row r="2767" spans="3:6" x14ac:dyDescent="0.25">
      <c r="C2767" s="2" t="s">
        <v>10835</v>
      </c>
      <c r="D2767" s="2" t="s">
        <v>347</v>
      </c>
      <c r="E2767" s="2">
        <v>63</v>
      </c>
      <c r="F2767" s="2">
        <v>1117.14</v>
      </c>
    </row>
    <row r="2768" spans="3:6" x14ac:dyDescent="0.25">
      <c r="C2768" s="2" t="s">
        <v>10836</v>
      </c>
      <c r="D2768" s="2" t="s">
        <v>347</v>
      </c>
      <c r="E2768" s="2">
        <v>74</v>
      </c>
      <c r="F2768" s="2">
        <v>1428.189</v>
      </c>
    </row>
    <row r="2769" spans="3:6" x14ac:dyDescent="0.25">
      <c r="C2769" s="2" t="s">
        <v>10837</v>
      </c>
      <c r="D2769" s="2" t="s">
        <v>347</v>
      </c>
      <c r="E2769" s="2">
        <v>19</v>
      </c>
      <c r="F2769" s="2">
        <v>369.219</v>
      </c>
    </row>
    <row r="2771" spans="2:6" x14ac:dyDescent="0.25">
      <c r="B2771" s="2" t="s">
        <v>2077</v>
      </c>
      <c r="C2771" s="2" t="s">
        <v>10838</v>
      </c>
      <c r="D2771" s="2" t="s">
        <v>214</v>
      </c>
      <c r="E2771" s="2">
        <v>156</v>
      </c>
      <c r="F2771" s="2">
        <v>2723.619</v>
      </c>
    </row>
    <row r="2772" spans="3:6" x14ac:dyDescent="0.25">
      <c r="C2772" s="2" t="s">
        <v>10839</v>
      </c>
      <c r="D2772" s="2" t="s">
        <v>214</v>
      </c>
      <c r="E2772" s="2">
        <v>149</v>
      </c>
      <c r="F2772" s="2">
        <v>2645.668</v>
      </c>
    </row>
    <row r="2773" spans="3:6" x14ac:dyDescent="0.25">
      <c r="C2773" s="2" t="s">
        <v>10840</v>
      </c>
      <c r="D2773" s="2" t="s">
        <v>216</v>
      </c>
      <c r="E2773" s="2">
        <v>18</v>
      </c>
      <c r="F2773" s="2">
        <v>259.87</v>
      </c>
    </row>
    <row r="2774" spans="3:6" x14ac:dyDescent="0.25">
      <c r="C2774" s="2" t="s">
        <v>10841</v>
      </c>
      <c r="D2774" s="2" t="s">
        <v>216</v>
      </c>
      <c r="E2774" s="2">
        <v>87</v>
      </c>
      <c r="F2774" s="2">
        <v>1573.089</v>
      </c>
    </row>
    <row r="2775" spans="3:6" x14ac:dyDescent="0.25">
      <c r="C2775" s="2" t="s">
        <v>10842</v>
      </c>
      <c r="D2775" s="2" t="s">
        <v>216</v>
      </c>
      <c r="E2775" s="2">
        <v>105</v>
      </c>
      <c r="F2775" s="2">
        <v>2051.79</v>
      </c>
    </row>
    <row r="2776" spans="3:6" x14ac:dyDescent="0.25">
      <c r="C2776" s="2" t="s">
        <v>10843</v>
      </c>
      <c r="D2776" s="2" t="s">
        <v>214</v>
      </c>
      <c r="E2776" s="2">
        <v>157</v>
      </c>
      <c r="F2776" s="2">
        <v>2770.46</v>
      </c>
    </row>
    <row r="2777" spans="3:6" x14ac:dyDescent="0.25">
      <c r="C2777" s="2" t="s">
        <v>10844</v>
      </c>
      <c r="D2777" s="2" t="s">
        <v>214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1101</v>
      </c>
      <c r="C2779" s="2" t="s">
        <v>10845</v>
      </c>
      <c r="D2779" s="2" t="s">
        <v>20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10846</v>
      </c>
      <c r="D2780" s="2" t="s">
        <v>20</v>
      </c>
      <c r="E2780" s="2">
        <v>105</v>
      </c>
      <c r="F2780" s="2">
        <v>2140.87</v>
      </c>
    </row>
    <row r="2781" spans="3:6" x14ac:dyDescent="0.25">
      <c r="C2781" s="2" t="s">
        <v>10847</v>
      </c>
      <c r="D2781" s="2" t="s">
        <v>20</v>
      </c>
      <c r="E2781" s="2">
        <v>268</v>
      </c>
      <c r="F2781" s="2">
        <v>5262.198</v>
      </c>
    </row>
    <row r="2782" spans="3:6" x14ac:dyDescent="0.25">
      <c r="C2782" s="2" t="s">
        <v>10848</v>
      </c>
      <c r="D2782" s="2" t="s">
        <v>20</v>
      </c>
      <c r="E2782" s="2">
        <v>92</v>
      </c>
      <c r="F2782" s="2">
        <v>1819.13</v>
      </c>
    </row>
    <row r="2783" spans="3:6" x14ac:dyDescent="0.25">
      <c r="C2783" s="2" t="s">
        <v>10849</v>
      </c>
      <c r="D2783" s="2" t="s">
        <v>20</v>
      </c>
      <c r="E2783" s="2">
        <v>163</v>
      </c>
      <c r="F2783" s="2">
        <v>3066.519</v>
      </c>
    </row>
    <row r="2784" spans="3:6" x14ac:dyDescent="0.25">
      <c r="C2784" s="2" t="s">
        <v>10850</v>
      </c>
      <c r="D2784" s="2" t="s">
        <v>20</v>
      </c>
      <c r="E2784" s="2">
        <v>243</v>
      </c>
      <c r="F2784" s="2">
        <v>4760.773</v>
      </c>
    </row>
    <row r="2785" spans="3:6" x14ac:dyDescent="0.25">
      <c r="C2785" s="2" t="s">
        <v>10851</v>
      </c>
      <c r="D2785" s="2" t="s">
        <v>20</v>
      </c>
      <c r="E2785" s="2">
        <v>163</v>
      </c>
      <c r="F2785" s="2">
        <v>3175.889</v>
      </c>
    </row>
    <row r="2786" spans="3:6" x14ac:dyDescent="0.25">
      <c r="C2786" s="2" t="s">
        <v>10852</v>
      </c>
      <c r="D2786" s="2" t="s">
        <v>20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10853</v>
      </c>
      <c r="C2788" s="2" t="s">
        <v>10854</v>
      </c>
      <c r="D2788" s="2" t="s">
        <v>20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10855</v>
      </c>
      <c r="D2789" s="2" t="s">
        <v>20</v>
      </c>
      <c r="E2789" s="2">
        <v>210</v>
      </c>
      <c r="F2789" s="2">
        <v>4248.87</v>
      </c>
    </row>
    <row r="2790" spans="3:6" x14ac:dyDescent="0.25">
      <c r="C2790" s="2" t="s">
        <v>10856</v>
      </c>
      <c r="D2790" s="2" t="s">
        <v>20</v>
      </c>
      <c r="E2790" s="2">
        <v>163</v>
      </c>
      <c r="F2790" s="2">
        <v>3289.47</v>
      </c>
    </row>
    <row r="2791" spans="3:6" x14ac:dyDescent="0.25">
      <c r="C2791" s="2" t="s">
        <v>10857</v>
      </c>
      <c r="D2791" s="2" t="s">
        <v>20</v>
      </c>
      <c r="E2791" s="2">
        <v>163</v>
      </c>
      <c r="F2791" s="2">
        <v>2987.548</v>
      </c>
    </row>
    <row r="2792" spans="3:6" x14ac:dyDescent="0.25">
      <c r="C2792" s="2" t="s">
        <v>10858</v>
      </c>
      <c r="D2792" s="2" t="s">
        <v>20</v>
      </c>
      <c r="E2792" s="2">
        <v>196</v>
      </c>
      <c r="F2792" s="2">
        <v>2533.64</v>
      </c>
    </row>
    <row r="2793" spans="3:6" x14ac:dyDescent="0.25">
      <c r="C2793" s="2" t="s">
        <v>10859</v>
      </c>
      <c r="D2793" s="2" t="s">
        <v>20</v>
      </c>
      <c r="E2793" s="2">
        <v>245</v>
      </c>
      <c r="F2793" s="2">
        <v>5636.55</v>
      </c>
    </row>
    <row r="2794" spans="3:6" x14ac:dyDescent="0.25">
      <c r="C2794" s="2" t="s">
        <v>10860</v>
      </c>
      <c r="D2794" s="2" t="s">
        <v>20</v>
      </c>
      <c r="E2794" s="2">
        <v>105</v>
      </c>
      <c r="F2794" s="2">
        <v>2059.01</v>
      </c>
    </row>
    <row r="2795" spans="3:6" x14ac:dyDescent="0.25">
      <c r="C2795" s="2" t="s">
        <v>10861</v>
      </c>
      <c r="D2795" s="2" t="s">
        <v>20</v>
      </c>
      <c r="E2795" s="2">
        <v>163</v>
      </c>
      <c r="F2795" s="2">
        <v>3064.16</v>
      </c>
    </row>
    <row r="2796" spans="3:6" x14ac:dyDescent="0.25">
      <c r="C2796" s="2" t="s">
        <v>10862</v>
      </c>
      <c r="D2796" s="2" t="s">
        <v>20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10863</v>
      </c>
      <c r="C2798" s="2" t="s">
        <v>10864</v>
      </c>
      <c r="D2798" s="2" t="s">
        <v>20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10865</v>
      </c>
      <c r="D2799" s="2" t="s">
        <v>20</v>
      </c>
      <c r="E2799" s="2">
        <v>105</v>
      </c>
      <c r="F2799" s="2">
        <v>2119.66</v>
      </c>
    </row>
    <row r="2800" spans="3:6" x14ac:dyDescent="0.25">
      <c r="C2800" s="2" t="s">
        <v>10866</v>
      </c>
      <c r="D2800" s="2" t="s">
        <v>20</v>
      </c>
      <c r="E2800" s="2">
        <v>268</v>
      </c>
      <c r="F2800" s="2">
        <v>5316.519</v>
      </c>
    </row>
    <row r="2801" spans="3:6" x14ac:dyDescent="0.25">
      <c r="C2801" s="2" t="s">
        <v>10867</v>
      </c>
      <c r="D2801" s="2" t="s">
        <v>20</v>
      </c>
      <c r="E2801" s="2">
        <v>163</v>
      </c>
      <c r="F2801" s="2">
        <v>3077.888</v>
      </c>
    </row>
    <row r="2802" spans="3:6" x14ac:dyDescent="0.25">
      <c r="C2802" s="2" t="s">
        <v>10868</v>
      </c>
      <c r="D2802" s="2" t="s">
        <v>20</v>
      </c>
      <c r="E2802" s="2">
        <v>105</v>
      </c>
      <c r="F2802" s="2">
        <v>2090.4</v>
      </c>
    </row>
    <row r="2803" spans="3:6" x14ac:dyDescent="0.25">
      <c r="C2803" s="2" t="s">
        <v>10869</v>
      </c>
      <c r="D2803" s="2" t="s">
        <v>20</v>
      </c>
      <c r="E2803" s="2">
        <v>163</v>
      </c>
      <c r="F2803" s="2">
        <v>3095.08</v>
      </c>
    </row>
    <row r="2804" spans="3:6" x14ac:dyDescent="0.25">
      <c r="C2804" s="2" t="s">
        <v>10870</v>
      </c>
      <c r="D2804" s="2" t="s">
        <v>20</v>
      </c>
      <c r="E2804" s="2">
        <v>268</v>
      </c>
      <c r="F2804" s="2">
        <v>5189.73</v>
      </c>
    </row>
    <row r="2805" spans="3:6" x14ac:dyDescent="0.25">
      <c r="C2805" s="2" t="s">
        <v>10871</v>
      </c>
      <c r="D2805" s="2" t="s">
        <v>20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5633</v>
      </c>
      <c r="C2807" s="2" t="s">
        <v>10872</v>
      </c>
      <c r="D2807" s="2" t="s">
        <v>27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10873</v>
      </c>
      <c r="D2808" s="2" t="s">
        <v>27</v>
      </c>
      <c r="E2808" s="2">
        <v>82</v>
      </c>
      <c r="F2808" s="2">
        <v>1656.08</v>
      </c>
    </row>
    <row r="2809" spans="3:6" x14ac:dyDescent="0.25">
      <c r="C2809" s="2" t="s">
        <v>10874</v>
      </c>
      <c r="D2809" s="2" t="s">
        <v>27</v>
      </c>
      <c r="E2809" s="2">
        <v>9</v>
      </c>
      <c r="F2809" s="2">
        <v>187</v>
      </c>
    </row>
    <row r="2810" spans="3:6" x14ac:dyDescent="0.25">
      <c r="C2810" s="2" t="s">
        <v>10875</v>
      </c>
      <c r="D2810" s="2" t="s">
        <v>27</v>
      </c>
      <c r="E2810" s="2">
        <v>32</v>
      </c>
      <c r="F2810" s="2">
        <v>574.89</v>
      </c>
    </row>
    <row r="2811" spans="3:6" x14ac:dyDescent="0.25">
      <c r="C2811" s="2" t="s">
        <v>10876</v>
      </c>
      <c r="D2811" s="2" t="s">
        <v>27</v>
      </c>
      <c r="E2811" s="2">
        <v>11</v>
      </c>
      <c r="F2811" s="2">
        <v>219.72</v>
      </c>
    </row>
    <row r="2812" spans="3:6" x14ac:dyDescent="0.25">
      <c r="C2812" s="2" t="s">
        <v>10877</v>
      </c>
      <c r="D2812" s="2" t="s">
        <v>27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9986</v>
      </c>
      <c r="C2814" s="2" t="s">
        <v>10878</v>
      </c>
      <c r="D2814" s="2" t="s">
        <v>9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10879</v>
      </c>
      <c r="D2815" s="2" t="s">
        <v>9</v>
      </c>
      <c r="E2815" s="2">
        <v>45</v>
      </c>
      <c r="F2815" s="2">
        <v>188.63</v>
      </c>
    </row>
    <row r="2816" spans="3:6" x14ac:dyDescent="0.25">
      <c r="C2816" s="2" t="s">
        <v>10880</v>
      </c>
      <c r="D2816" s="2" t="s">
        <v>9</v>
      </c>
      <c r="E2816" s="2">
        <v>45</v>
      </c>
      <c r="F2816" s="2">
        <v>183.76</v>
      </c>
    </row>
    <row r="2817" spans="3:6" x14ac:dyDescent="0.25">
      <c r="C2817" s="2" t="s">
        <v>10881</v>
      </c>
      <c r="D2817" s="2" t="s">
        <v>9</v>
      </c>
      <c r="E2817" s="2">
        <v>102</v>
      </c>
      <c r="F2817" s="2">
        <v>1904.139</v>
      </c>
    </row>
    <row r="2818" spans="3:6" x14ac:dyDescent="0.25">
      <c r="C2818" s="2" t="s">
        <v>10882</v>
      </c>
      <c r="D2818" s="2" t="s">
        <v>9</v>
      </c>
      <c r="E2818" s="2">
        <v>123</v>
      </c>
      <c r="F2818" s="2">
        <v>2298.05</v>
      </c>
    </row>
    <row r="2819" spans="3:6" x14ac:dyDescent="0.25">
      <c r="C2819" s="2" t="s">
        <v>10883</v>
      </c>
      <c r="D2819" s="2" t="s">
        <v>9</v>
      </c>
      <c r="E2819" s="2">
        <v>141</v>
      </c>
      <c r="F2819" s="2">
        <v>2836.28</v>
      </c>
    </row>
    <row r="2820" spans="3:6" x14ac:dyDescent="0.25">
      <c r="C2820" s="2" t="s">
        <v>10884</v>
      </c>
      <c r="D2820" s="2" t="s">
        <v>9</v>
      </c>
      <c r="E2820" s="2">
        <v>141</v>
      </c>
      <c r="F2820" s="2">
        <v>2898.29</v>
      </c>
    </row>
    <row r="2821" spans="3:6" x14ac:dyDescent="0.25">
      <c r="C2821" s="2" t="s">
        <v>10885</v>
      </c>
      <c r="D2821" s="2" t="s">
        <v>9</v>
      </c>
      <c r="E2821" s="2">
        <v>141</v>
      </c>
      <c r="F2821" s="2">
        <v>2912.234</v>
      </c>
    </row>
    <row r="2822" spans="3:6" x14ac:dyDescent="0.25">
      <c r="C2822" s="2" t="s">
        <v>10886</v>
      </c>
      <c r="D2822" s="2" t="s">
        <v>9</v>
      </c>
      <c r="E2822" s="2">
        <v>282</v>
      </c>
      <c r="F2822" s="2">
        <v>5894.1</v>
      </c>
    </row>
    <row r="2823" spans="3:6" x14ac:dyDescent="0.25">
      <c r="C2823" s="2" t="s">
        <v>10887</v>
      </c>
      <c r="D2823" s="2" t="s">
        <v>9</v>
      </c>
      <c r="E2823" s="2">
        <v>13</v>
      </c>
      <c r="F2823" s="2">
        <v>213.479</v>
      </c>
    </row>
    <row r="2824" spans="3:6" x14ac:dyDescent="0.25">
      <c r="C2824" s="2" t="s">
        <v>10888</v>
      </c>
      <c r="D2824" s="2" t="s">
        <v>9</v>
      </c>
      <c r="E2824" s="2">
        <v>19</v>
      </c>
      <c r="F2824" s="2">
        <v>238.86</v>
      </c>
    </row>
    <row r="2825" spans="3:6" x14ac:dyDescent="0.25">
      <c r="C2825" s="2" t="s">
        <v>10889</v>
      </c>
      <c r="D2825" s="2" t="s">
        <v>9</v>
      </c>
      <c r="E2825" s="2">
        <v>46</v>
      </c>
      <c r="F2825" s="2">
        <v>789.54</v>
      </c>
    </row>
    <row r="2826" spans="3:6" x14ac:dyDescent="0.25">
      <c r="C2826" s="2" t="s">
        <v>10890</v>
      </c>
      <c r="D2826" s="2" t="s">
        <v>9</v>
      </c>
      <c r="E2826" s="2">
        <v>246</v>
      </c>
      <c r="F2826" s="2">
        <v>5096.209</v>
      </c>
    </row>
    <row r="2827" spans="3:6" x14ac:dyDescent="0.25">
      <c r="C2827" s="2" t="s">
        <v>10891</v>
      </c>
      <c r="D2827" s="2" t="s">
        <v>9</v>
      </c>
      <c r="E2827" s="2">
        <v>134</v>
      </c>
      <c r="F2827" s="2">
        <v>2845.979</v>
      </c>
    </row>
    <row r="2828" spans="3:6" x14ac:dyDescent="0.25">
      <c r="C2828" s="2" t="s">
        <v>10892</v>
      </c>
      <c r="D2828" s="2" t="s">
        <v>9</v>
      </c>
      <c r="E2828" s="2">
        <v>75</v>
      </c>
      <c r="F2828" s="2">
        <v>1469.68</v>
      </c>
    </row>
    <row r="2829" spans="3:6" x14ac:dyDescent="0.25">
      <c r="C2829" s="2" t="s">
        <v>10893</v>
      </c>
      <c r="D2829" s="2" t="s">
        <v>9</v>
      </c>
      <c r="E2829" s="2">
        <v>39</v>
      </c>
      <c r="F2829" s="2">
        <v>739.02</v>
      </c>
    </row>
    <row r="2830" spans="3:6" x14ac:dyDescent="0.25">
      <c r="C2830" s="2" t="s">
        <v>10894</v>
      </c>
      <c r="D2830" s="2" t="s">
        <v>9</v>
      </c>
      <c r="E2830" s="2">
        <v>10</v>
      </c>
      <c r="F2830" s="2">
        <v>143.53</v>
      </c>
    </row>
    <row r="2831" spans="3:6" x14ac:dyDescent="0.25">
      <c r="C2831" s="2" t="s">
        <v>10895</v>
      </c>
      <c r="D2831" s="2" t="s">
        <v>9</v>
      </c>
      <c r="E2831" s="2">
        <v>141</v>
      </c>
      <c r="F2831" s="2">
        <v>2867.29</v>
      </c>
    </row>
    <row r="2832" spans="3:6" x14ac:dyDescent="0.25">
      <c r="C2832" s="2" t="s">
        <v>10896</v>
      </c>
      <c r="D2832" s="2" t="s">
        <v>9</v>
      </c>
      <c r="E2832" s="2">
        <v>282</v>
      </c>
      <c r="F2832" s="2">
        <v>5914.109</v>
      </c>
    </row>
    <row r="2833" spans="3:6" x14ac:dyDescent="0.25">
      <c r="C2833" s="2" t="s">
        <v>10897</v>
      </c>
      <c r="D2833" s="2" t="s">
        <v>9</v>
      </c>
      <c r="E2833" s="2">
        <v>102</v>
      </c>
      <c r="F2833" s="2">
        <v>2111.36</v>
      </c>
    </row>
    <row r="2834" spans="3:6" x14ac:dyDescent="0.25">
      <c r="C2834" s="2" t="s">
        <v>10898</v>
      </c>
      <c r="D2834" s="2" t="s">
        <v>9</v>
      </c>
      <c r="E2834" s="2">
        <v>142</v>
      </c>
      <c r="F2834" s="2">
        <v>2825.35</v>
      </c>
    </row>
    <row r="2835" spans="3:6" x14ac:dyDescent="0.25">
      <c r="C2835" s="2" t="s">
        <v>10899</v>
      </c>
      <c r="D2835" s="2" t="s">
        <v>9</v>
      </c>
      <c r="E2835" s="2">
        <v>141</v>
      </c>
      <c r="F2835" s="2">
        <v>2909.35</v>
      </c>
    </row>
    <row r="2836" spans="3:6" x14ac:dyDescent="0.25">
      <c r="C2836" s="2" t="s">
        <v>10900</v>
      </c>
      <c r="D2836" s="2" t="s">
        <v>9</v>
      </c>
      <c r="E2836" s="2">
        <v>141</v>
      </c>
      <c r="F2836" s="2">
        <v>2854.68</v>
      </c>
    </row>
    <row r="2837" spans="3:6" x14ac:dyDescent="0.25">
      <c r="C2837" s="2" t="s">
        <v>10901</v>
      </c>
      <c r="D2837" s="2" t="s">
        <v>9</v>
      </c>
      <c r="E2837" s="2">
        <v>282</v>
      </c>
      <c r="F2837" s="2">
        <v>5816.95</v>
      </c>
    </row>
    <row r="2838" spans="3:6" x14ac:dyDescent="0.25">
      <c r="C2838" s="2" t="s">
        <v>10902</v>
      </c>
      <c r="D2838" s="2" t="s">
        <v>9</v>
      </c>
      <c r="E2838" s="2">
        <v>102</v>
      </c>
      <c r="F2838" s="2">
        <v>2079.62</v>
      </c>
    </row>
    <row r="2839" spans="3:6" x14ac:dyDescent="0.25">
      <c r="C2839" s="2" t="s">
        <v>10903</v>
      </c>
      <c r="D2839" s="2" t="s">
        <v>9</v>
      </c>
      <c r="E2839" s="2">
        <v>306</v>
      </c>
      <c r="F2839" s="2">
        <v>6478.869</v>
      </c>
    </row>
    <row r="2840" spans="3:6" x14ac:dyDescent="0.25">
      <c r="C2840" s="2" t="s">
        <v>10904</v>
      </c>
      <c r="D2840" s="2" t="s">
        <v>9</v>
      </c>
      <c r="E2840" s="2">
        <v>141</v>
      </c>
      <c r="F2840" s="2">
        <v>2943.938</v>
      </c>
    </row>
    <row r="2841" spans="3:6" x14ac:dyDescent="0.25">
      <c r="C2841" s="2" t="s">
        <v>10905</v>
      </c>
      <c r="D2841" s="2" t="s">
        <v>9</v>
      </c>
      <c r="E2841" s="2">
        <v>67</v>
      </c>
      <c r="F2841" s="2">
        <v>1325.34</v>
      </c>
    </row>
    <row r="2842" spans="3:6" x14ac:dyDescent="0.25">
      <c r="C2842" s="2" t="s">
        <v>10906</v>
      </c>
      <c r="D2842" s="2" t="s">
        <v>9</v>
      </c>
      <c r="E2842" s="2">
        <v>74</v>
      </c>
      <c r="F2842" s="2">
        <v>1400.579</v>
      </c>
    </row>
    <row r="2843" spans="3:6" x14ac:dyDescent="0.25">
      <c r="C2843" s="2" t="s">
        <v>10907</v>
      </c>
      <c r="D2843" s="2" t="s">
        <v>9</v>
      </c>
      <c r="E2843" s="2">
        <v>51</v>
      </c>
      <c r="F2843" s="2">
        <v>925.61</v>
      </c>
    </row>
    <row r="2844" spans="3:6" x14ac:dyDescent="0.25">
      <c r="C2844" s="2" t="s">
        <v>10908</v>
      </c>
      <c r="D2844" s="2" t="s">
        <v>9</v>
      </c>
      <c r="E2844" s="2">
        <v>51</v>
      </c>
      <c r="F2844" s="2">
        <v>1028.72</v>
      </c>
    </row>
    <row r="2845" spans="3:6" x14ac:dyDescent="0.25">
      <c r="C2845" s="2" t="s">
        <v>10909</v>
      </c>
      <c r="D2845" s="2" t="s">
        <v>9</v>
      </c>
      <c r="E2845" s="2">
        <v>49</v>
      </c>
      <c r="F2845" s="2">
        <v>996.3</v>
      </c>
    </row>
    <row r="2846" spans="3:6" x14ac:dyDescent="0.25">
      <c r="C2846" s="2" t="s">
        <v>10910</v>
      </c>
      <c r="D2846" s="2" t="s">
        <v>9</v>
      </c>
      <c r="E2846" s="2">
        <v>92</v>
      </c>
      <c r="F2846" s="2">
        <v>1903.839</v>
      </c>
    </row>
    <row r="2847" spans="3:6" x14ac:dyDescent="0.25">
      <c r="C2847" s="2" t="s">
        <v>10911</v>
      </c>
      <c r="D2847" s="2" t="s">
        <v>9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183</v>
      </c>
      <c r="C2849" s="2" t="s">
        <v>10912</v>
      </c>
      <c r="D2849" s="2" t="s">
        <v>122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10913</v>
      </c>
      <c r="D2850" s="2" t="s">
        <v>122</v>
      </c>
      <c r="E2850" s="2">
        <v>121</v>
      </c>
      <c r="F2850" s="2">
        <v>2479.99</v>
      </c>
    </row>
    <row r="2851" spans="3:6" x14ac:dyDescent="0.25">
      <c r="C2851" s="2" t="s">
        <v>10914</v>
      </c>
      <c r="D2851" s="2" t="s">
        <v>122</v>
      </c>
      <c r="E2851" s="2">
        <v>84</v>
      </c>
      <c r="F2851" s="2">
        <v>1735.43</v>
      </c>
    </row>
    <row r="2852" spans="3:6" x14ac:dyDescent="0.25">
      <c r="C2852" s="2" t="s">
        <v>10915</v>
      </c>
      <c r="D2852" s="2" t="s">
        <v>122</v>
      </c>
      <c r="E2852" s="2">
        <v>57</v>
      </c>
      <c r="F2852" s="2">
        <v>1193.789</v>
      </c>
    </row>
    <row r="2853" spans="3:6" x14ac:dyDescent="0.25">
      <c r="C2853" s="2" t="s">
        <v>10916</v>
      </c>
      <c r="D2853" s="2" t="s">
        <v>122</v>
      </c>
      <c r="E2853" s="2">
        <v>99</v>
      </c>
      <c r="F2853" s="2">
        <v>2006.509</v>
      </c>
    </row>
    <row r="2854" spans="3:6" x14ac:dyDescent="0.25">
      <c r="C2854" s="2" t="s">
        <v>10917</v>
      </c>
      <c r="D2854" s="2" t="s">
        <v>122</v>
      </c>
      <c r="E2854" s="2">
        <v>42</v>
      </c>
      <c r="F2854" s="2">
        <v>885.89</v>
      </c>
    </row>
    <row r="2855" spans="3:6" x14ac:dyDescent="0.25">
      <c r="C2855" s="2" t="s">
        <v>10918</v>
      </c>
      <c r="D2855" s="2" t="s">
        <v>122</v>
      </c>
      <c r="E2855" s="2">
        <v>53</v>
      </c>
      <c r="F2855" s="2">
        <v>1122.6</v>
      </c>
    </row>
    <row r="2856" spans="3:6" x14ac:dyDescent="0.25">
      <c r="C2856" s="2" t="s">
        <v>10919</v>
      </c>
      <c r="D2856" s="2" t="s">
        <v>122</v>
      </c>
      <c r="E2856" s="2">
        <v>31</v>
      </c>
      <c r="F2856" s="2">
        <v>534.562</v>
      </c>
    </row>
    <row r="2857" spans="3:6" x14ac:dyDescent="0.25">
      <c r="C2857" s="2" t="s">
        <v>10920</v>
      </c>
      <c r="D2857" s="2" t="s">
        <v>122</v>
      </c>
      <c r="E2857" s="2">
        <v>39</v>
      </c>
      <c r="F2857" s="2">
        <v>775.11</v>
      </c>
    </row>
    <row r="2858" spans="3:6" x14ac:dyDescent="0.25">
      <c r="C2858" s="2" t="s">
        <v>10921</v>
      </c>
      <c r="D2858" s="2" t="s">
        <v>122</v>
      </c>
      <c r="E2858" s="2">
        <v>16</v>
      </c>
      <c r="F2858" s="2">
        <v>291.56</v>
      </c>
    </row>
    <row r="2859" spans="3:6" x14ac:dyDescent="0.25">
      <c r="C2859" s="2" t="s">
        <v>10922</v>
      </c>
      <c r="D2859" s="2" t="s">
        <v>122</v>
      </c>
      <c r="E2859" s="2">
        <v>48</v>
      </c>
      <c r="F2859" s="2">
        <v>861.69</v>
      </c>
    </row>
    <row r="2860" spans="3:6" x14ac:dyDescent="0.25">
      <c r="C2860" s="2" t="s">
        <v>10923</v>
      </c>
      <c r="D2860" s="2" t="s">
        <v>122</v>
      </c>
      <c r="E2860" s="2">
        <v>67</v>
      </c>
      <c r="F2860" s="2">
        <v>1275.07</v>
      </c>
    </row>
    <row r="2861" spans="3:6" x14ac:dyDescent="0.25">
      <c r="C2861" s="2" t="s">
        <v>10924</v>
      </c>
      <c r="D2861" s="2" t="s">
        <v>122</v>
      </c>
      <c r="E2861" s="2">
        <v>27</v>
      </c>
      <c r="F2861" s="2">
        <v>531.75</v>
      </c>
    </row>
    <row r="2862" spans="3:6" x14ac:dyDescent="0.25">
      <c r="C2862" s="2" t="s">
        <v>10925</v>
      </c>
      <c r="D2862" s="2" t="s">
        <v>122</v>
      </c>
      <c r="E2862" s="2">
        <v>102</v>
      </c>
      <c r="F2862" s="2">
        <v>2149.28</v>
      </c>
    </row>
    <row r="2863" spans="3:6" x14ac:dyDescent="0.25">
      <c r="C2863" s="2" t="s">
        <v>10926</v>
      </c>
      <c r="D2863" s="2" t="s">
        <v>122</v>
      </c>
      <c r="E2863" s="2">
        <v>102</v>
      </c>
      <c r="F2863" s="2">
        <v>2136.53</v>
      </c>
    </row>
    <row r="2864" spans="3:6" x14ac:dyDescent="0.25">
      <c r="C2864" s="2" t="s">
        <v>10927</v>
      </c>
      <c r="D2864" s="2" t="s">
        <v>122</v>
      </c>
      <c r="E2864" s="2">
        <v>102</v>
      </c>
      <c r="F2864" s="2">
        <v>2110.93</v>
      </c>
    </row>
    <row r="2865" spans="3:6" x14ac:dyDescent="0.25">
      <c r="C2865" s="2" t="s">
        <v>10928</v>
      </c>
      <c r="D2865" s="2" t="s">
        <v>122</v>
      </c>
      <c r="E2865" s="2">
        <v>102</v>
      </c>
      <c r="F2865" s="2">
        <v>2102.54</v>
      </c>
    </row>
    <row r="2866" spans="3:6" x14ac:dyDescent="0.25">
      <c r="C2866" s="2" t="s">
        <v>10929</v>
      </c>
      <c r="D2866" s="2" t="s">
        <v>122</v>
      </c>
      <c r="E2866" s="2">
        <v>102</v>
      </c>
      <c r="F2866" s="2">
        <v>2070.46</v>
      </c>
    </row>
    <row r="2867" spans="3:6" x14ac:dyDescent="0.25">
      <c r="C2867" s="2" t="s">
        <v>10930</v>
      </c>
      <c r="D2867" s="2" t="s">
        <v>122</v>
      </c>
      <c r="E2867" s="2">
        <v>68</v>
      </c>
      <c r="F2867" s="2">
        <v>1355.81</v>
      </c>
    </row>
    <row r="2868" spans="3:6" x14ac:dyDescent="0.25">
      <c r="C2868" s="2" t="s">
        <v>10931</v>
      </c>
      <c r="D2868" s="2" t="s">
        <v>122</v>
      </c>
      <c r="E2868" s="2">
        <v>55</v>
      </c>
      <c r="F2868" s="2">
        <v>957.79</v>
      </c>
    </row>
    <row r="2869" spans="3:6" x14ac:dyDescent="0.25">
      <c r="C2869" s="2" t="s">
        <v>10932</v>
      </c>
      <c r="D2869" s="2" t="s">
        <v>122</v>
      </c>
      <c r="E2869" s="2">
        <v>53</v>
      </c>
      <c r="F2869" s="2">
        <v>1041.61</v>
      </c>
    </row>
    <row r="2870" spans="3:6" x14ac:dyDescent="0.25">
      <c r="C2870" s="2" t="s">
        <v>10933</v>
      </c>
      <c r="D2870" s="2" t="s">
        <v>122</v>
      </c>
      <c r="E2870" s="2">
        <v>48</v>
      </c>
      <c r="F2870" s="2">
        <v>1011.93</v>
      </c>
    </row>
    <row r="2871" spans="3:6" x14ac:dyDescent="0.25">
      <c r="C2871" s="2" t="s">
        <v>10934</v>
      </c>
      <c r="D2871" s="2" t="s">
        <v>122</v>
      </c>
      <c r="E2871" s="2">
        <v>20</v>
      </c>
      <c r="F2871" s="2">
        <v>391.61</v>
      </c>
    </row>
    <row r="2872" spans="3:6" x14ac:dyDescent="0.25">
      <c r="C2872" s="2" t="s">
        <v>10935</v>
      </c>
      <c r="D2872" s="2" t="s">
        <v>122</v>
      </c>
      <c r="E2872" s="2">
        <v>134</v>
      </c>
      <c r="F2872" s="2">
        <v>2754.75</v>
      </c>
    </row>
    <row r="2873" spans="3:6" x14ac:dyDescent="0.25">
      <c r="C2873" s="2" t="s">
        <v>10936</v>
      </c>
      <c r="D2873" s="2" t="s">
        <v>122</v>
      </c>
      <c r="E2873" s="2">
        <v>60</v>
      </c>
      <c r="F2873" s="2">
        <v>1209.03</v>
      </c>
    </row>
    <row r="2874" spans="3:6" x14ac:dyDescent="0.25">
      <c r="C2874" s="2" t="s">
        <v>10937</v>
      </c>
      <c r="D2874" s="2" t="s">
        <v>122</v>
      </c>
      <c r="E2874" s="2">
        <v>81</v>
      </c>
      <c r="F2874" s="2">
        <v>1657.93</v>
      </c>
    </row>
    <row r="2875" spans="3:6" x14ac:dyDescent="0.25">
      <c r="C2875" s="2" t="s">
        <v>10938</v>
      </c>
      <c r="D2875" s="2" t="s">
        <v>122</v>
      </c>
      <c r="E2875" s="2">
        <v>141</v>
      </c>
      <c r="F2875" s="2">
        <v>2969.33</v>
      </c>
    </row>
    <row r="2876" spans="3:6" x14ac:dyDescent="0.25">
      <c r="C2876" s="2" t="s">
        <v>10939</v>
      </c>
      <c r="D2876" s="2" t="s">
        <v>122</v>
      </c>
      <c r="E2876" s="2">
        <v>40</v>
      </c>
      <c r="F2876" s="2">
        <v>811.99</v>
      </c>
    </row>
    <row r="2877" spans="3:6" x14ac:dyDescent="0.25">
      <c r="C2877" s="2" t="s">
        <v>10940</v>
      </c>
      <c r="D2877" s="2" t="s">
        <v>122</v>
      </c>
      <c r="E2877" s="2">
        <v>35</v>
      </c>
      <c r="F2877" s="2">
        <v>723.77</v>
      </c>
    </row>
    <row r="2878" spans="3:6" x14ac:dyDescent="0.25">
      <c r="C2878" s="2" t="s">
        <v>10941</v>
      </c>
      <c r="D2878" s="2" t="s">
        <v>122</v>
      </c>
      <c r="E2878" s="2">
        <v>41</v>
      </c>
      <c r="F2878" s="2">
        <v>180.849</v>
      </c>
    </row>
    <row r="2879" spans="3:6" x14ac:dyDescent="0.25">
      <c r="C2879" s="2" t="s">
        <v>10942</v>
      </c>
      <c r="D2879" s="2" t="s">
        <v>122</v>
      </c>
      <c r="E2879" s="2">
        <v>141</v>
      </c>
      <c r="F2879" s="2">
        <v>2810.299</v>
      </c>
    </row>
    <row r="2880" spans="3:6" x14ac:dyDescent="0.25">
      <c r="C2880" s="2" t="s">
        <v>10943</v>
      </c>
      <c r="D2880" s="2" t="s">
        <v>122</v>
      </c>
      <c r="E2880" s="2">
        <v>141</v>
      </c>
      <c r="F2880" s="2">
        <v>2853.199</v>
      </c>
    </row>
    <row r="2881" spans="3:6" x14ac:dyDescent="0.25">
      <c r="C2881" s="2" t="s">
        <v>10944</v>
      </c>
      <c r="D2881" s="2" t="s">
        <v>122</v>
      </c>
      <c r="E2881" s="2">
        <v>141</v>
      </c>
      <c r="F2881" s="2">
        <v>2865.51</v>
      </c>
    </row>
    <row r="2882" spans="3:6" x14ac:dyDescent="0.25">
      <c r="C2882" s="2" t="s">
        <v>10945</v>
      </c>
      <c r="D2882" s="2" t="s">
        <v>122</v>
      </c>
      <c r="E2882" s="2">
        <v>49</v>
      </c>
      <c r="F2882" s="2">
        <v>951.27</v>
      </c>
    </row>
    <row r="2883" spans="3:6" x14ac:dyDescent="0.25">
      <c r="C2883" s="2" t="s">
        <v>10946</v>
      </c>
      <c r="D2883" s="2" t="s">
        <v>122</v>
      </c>
      <c r="E2883" s="2">
        <v>16</v>
      </c>
      <c r="F2883" s="2">
        <v>322.35</v>
      </c>
    </row>
    <row r="2884" spans="3:6" x14ac:dyDescent="0.25">
      <c r="C2884" s="2" t="s">
        <v>10947</v>
      </c>
      <c r="D2884" s="2" t="s">
        <v>122</v>
      </c>
      <c r="E2884" s="2">
        <v>15</v>
      </c>
      <c r="F2884" s="2">
        <v>294.36</v>
      </c>
    </row>
    <row r="2885" spans="3:6" x14ac:dyDescent="0.25">
      <c r="C2885" s="2" t="s">
        <v>10948</v>
      </c>
      <c r="D2885" s="2" t="s">
        <v>122</v>
      </c>
      <c r="E2885" s="2">
        <v>33</v>
      </c>
      <c r="F2885" s="2">
        <v>643.14</v>
      </c>
    </row>
    <row r="2886" spans="3:6" x14ac:dyDescent="0.25">
      <c r="C2886" s="2" t="s">
        <v>10949</v>
      </c>
      <c r="D2886" s="2" t="s">
        <v>122</v>
      </c>
      <c r="E2886" s="2">
        <v>29</v>
      </c>
      <c r="F2886" s="2">
        <v>620.27</v>
      </c>
    </row>
    <row r="2887" spans="3:6" x14ac:dyDescent="0.25">
      <c r="C2887" s="2" t="s">
        <v>10950</v>
      </c>
      <c r="D2887" s="2" t="s">
        <v>122</v>
      </c>
      <c r="E2887" s="2">
        <v>141</v>
      </c>
      <c r="F2887" s="2">
        <v>2960.88</v>
      </c>
    </row>
    <row r="2888" spans="3:6" x14ac:dyDescent="0.25">
      <c r="C2888" s="2" t="s">
        <v>10951</v>
      </c>
      <c r="D2888" s="2" t="s">
        <v>122</v>
      </c>
      <c r="E2888" s="2">
        <v>64</v>
      </c>
      <c r="F2888" s="2">
        <v>1285.09</v>
      </c>
    </row>
    <row r="2889" spans="3:6" x14ac:dyDescent="0.25">
      <c r="C2889" s="2" t="s">
        <v>10952</v>
      </c>
      <c r="D2889" s="2" t="s">
        <v>122</v>
      </c>
      <c r="E2889" s="2">
        <v>77</v>
      </c>
      <c r="F2889" s="2">
        <v>1541.24</v>
      </c>
    </row>
    <row r="2890" spans="3:6" x14ac:dyDescent="0.25">
      <c r="C2890" s="2" t="s">
        <v>10953</v>
      </c>
      <c r="D2890" s="2" t="s">
        <v>122</v>
      </c>
      <c r="E2890" s="2">
        <v>6</v>
      </c>
      <c r="F2890" s="2">
        <v>117.96</v>
      </c>
    </row>
    <row r="2891" spans="3:6" x14ac:dyDescent="0.25">
      <c r="C2891" s="2" t="s">
        <v>10954</v>
      </c>
      <c r="D2891" s="2" t="s">
        <v>122</v>
      </c>
      <c r="E2891" s="2">
        <v>13</v>
      </c>
      <c r="F2891" s="2">
        <v>240.96</v>
      </c>
    </row>
    <row r="2892" spans="3:6" x14ac:dyDescent="0.25">
      <c r="C2892" s="2" t="s">
        <v>10955</v>
      </c>
      <c r="D2892" s="2" t="s">
        <v>122</v>
      </c>
      <c r="E2892" s="2">
        <v>12</v>
      </c>
      <c r="F2892" s="2">
        <v>226.15</v>
      </c>
    </row>
    <row r="2893" spans="3:6" x14ac:dyDescent="0.25">
      <c r="C2893" s="2" t="s">
        <v>10956</v>
      </c>
      <c r="D2893" s="2" t="s">
        <v>122</v>
      </c>
      <c r="E2893" s="2">
        <v>9</v>
      </c>
      <c r="F2893" s="2">
        <v>191.742</v>
      </c>
    </row>
    <row r="2894" spans="3:6" x14ac:dyDescent="0.25">
      <c r="C2894" s="2" t="s">
        <v>10957</v>
      </c>
      <c r="D2894" s="2" t="s">
        <v>122</v>
      </c>
      <c r="E2894" s="2">
        <v>32</v>
      </c>
      <c r="F2894" s="2">
        <v>660.32</v>
      </c>
    </row>
    <row r="2895" spans="3:6" x14ac:dyDescent="0.25">
      <c r="C2895" s="2" t="s">
        <v>10958</v>
      </c>
      <c r="D2895" s="2" t="s">
        <v>122</v>
      </c>
      <c r="E2895" s="2">
        <v>28</v>
      </c>
      <c r="F2895" s="2">
        <v>423.71</v>
      </c>
    </row>
    <row r="2896" spans="3:6" x14ac:dyDescent="0.25">
      <c r="C2896" s="2" t="s">
        <v>10959</v>
      </c>
      <c r="D2896" s="2" t="s">
        <v>122</v>
      </c>
      <c r="E2896" s="2">
        <v>17</v>
      </c>
      <c r="F2896" s="2">
        <v>161.133</v>
      </c>
    </row>
    <row r="2897" spans="3:6" x14ac:dyDescent="0.25">
      <c r="C2897" s="2" t="s">
        <v>10960</v>
      </c>
      <c r="D2897" s="2" t="s">
        <v>122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398</v>
      </c>
      <c r="C2899" s="2" t="s">
        <v>10961</v>
      </c>
      <c r="D2899" s="2" t="s">
        <v>12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10962</v>
      </c>
      <c r="D2900" s="2" t="s">
        <v>12</v>
      </c>
      <c r="E2900" s="2">
        <v>150</v>
      </c>
      <c r="F2900" s="2">
        <v>3097.379</v>
      </c>
    </row>
    <row r="2901" spans="3:6" x14ac:dyDescent="0.25">
      <c r="C2901" s="2" t="s">
        <v>10963</v>
      </c>
      <c r="D2901" s="2" t="s">
        <v>12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10</v>
      </c>
      <c r="C2903" s="2" t="s">
        <v>10964</v>
      </c>
      <c r="D2903" s="2" t="s">
        <v>12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10963</v>
      </c>
      <c r="D2904" s="2" t="s">
        <v>12</v>
      </c>
      <c r="E2904" s="2">
        <v>71</v>
      </c>
      <c r="F2904" s="2">
        <v>1496.84</v>
      </c>
    </row>
    <row r="2905" spans="3:6" x14ac:dyDescent="0.25">
      <c r="C2905" s="2" t="s">
        <v>10965</v>
      </c>
      <c r="D2905" s="2" t="s">
        <v>12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501</v>
      </c>
      <c r="C2907" s="2" t="s">
        <v>10966</v>
      </c>
      <c r="D2907" s="2" t="s">
        <v>204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10967</v>
      </c>
      <c r="D2909" s="2" t="s">
        <v>8441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10968</v>
      </c>
      <c r="D2910" s="2" t="s">
        <v>8441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324</v>
      </c>
      <c r="C2912" s="2" t="s">
        <v>10969</v>
      </c>
      <c r="D2912" s="2" t="s">
        <v>122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2196</v>
      </c>
      <c r="C2914" s="2" t="s">
        <v>10970</v>
      </c>
      <c r="D2914" s="2" t="s">
        <v>9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10971</v>
      </c>
      <c r="D2915" s="2" t="s">
        <v>9</v>
      </c>
      <c r="E2915" s="2">
        <v>44</v>
      </c>
      <c r="F2915" s="2">
        <v>189.008</v>
      </c>
    </row>
    <row r="2916" spans="3:6" x14ac:dyDescent="0.25">
      <c r="C2916" s="2" t="s">
        <v>10972</v>
      </c>
      <c r="D2916" s="2" t="s">
        <v>9</v>
      </c>
      <c r="E2916" s="2">
        <v>1</v>
      </c>
      <c r="F2916" s="2">
        <v>4.07</v>
      </c>
    </row>
    <row r="2917" spans="3:6" x14ac:dyDescent="0.25">
      <c r="C2917" s="2" t="s">
        <v>10973</v>
      </c>
      <c r="D2917" s="2" t="s">
        <v>9</v>
      </c>
      <c r="E2917" s="2">
        <v>123</v>
      </c>
      <c r="F2917" s="2">
        <v>2347.958</v>
      </c>
    </row>
    <row r="2918" spans="3:6" x14ac:dyDescent="0.25">
      <c r="C2918" s="2" t="s">
        <v>10974</v>
      </c>
      <c r="D2918" s="2" t="s">
        <v>9</v>
      </c>
      <c r="E2918" s="2">
        <v>123</v>
      </c>
      <c r="F2918" s="2">
        <v>2346.03</v>
      </c>
    </row>
    <row r="2919" spans="3:6" x14ac:dyDescent="0.25">
      <c r="C2919" s="2" t="s">
        <v>10975</v>
      </c>
      <c r="D2919" s="2" t="s">
        <v>9</v>
      </c>
      <c r="E2919" s="2">
        <v>63</v>
      </c>
      <c r="F2919" s="2">
        <v>1232.07</v>
      </c>
    </row>
    <row r="2920" spans="3:6" x14ac:dyDescent="0.25">
      <c r="C2920" s="2" t="s">
        <v>10976</v>
      </c>
      <c r="D2920" s="2" t="s">
        <v>9</v>
      </c>
      <c r="E2920" s="2">
        <v>60</v>
      </c>
      <c r="F2920" s="2">
        <v>1153.708</v>
      </c>
    </row>
    <row r="2921" spans="3:6" x14ac:dyDescent="0.25">
      <c r="C2921" s="2" t="s">
        <v>10977</v>
      </c>
      <c r="D2921" s="2" t="s">
        <v>9</v>
      </c>
      <c r="E2921" s="2">
        <v>134</v>
      </c>
      <c r="F2921" s="2">
        <v>2906.68</v>
      </c>
    </row>
    <row r="2922" spans="3:6" x14ac:dyDescent="0.25">
      <c r="C2922" s="2" t="s">
        <v>10978</v>
      </c>
      <c r="D2922" s="2" t="s">
        <v>9</v>
      </c>
      <c r="E2922" s="2">
        <v>145</v>
      </c>
      <c r="F2922" s="2">
        <v>2124.74</v>
      </c>
    </row>
    <row r="2923" spans="3:6" x14ac:dyDescent="0.25">
      <c r="C2923" s="2" t="s">
        <v>10979</v>
      </c>
      <c r="D2923" s="2" t="s">
        <v>9</v>
      </c>
      <c r="E2923" s="2">
        <v>141</v>
      </c>
      <c r="F2923" s="2">
        <v>2998.63</v>
      </c>
    </row>
    <row r="2924" spans="3:6" x14ac:dyDescent="0.25">
      <c r="C2924" s="2" t="s">
        <v>10980</v>
      </c>
      <c r="D2924" s="2" t="s">
        <v>9</v>
      </c>
      <c r="E2924" s="2">
        <v>123</v>
      </c>
      <c r="F2924" s="2">
        <v>2604.82</v>
      </c>
    </row>
    <row r="2925" spans="3:6" x14ac:dyDescent="0.25">
      <c r="C2925" s="2" t="s">
        <v>10981</v>
      </c>
      <c r="D2925" s="2" t="s">
        <v>9</v>
      </c>
      <c r="E2925" s="2">
        <v>102</v>
      </c>
      <c r="F2925" s="2">
        <v>1994</v>
      </c>
    </row>
    <row r="2926" spans="3:6" x14ac:dyDescent="0.25">
      <c r="C2926" s="2" t="s">
        <v>10982</v>
      </c>
      <c r="D2926" s="2" t="s">
        <v>9</v>
      </c>
      <c r="E2926" s="2">
        <v>141</v>
      </c>
      <c r="F2926" s="2">
        <v>2871.42</v>
      </c>
    </row>
    <row r="2927" spans="3:6" x14ac:dyDescent="0.25">
      <c r="C2927" s="2" t="s">
        <v>10983</v>
      </c>
      <c r="D2927" s="2" t="s">
        <v>9</v>
      </c>
      <c r="E2927" s="2">
        <v>142</v>
      </c>
      <c r="F2927" s="2">
        <v>2557.25</v>
      </c>
    </row>
    <row r="2928" spans="3:6" x14ac:dyDescent="0.25">
      <c r="C2928" s="2" t="s">
        <v>10984</v>
      </c>
      <c r="D2928" s="2" t="s">
        <v>9</v>
      </c>
      <c r="E2928" s="2">
        <v>102</v>
      </c>
      <c r="F2928" s="2">
        <v>2021.11</v>
      </c>
    </row>
    <row r="2929" spans="3:6" x14ac:dyDescent="0.25">
      <c r="C2929" s="2" t="s">
        <v>10985</v>
      </c>
      <c r="D2929" s="2" t="s">
        <v>9</v>
      </c>
      <c r="E2929" s="2">
        <v>141</v>
      </c>
      <c r="F2929" s="2">
        <v>2930.49</v>
      </c>
    </row>
    <row r="2930" spans="3:6" x14ac:dyDescent="0.25">
      <c r="C2930" s="2" t="s">
        <v>10986</v>
      </c>
      <c r="D2930" s="2" t="s">
        <v>9</v>
      </c>
      <c r="E2930" s="2">
        <v>141</v>
      </c>
      <c r="F2930" s="2">
        <v>2932.56</v>
      </c>
    </row>
    <row r="2931" spans="3:6" x14ac:dyDescent="0.25">
      <c r="C2931" s="2" t="s">
        <v>10987</v>
      </c>
      <c r="D2931" s="2" t="s">
        <v>9</v>
      </c>
      <c r="E2931" s="2">
        <v>141</v>
      </c>
      <c r="F2931" s="2">
        <v>2917.559</v>
      </c>
    </row>
    <row r="2932" spans="3:6" x14ac:dyDescent="0.25">
      <c r="C2932" s="2" t="s">
        <v>10988</v>
      </c>
      <c r="D2932" s="2" t="s">
        <v>9</v>
      </c>
      <c r="E2932" s="2">
        <v>102</v>
      </c>
      <c r="F2932" s="2">
        <v>2221.41</v>
      </c>
    </row>
    <row r="2933" spans="3:6" x14ac:dyDescent="0.25">
      <c r="C2933" s="2" t="s">
        <v>10989</v>
      </c>
      <c r="D2933" s="2" t="s">
        <v>9</v>
      </c>
      <c r="E2933" s="2">
        <v>75</v>
      </c>
      <c r="F2933" s="2">
        <v>1518.54</v>
      </c>
    </row>
    <row r="2934" spans="3:6" x14ac:dyDescent="0.25">
      <c r="C2934" s="2" t="s">
        <v>10990</v>
      </c>
      <c r="D2934" s="2" t="s">
        <v>9</v>
      </c>
      <c r="E2934" s="2">
        <v>16</v>
      </c>
      <c r="F2934" s="2">
        <v>309.89</v>
      </c>
    </row>
    <row r="2935" spans="3:6" x14ac:dyDescent="0.25">
      <c r="C2935" s="2" t="s">
        <v>10991</v>
      </c>
      <c r="D2935" s="2" t="s">
        <v>9</v>
      </c>
      <c r="E2935" s="2">
        <v>20</v>
      </c>
      <c r="F2935" s="2">
        <v>354.6</v>
      </c>
    </row>
    <row r="2936" spans="3:6" x14ac:dyDescent="0.25">
      <c r="C2936" s="2" t="s">
        <v>10992</v>
      </c>
      <c r="D2936" s="2" t="s">
        <v>9</v>
      </c>
      <c r="E2936" s="2">
        <v>18</v>
      </c>
      <c r="F2936" s="2">
        <v>302.59</v>
      </c>
    </row>
    <row r="2937" spans="3:6" x14ac:dyDescent="0.25">
      <c r="C2937" s="2" t="s">
        <v>10993</v>
      </c>
      <c r="D2937" s="2" t="s">
        <v>9</v>
      </c>
      <c r="E2937" s="2">
        <v>17</v>
      </c>
      <c r="F2937" s="2">
        <v>294.15</v>
      </c>
    </row>
    <row r="2938" spans="3:6" x14ac:dyDescent="0.25">
      <c r="C2938" s="2" t="s">
        <v>10994</v>
      </c>
      <c r="D2938" s="2" t="s">
        <v>9</v>
      </c>
      <c r="E2938" s="2">
        <v>11</v>
      </c>
      <c r="F2938" s="2">
        <v>119.49</v>
      </c>
    </row>
    <row r="2939" spans="3:6" x14ac:dyDescent="0.25">
      <c r="C2939" s="2" t="s">
        <v>10995</v>
      </c>
      <c r="D2939" s="2" t="s">
        <v>9</v>
      </c>
      <c r="E2939" s="2">
        <v>7</v>
      </c>
      <c r="F2939" s="2">
        <v>25.26</v>
      </c>
    </row>
    <row r="2940" spans="3:6" x14ac:dyDescent="0.25">
      <c r="C2940" s="2" t="s">
        <v>10996</v>
      </c>
      <c r="D2940" s="2" t="s">
        <v>9</v>
      </c>
      <c r="E2940" s="2">
        <v>12</v>
      </c>
      <c r="F2940" s="2">
        <v>124.44</v>
      </c>
    </row>
    <row r="2941" spans="3:6" x14ac:dyDescent="0.25">
      <c r="C2941" s="2" t="s">
        <v>10997</v>
      </c>
      <c r="D2941" s="2" t="s">
        <v>9</v>
      </c>
      <c r="E2941" s="2">
        <v>8</v>
      </c>
      <c r="F2941" s="2">
        <v>73.809</v>
      </c>
    </row>
    <row r="2942" spans="3:6" x14ac:dyDescent="0.25">
      <c r="C2942" s="2" t="s">
        <v>10998</v>
      </c>
      <c r="D2942" s="2" t="s">
        <v>9</v>
      </c>
      <c r="E2942" s="2">
        <v>43</v>
      </c>
      <c r="F2942" s="2">
        <v>787.089</v>
      </c>
    </row>
    <row r="2943" spans="3:6" x14ac:dyDescent="0.25">
      <c r="C2943" s="2" t="s">
        <v>10999</v>
      </c>
      <c r="D2943" s="2" t="s">
        <v>9</v>
      </c>
      <c r="E2943" s="2">
        <v>282</v>
      </c>
      <c r="F2943" s="2">
        <v>5707.36</v>
      </c>
    </row>
    <row r="2944" spans="3:6" x14ac:dyDescent="0.25">
      <c r="C2944" s="2" t="s">
        <v>11000</v>
      </c>
      <c r="D2944" s="2" t="s">
        <v>9</v>
      </c>
      <c r="E2944" s="2">
        <v>141</v>
      </c>
      <c r="F2944" s="2">
        <v>2804.579</v>
      </c>
    </row>
    <row r="2945" spans="3:6" x14ac:dyDescent="0.25">
      <c r="C2945" s="2" t="s">
        <v>11001</v>
      </c>
      <c r="D2945" s="2" t="s">
        <v>9</v>
      </c>
      <c r="E2945" s="2">
        <v>73</v>
      </c>
      <c r="F2945" s="2">
        <v>1452.77</v>
      </c>
    </row>
    <row r="2946" spans="3:6" x14ac:dyDescent="0.25">
      <c r="C2946" s="2" t="s">
        <v>11002</v>
      </c>
      <c r="D2946" s="2" t="s">
        <v>9</v>
      </c>
      <c r="E2946" s="2">
        <v>68</v>
      </c>
      <c r="F2946" s="2">
        <v>1365.89</v>
      </c>
    </row>
    <row r="2947" spans="3:6" x14ac:dyDescent="0.25">
      <c r="C2947" s="2" t="s">
        <v>11003</v>
      </c>
      <c r="D2947" s="2" t="s">
        <v>9</v>
      </c>
      <c r="E2947" s="2">
        <v>98</v>
      </c>
      <c r="F2947" s="2">
        <v>1978.8</v>
      </c>
    </row>
    <row r="2948" spans="3:6" x14ac:dyDescent="0.25">
      <c r="C2948" s="2" t="s">
        <v>11004</v>
      </c>
      <c r="D2948" s="2" t="s">
        <v>9</v>
      </c>
      <c r="E2948" s="2">
        <v>18</v>
      </c>
      <c r="F2948" s="2">
        <v>337.87</v>
      </c>
    </row>
    <row r="2949" spans="3:6" x14ac:dyDescent="0.25">
      <c r="C2949" s="2" t="s">
        <v>11005</v>
      </c>
      <c r="D2949" s="2" t="s">
        <v>9</v>
      </c>
      <c r="E2949" s="2">
        <v>25</v>
      </c>
      <c r="F2949" s="2">
        <v>517.28</v>
      </c>
    </row>
    <row r="2950" spans="3:6" x14ac:dyDescent="0.25">
      <c r="C2950" s="2" t="s">
        <v>11006</v>
      </c>
      <c r="D2950" s="2" t="s">
        <v>9</v>
      </c>
      <c r="E2950" s="2">
        <v>102</v>
      </c>
      <c r="F2950" s="2">
        <v>2127.49</v>
      </c>
    </row>
    <row r="2951" spans="3:6" x14ac:dyDescent="0.25">
      <c r="C2951" s="2" t="s">
        <v>11007</v>
      </c>
      <c r="D2951" s="2" t="s">
        <v>9</v>
      </c>
      <c r="E2951" s="2">
        <v>102</v>
      </c>
      <c r="F2951" s="2">
        <v>1901.122</v>
      </c>
    </row>
    <row r="2952" spans="3:6" x14ac:dyDescent="0.25">
      <c r="C2952" s="2" t="s">
        <v>11008</v>
      </c>
      <c r="D2952" s="2" t="s">
        <v>9</v>
      </c>
      <c r="E2952" s="2">
        <v>102</v>
      </c>
      <c r="F2952" s="2">
        <v>1703.45</v>
      </c>
    </row>
    <row r="2953" spans="3:6" x14ac:dyDescent="0.25">
      <c r="C2953" s="2" t="s">
        <v>11009</v>
      </c>
      <c r="D2953" s="2" t="s">
        <v>9</v>
      </c>
      <c r="E2953" s="2">
        <v>8</v>
      </c>
      <c r="F2953" s="2">
        <v>155.26</v>
      </c>
    </row>
    <row r="2954" spans="3:6" x14ac:dyDescent="0.25">
      <c r="C2954" s="2" t="s">
        <v>11010</v>
      </c>
      <c r="D2954" s="2" t="s">
        <v>9</v>
      </c>
      <c r="E2954" s="2">
        <v>20</v>
      </c>
      <c r="F2954" s="2">
        <v>334.19</v>
      </c>
    </row>
    <row r="2955" spans="3:6" x14ac:dyDescent="0.25">
      <c r="C2955" s="2" t="s">
        <v>11011</v>
      </c>
      <c r="D2955" s="2" t="s">
        <v>9</v>
      </c>
      <c r="E2955" s="2">
        <v>55</v>
      </c>
      <c r="F2955" s="2">
        <v>1094.05</v>
      </c>
    </row>
    <row r="2956" spans="3:6" x14ac:dyDescent="0.25">
      <c r="C2956" s="2" t="s">
        <v>11012</v>
      </c>
      <c r="D2956" s="2" t="s">
        <v>9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120</v>
      </c>
      <c r="C2958" s="2" t="s">
        <v>11013</v>
      </c>
      <c r="D2958" s="2" t="s">
        <v>122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11014</v>
      </c>
      <c r="D2959" s="2" t="s">
        <v>122</v>
      </c>
      <c r="E2959" s="2">
        <v>141</v>
      </c>
      <c r="F2959" s="2">
        <v>2974.41</v>
      </c>
    </row>
    <row r="2960" spans="3:6" x14ac:dyDescent="0.25">
      <c r="C2960" s="2" t="s">
        <v>11015</v>
      </c>
      <c r="D2960" s="2" t="s">
        <v>122</v>
      </c>
      <c r="E2960" s="2">
        <v>121</v>
      </c>
      <c r="F2960" s="2">
        <v>2543.06</v>
      </c>
    </row>
    <row r="2961" spans="3:6" x14ac:dyDescent="0.25">
      <c r="C2961" s="2" t="s">
        <v>11016</v>
      </c>
      <c r="D2961" s="2" t="s">
        <v>122</v>
      </c>
      <c r="E2961" s="2">
        <v>121</v>
      </c>
      <c r="F2961" s="2">
        <v>2481.01</v>
      </c>
    </row>
    <row r="2962" spans="3:6" x14ac:dyDescent="0.25">
      <c r="C2962" s="2" t="s">
        <v>11017</v>
      </c>
      <c r="D2962" s="2" t="s">
        <v>122</v>
      </c>
      <c r="E2962" s="2">
        <v>75</v>
      </c>
      <c r="F2962" s="2">
        <v>1514.55</v>
      </c>
    </row>
    <row r="2963" spans="3:6" x14ac:dyDescent="0.25">
      <c r="C2963" s="2" t="s">
        <v>11018</v>
      </c>
      <c r="D2963" s="2" t="s">
        <v>122</v>
      </c>
      <c r="E2963" s="2">
        <v>121</v>
      </c>
      <c r="F2963" s="2">
        <v>2464.13</v>
      </c>
    </row>
    <row r="2964" spans="3:6" x14ac:dyDescent="0.25">
      <c r="C2964" s="2" t="s">
        <v>11019</v>
      </c>
      <c r="D2964" s="2" t="s">
        <v>122</v>
      </c>
      <c r="E2964" s="2">
        <v>121</v>
      </c>
      <c r="F2964" s="2">
        <v>2503</v>
      </c>
    </row>
    <row r="2965" spans="3:6" x14ac:dyDescent="0.25">
      <c r="C2965" s="2" t="s">
        <v>11020</v>
      </c>
      <c r="D2965" s="2" t="s">
        <v>122</v>
      </c>
      <c r="E2965" s="2">
        <v>86</v>
      </c>
      <c r="F2965" s="2">
        <v>1736.22</v>
      </c>
    </row>
    <row r="2966" spans="3:6" x14ac:dyDescent="0.25">
      <c r="C2966" s="2" t="s">
        <v>11021</v>
      </c>
      <c r="D2966" s="2" t="s">
        <v>122</v>
      </c>
      <c r="E2966" s="2">
        <v>55</v>
      </c>
      <c r="F2966" s="2">
        <v>1148.24</v>
      </c>
    </row>
    <row r="2967" spans="3:6" x14ac:dyDescent="0.25">
      <c r="C2967" s="2" t="s">
        <v>11022</v>
      </c>
      <c r="D2967" s="2" t="s">
        <v>122</v>
      </c>
      <c r="E2967" s="2">
        <v>42</v>
      </c>
      <c r="F2967" s="2">
        <v>874.98</v>
      </c>
    </row>
    <row r="2968" spans="3:6" x14ac:dyDescent="0.25">
      <c r="C2968" s="2" t="s">
        <v>11023</v>
      </c>
      <c r="D2968" s="2" t="s">
        <v>122</v>
      </c>
      <c r="E2968" s="2">
        <v>21</v>
      </c>
      <c r="F2968" s="2">
        <v>435.09</v>
      </c>
    </row>
    <row r="2969" spans="3:6" x14ac:dyDescent="0.25">
      <c r="C2969" s="2" t="s">
        <v>11024</v>
      </c>
      <c r="D2969" s="2" t="s">
        <v>122</v>
      </c>
      <c r="E2969" s="2">
        <v>52</v>
      </c>
      <c r="F2969" s="2">
        <v>1045.29</v>
      </c>
    </row>
    <row r="2970" spans="3:6" x14ac:dyDescent="0.25">
      <c r="C2970" s="2" t="s">
        <v>11025</v>
      </c>
      <c r="D2970" s="2" t="s">
        <v>122</v>
      </c>
      <c r="E2970" s="2">
        <v>26</v>
      </c>
      <c r="F2970" s="2">
        <v>449.119</v>
      </c>
    </row>
    <row r="2971" spans="3:6" x14ac:dyDescent="0.25">
      <c r="C2971" s="2" t="s">
        <v>11026</v>
      </c>
      <c r="D2971" s="2" t="s">
        <v>122</v>
      </c>
      <c r="E2971" s="2">
        <v>40</v>
      </c>
      <c r="F2971" s="2">
        <v>177.61</v>
      </c>
    </row>
    <row r="2972" spans="3:6" x14ac:dyDescent="0.25">
      <c r="C2972" s="2" t="s">
        <v>11027</v>
      </c>
      <c r="D2972" s="2" t="s">
        <v>122</v>
      </c>
      <c r="E2972" s="2">
        <v>15</v>
      </c>
      <c r="F2972" s="2">
        <v>67.14</v>
      </c>
    </row>
    <row r="2973" spans="3:6" x14ac:dyDescent="0.25">
      <c r="C2973" s="2" t="s">
        <v>11028</v>
      </c>
      <c r="D2973" s="2" t="s">
        <v>122</v>
      </c>
      <c r="E2973" s="2">
        <v>141</v>
      </c>
      <c r="F2973" s="2">
        <v>3008.97</v>
      </c>
    </row>
    <row r="2974" spans="3:6" x14ac:dyDescent="0.25">
      <c r="C2974" s="2" t="s">
        <v>11029</v>
      </c>
      <c r="D2974" s="2" t="s">
        <v>122</v>
      </c>
      <c r="E2974" s="2">
        <v>104</v>
      </c>
      <c r="F2974" s="2">
        <v>2060.51</v>
      </c>
    </row>
    <row r="2975" spans="3:6" x14ac:dyDescent="0.25">
      <c r="C2975" s="2" t="s">
        <v>11030</v>
      </c>
      <c r="D2975" s="2" t="s">
        <v>122</v>
      </c>
      <c r="E2975" s="2">
        <v>25</v>
      </c>
      <c r="F2975" s="2">
        <v>496.25</v>
      </c>
    </row>
    <row r="2976" spans="3:6" x14ac:dyDescent="0.25">
      <c r="C2976" s="2" t="s">
        <v>11031</v>
      </c>
      <c r="D2976" s="2" t="s">
        <v>122</v>
      </c>
      <c r="E2976" s="2">
        <v>17</v>
      </c>
      <c r="F2976" s="2">
        <v>308.33</v>
      </c>
    </row>
    <row r="2977" spans="3:6" x14ac:dyDescent="0.25">
      <c r="C2977" s="2" t="s">
        <v>11032</v>
      </c>
      <c r="D2977" s="2" t="s">
        <v>122</v>
      </c>
      <c r="E2977" s="2">
        <v>21</v>
      </c>
      <c r="F2977" s="2">
        <v>415.85</v>
      </c>
    </row>
    <row r="2978" spans="3:6" x14ac:dyDescent="0.25">
      <c r="C2978" s="2" t="s">
        <v>11033</v>
      </c>
      <c r="D2978" s="2" t="s">
        <v>122</v>
      </c>
      <c r="E2978" s="2">
        <v>39</v>
      </c>
      <c r="F2978" s="2">
        <v>851.44</v>
      </c>
    </row>
    <row r="2979" spans="3:6" x14ac:dyDescent="0.25">
      <c r="C2979" s="2" t="s">
        <v>11034</v>
      </c>
      <c r="D2979" s="2" t="s">
        <v>122</v>
      </c>
      <c r="E2979" s="2">
        <v>50</v>
      </c>
      <c r="F2979" s="2">
        <v>948.37</v>
      </c>
    </row>
    <row r="2980" spans="3:6" x14ac:dyDescent="0.25">
      <c r="C2980" s="2" t="s">
        <v>11035</v>
      </c>
      <c r="D2980" s="2" t="s">
        <v>122</v>
      </c>
      <c r="E2980" s="2">
        <v>28</v>
      </c>
      <c r="F2980" s="2">
        <v>522.47</v>
      </c>
    </row>
    <row r="2981" spans="3:6" x14ac:dyDescent="0.25">
      <c r="C2981" s="2" t="s">
        <v>11036</v>
      </c>
      <c r="D2981" s="2" t="s">
        <v>122</v>
      </c>
      <c r="E2981" s="2">
        <v>24</v>
      </c>
      <c r="F2981" s="2">
        <v>484.99</v>
      </c>
    </row>
    <row r="2982" spans="3:6" x14ac:dyDescent="0.25">
      <c r="C2982" s="2" t="s">
        <v>11037</v>
      </c>
      <c r="D2982" s="2" t="s">
        <v>122</v>
      </c>
      <c r="E2982" s="2">
        <v>82</v>
      </c>
      <c r="F2982" s="2">
        <v>1647.22</v>
      </c>
    </row>
    <row r="2983" spans="3:6" x14ac:dyDescent="0.25">
      <c r="C2983" s="2" t="s">
        <v>11038</v>
      </c>
      <c r="D2983" s="2" t="s">
        <v>122</v>
      </c>
      <c r="E2983" s="2">
        <v>59</v>
      </c>
      <c r="F2983" s="2">
        <v>1256.85</v>
      </c>
    </row>
    <row r="2984" spans="3:6" x14ac:dyDescent="0.25">
      <c r="C2984" s="2" t="s">
        <v>11039</v>
      </c>
      <c r="D2984" s="2" t="s">
        <v>122</v>
      </c>
      <c r="E2984" s="2">
        <v>102</v>
      </c>
      <c r="F2984" s="2">
        <v>2071.93</v>
      </c>
    </row>
    <row r="2985" spans="3:6" x14ac:dyDescent="0.25">
      <c r="C2985" s="2" t="s">
        <v>11040</v>
      </c>
      <c r="D2985" s="2" t="s">
        <v>122</v>
      </c>
      <c r="E2985" s="2">
        <v>141</v>
      </c>
      <c r="F2985" s="2">
        <v>2946</v>
      </c>
    </row>
    <row r="2986" spans="3:6" x14ac:dyDescent="0.25">
      <c r="C2986" s="2" t="s">
        <v>11041</v>
      </c>
      <c r="D2986" s="2" t="s">
        <v>122</v>
      </c>
      <c r="E2986" s="2">
        <v>70</v>
      </c>
      <c r="F2986" s="2">
        <v>1482.55</v>
      </c>
    </row>
    <row r="2987" spans="3:6" x14ac:dyDescent="0.25">
      <c r="C2987" s="2" t="s">
        <v>11042</v>
      </c>
      <c r="D2987" s="2" t="s">
        <v>122</v>
      </c>
      <c r="E2987" s="2">
        <v>72</v>
      </c>
      <c r="F2987" s="2">
        <v>1429.62</v>
      </c>
    </row>
    <row r="2988" spans="3:6" x14ac:dyDescent="0.25">
      <c r="C2988" s="2" t="s">
        <v>11043</v>
      </c>
      <c r="D2988" s="2" t="s">
        <v>122</v>
      </c>
      <c r="E2988" s="2">
        <v>64</v>
      </c>
      <c r="F2988" s="2">
        <f>1289.01+75.75</f>
        <v>1364.76</v>
      </c>
    </row>
    <row r="2989" spans="3:6" x14ac:dyDescent="0.25">
      <c r="C2989" s="2" t="s">
        <v>11044</v>
      </c>
      <c r="D2989" s="2" t="s">
        <v>122</v>
      </c>
      <c r="E2989" s="2">
        <v>32</v>
      </c>
      <c r="F2989" s="2">
        <v>654.3</v>
      </c>
    </row>
    <row r="2990" spans="3:6" x14ac:dyDescent="0.25">
      <c r="C2990" s="2" t="s">
        <v>11045</v>
      </c>
      <c r="D2990" s="2" t="s">
        <v>122</v>
      </c>
      <c r="E2990" s="2">
        <v>9</v>
      </c>
      <c r="F2990" s="2">
        <v>160</v>
      </c>
    </row>
    <row r="2991" spans="3:6" x14ac:dyDescent="0.25">
      <c r="C2991" s="2" t="s">
        <v>11046</v>
      </c>
      <c r="D2991" s="2" t="s">
        <v>122</v>
      </c>
      <c r="E2991" s="2">
        <v>7</v>
      </c>
      <c r="F2991" s="2">
        <v>113.25</v>
      </c>
    </row>
    <row r="2992" spans="3:6" x14ac:dyDescent="0.25">
      <c r="C2992" s="2" t="s">
        <v>11047</v>
      </c>
      <c r="D2992" s="2" t="s">
        <v>122</v>
      </c>
      <c r="E2992" s="2">
        <v>26</v>
      </c>
      <c r="F2992" s="2">
        <v>535.62</v>
      </c>
    </row>
    <row r="2993" spans="3:6" x14ac:dyDescent="0.25">
      <c r="C2993" s="2" t="s">
        <v>11048</v>
      </c>
      <c r="D2993" s="2" t="s">
        <v>122</v>
      </c>
      <c r="E2993" s="2">
        <v>144</v>
      </c>
      <c r="F2993" s="2">
        <v>2821.34</v>
      </c>
    </row>
    <row r="2994" spans="3:6" x14ac:dyDescent="0.25">
      <c r="C2994" s="2" t="s">
        <v>11049</v>
      </c>
      <c r="D2994" s="2" t="s">
        <v>122</v>
      </c>
      <c r="E2994" s="2">
        <v>144</v>
      </c>
      <c r="F2994" s="2">
        <v>2802.118</v>
      </c>
    </row>
    <row r="2995" spans="3:6" x14ac:dyDescent="0.25">
      <c r="C2995" s="2" t="s">
        <v>11050</v>
      </c>
      <c r="D2995" s="2" t="s">
        <v>122</v>
      </c>
      <c r="E2995" s="2">
        <v>10</v>
      </c>
      <c r="F2995" s="2">
        <f>95.04+65.6</f>
        <v>160.64</v>
      </c>
    </row>
    <row r="2996" spans="3:6" x14ac:dyDescent="0.25">
      <c r="C2996" s="2" t="s">
        <v>11051</v>
      </c>
      <c r="D2996" s="2" t="s">
        <v>122</v>
      </c>
      <c r="E2996" s="2">
        <v>10</v>
      </c>
      <c r="F2996" s="2">
        <f>121.88+18.15</f>
        <v>140.03</v>
      </c>
    </row>
    <row r="2997" spans="3:6" x14ac:dyDescent="0.25">
      <c r="C2997" s="2" t="s">
        <v>11052</v>
      </c>
      <c r="D2997" s="2" t="s">
        <v>122</v>
      </c>
      <c r="E2997" s="2">
        <v>63</v>
      </c>
      <c r="F2997" s="2">
        <v>1285.01</v>
      </c>
    </row>
    <row r="2998" spans="3:6" x14ac:dyDescent="0.25">
      <c r="C2998" s="2" t="s">
        <v>11053</v>
      </c>
      <c r="D2998" s="2" t="s">
        <v>122</v>
      </c>
      <c r="E2998" s="2">
        <v>61</v>
      </c>
      <c r="F2998" s="2">
        <v>1226.899</v>
      </c>
    </row>
    <row r="2999" spans="3:6" x14ac:dyDescent="0.25">
      <c r="C2999" s="2" t="s">
        <v>11054</v>
      </c>
      <c r="D2999" s="2" t="s">
        <v>122</v>
      </c>
      <c r="E2999" s="2">
        <v>26</v>
      </c>
      <c r="F2999" s="2">
        <v>546.42</v>
      </c>
    </row>
    <row r="3000" spans="3:6" x14ac:dyDescent="0.25">
      <c r="C3000" s="2" t="s">
        <v>11055</v>
      </c>
      <c r="D3000" s="2" t="s">
        <v>122</v>
      </c>
      <c r="E3000" s="2">
        <v>115</v>
      </c>
      <c r="F3000" s="2">
        <v>2408.78</v>
      </c>
    </row>
    <row r="3001" spans="3:6" x14ac:dyDescent="0.25">
      <c r="C3001" s="2" t="s">
        <v>11056</v>
      </c>
      <c r="D3001" s="2" t="s">
        <v>122</v>
      </c>
      <c r="E3001" s="2">
        <v>42</v>
      </c>
      <c r="F3001" s="2">
        <v>916.82</v>
      </c>
    </row>
    <row r="3002" spans="3:6" x14ac:dyDescent="0.25">
      <c r="C3002" s="2" t="s">
        <v>11057</v>
      </c>
      <c r="D3002" s="2" t="s">
        <v>122</v>
      </c>
      <c r="E3002" s="2">
        <v>46</v>
      </c>
      <c r="F3002" s="2">
        <v>965.13</v>
      </c>
    </row>
    <row r="3003" spans="3:6" x14ac:dyDescent="0.25">
      <c r="C3003" s="2" t="s">
        <v>11058</v>
      </c>
      <c r="D3003" s="2" t="s">
        <v>122</v>
      </c>
      <c r="E3003" s="2">
        <v>35</v>
      </c>
      <c r="F3003" s="2">
        <v>724.21</v>
      </c>
    </row>
    <row r="3004" spans="3:6" x14ac:dyDescent="0.25">
      <c r="C3004" s="2" t="s">
        <v>11059</v>
      </c>
      <c r="D3004" s="2" t="s">
        <v>122</v>
      </c>
      <c r="E3004" s="2">
        <v>18</v>
      </c>
      <c r="F3004" s="2">
        <v>363.73</v>
      </c>
    </row>
    <row r="3005" spans="3:6" x14ac:dyDescent="0.25">
      <c r="C3005" s="2" t="s">
        <v>11060</v>
      </c>
      <c r="D3005" s="2" t="s">
        <v>122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90</v>
      </c>
      <c r="C3007" s="2" t="s">
        <v>11061</v>
      </c>
      <c r="D3007" s="2" t="s">
        <v>42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11062</v>
      </c>
      <c r="D3008" s="2" t="s">
        <v>42</v>
      </c>
      <c r="E3008" s="2">
        <v>47</v>
      </c>
      <c r="F3008" s="2">
        <v>1007.62</v>
      </c>
    </row>
    <row r="3009" spans="3:6" x14ac:dyDescent="0.25">
      <c r="C3009" s="2" t="s">
        <v>11063</v>
      </c>
      <c r="D3009" s="2" t="s">
        <v>42</v>
      </c>
      <c r="E3009" s="2">
        <v>65</v>
      </c>
      <c r="F3009" s="2">
        <v>1360.28</v>
      </c>
    </row>
    <row r="3010" spans="3:6" x14ac:dyDescent="0.25">
      <c r="C3010" s="2" t="s">
        <v>11064</v>
      </c>
      <c r="D3010" s="2" t="s">
        <v>42</v>
      </c>
      <c r="E3010" s="2">
        <v>53</v>
      </c>
      <c r="F3010" s="2">
        <v>1106.47</v>
      </c>
    </row>
    <row r="3011" spans="3:6" x14ac:dyDescent="0.25">
      <c r="C3011" s="2" t="s">
        <v>11065</v>
      </c>
      <c r="D3011" s="2" t="s">
        <v>42</v>
      </c>
      <c r="E3011" s="2">
        <v>82</v>
      </c>
      <c r="F3011" s="2">
        <v>1619.02</v>
      </c>
    </row>
    <row r="3012" spans="3:6" x14ac:dyDescent="0.25">
      <c r="C3012" s="2" t="s">
        <v>11066</v>
      </c>
      <c r="D3012" s="2" t="s">
        <v>42</v>
      </c>
      <c r="E3012" s="2">
        <v>41</v>
      </c>
      <c r="F3012" s="2">
        <v>903.17</v>
      </c>
    </row>
    <row r="3013" spans="3:6" x14ac:dyDescent="0.25">
      <c r="C3013" s="2" t="s">
        <v>11067</v>
      </c>
      <c r="D3013" s="2" t="s">
        <v>42</v>
      </c>
      <c r="E3013" s="2">
        <v>37</v>
      </c>
      <c r="F3013" s="2">
        <v>837.86</v>
      </c>
    </row>
    <row r="3014" spans="3:6" x14ac:dyDescent="0.25">
      <c r="C3014" s="2" t="s">
        <v>11068</v>
      </c>
      <c r="D3014" s="2" t="s">
        <v>42</v>
      </c>
      <c r="E3014" s="2">
        <v>46</v>
      </c>
      <c r="F3014" s="2">
        <v>924.97</v>
      </c>
    </row>
    <row r="3015" spans="3:6" x14ac:dyDescent="0.25">
      <c r="C3015" s="2" t="s">
        <v>11069</v>
      </c>
      <c r="D3015" s="2" t="s">
        <v>42</v>
      </c>
      <c r="E3015" s="2">
        <v>89</v>
      </c>
      <c r="F3015" s="2">
        <v>1861.492</v>
      </c>
    </row>
    <row r="3016" spans="3:6" x14ac:dyDescent="0.25">
      <c r="C3016" s="2" t="s">
        <v>11070</v>
      </c>
      <c r="D3016" s="2" t="s">
        <v>42</v>
      </c>
      <c r="E3016" s="2">
        <v>95</v>
      </c>
      <c r="F3016" s="2">
        <v>2044.65</v>
      </c>
    </row>
    <row r="3017" spans="3:6" x14ac:dyDescent="0.25">
      <c r="C3017" s="2" t="s">
        <v>11071</v>
      </c>
      <c r="D3017" s="2" t="s">
        <v>42</v>
      </c>
      <c r="E3017" s="2">
        <v>6</v>
      </c>
      <c r="F3017" s="2">
        <v>61.91</v>
      </c>
    </row>
    <row r="3018" spans="3:6" x14ac:dyDescent="0.25">
      <c r="C3018" s="2" t="s">
        <v>11072</v>
      </c>
      <c r="D3018" s="2" t="s">
        <v>42</v>
      </c>
      <c r="E3018" s="2">
        <v>24</v>
      </c>
      <c r="F3018" s="2">
        <v>503.05</v>
      </c>
    </row>
    <row r="3019" spans="3:6" x14ac:dyDescent="0.25">
      <c r="C3019" s="2" t="s">
        <v>11073</v>
      </c>
      <c r="D3019" s="2" t="s">
        <v>42</v>
      </c>
      <c r="E3019" s="2">
        <v>21</v>
      </c>
      <c r="F3019" s="2">
        <v>411.78</v>
      </c>
    </row>
    <row r="3020" spans="3:6" x14ac:dyDescent="0.25">
      <c r="C3020" s="2" t="s">
        <v>11074</v>
      </c>
      <c r="D3020" s="2" t="s">
        <v>42</v>
      </c>
      <c r="E3020" s="2">
        <v>93</v>
      </c>
      <c r="F3020" s="2">
        <v>1723.882</v>
      </c>
    </row>
    <row r="3021" spans="3:6" x14ac:dyDescent="0.25">
      <c r="C3021" s="2" t="s">
        <v>11075</v>
      </c>
      <c r="D3021" s="2" t="s">
        <v>42</v>
      </c>
      <c r="E3021" s="2">
        <v>120</v>
      </c>
      <c r="F3021" s="2">
        <v>2395.05</v>
      </c>
    </row>
    <row r="3022" spans="3:6" x14ac:dyDescent="0.25">
      <c r="C3022" s="2" t="s">
        <v>11076</v>
      </c>
      <c r="D3022" s="2" t="s">
        <v>42</v>
      </c>
      <c r="E3022" s="2">
        <v>14</v>
      </c>
      <c r="F3022" s="2">
        <v>221.35</v>
      </c>
    </row>
    <row r="3023" spans="3:6" x14ac:dyDescent="0.25">
      <c r="C3023" s="2" t="s">
        <v>11077</v>
      </c>
      <c r="D3023" s="2" t="s">
        <v>42</v>
      </c>
      <c r="E3023" s="2">
        <v>31</v>
      </c>
      <c r="F3023" s="2">
        <v>608.09</v>
      </c>
    </row>
    <row r="3024" spans="3:6" x14ac:dyDescent="0.25">
      <c r="C3024" s="2" t="s">
        <v>11078</v>
      </c>
      <c r="D3024" s="2" t="s">
        <v>42</v>
      </c>
      <c r="E3024" s="2">
        <v>141</v>
      </c>
      <c r="F3024" s="2">
        <v>3078.84</v>
      </c>
    </row>
    <row r="3025" spans="3:6" x14ac:dyDescent="0.25">
      <c r="C3025" s="2" t="s">
        <v>11079</v>
      </c>
      <c r="D3025" s="2" t="s">
        <v>42</v>
      </c>
      <c r="E3025" s="2">
        <v>141</v>
      </c>
      <c r="F3025" s="2">
        <v>2963.74</v>
      </c>
    </row>
    <row r="3026" spans="3:6" x14ac:dyDescent="0.25">
      <c r="C3026" s="2" t="s">
        <v>11080</v>
      </c>
      <c r="D3026" s="2" t="s">
        <v>42</v>
      </c>
      <c r="E3026" s="2">
        <v>45</v>
      </c>
      <c r="F3026" s="2">
        <v>243.92</v>
      </c>
    </row>
    <row r="3027" spans="3:6" x14ac:dyDescent="0.25">
      <c r="C3027" s="2" t="s">
        <v>11081</v>
      </c>
      <c r="D3027" s="2" t="s">
        <v>42</v>
      </c>
      <c r="E3027" s="2">
        <v>96</v>
      </c>
      <c r="F3027" s="2">
        <v>1861.46</v>
      </c>
    </row>
    <row r="3028" spans="3:6" x14ac:dyDescent="0.25">
      <c r="C3028" s="2" t="s">
        <v>11082</v>
      </c>
      <c r="D3028" s="2" t="s">
        <v>42</v>
      </c>
      <c r="E3028" s="2">
        <v>10</v>
      </c>
      <c r="F3028" s="2">
        <v>208.88</v>
      </c>
    </row>
    <row r="3029" spans="3:6" x14ac:dyDescent="0.25">
      <c r="C3029" s="2" t="s">
        <v>11083</v>
      </c>
      <c r="D3029" s="2" t="s">
        <v>42</v>
      </c>
      <c r="E3029" s="2">
        <v>65</v>
      </c>
      <c r="F3029" s="2">
        <v>1361.74</v>
      </c>
    </row>
    <row r="3030" spans="3:6" x14ac:dyDescent="0.25">
      <c r="C3030" s="2" t="s">
        <v>11084</v>
      </c>
      <c r="D3030" s="2" t="s">
        <v>42</v>
      </c>
      <c r="E3030" s="2">
        <v>141</v>
      </c>
      <c r="F3030" s="2">
        <v>2818.789</v>
      </c>
    </row>
    <row r="3031" spans="3:6" x14ac:dyDescent="0.25">
      <c r="C3031" s="2" t="s">
        <v>11085</v>
      </c>
      <c r="D3031" s="2" t="s">
        <v>42</v>
      </c>
      <c r="E3031" s="2">
        <v>74</v>
      </c>
      <c r="F3031" s="2">
        <v>1893.77</v>
      </c>
    </row>
    <row r="3032" spans="3:6" x14ac:dyDescent="0.25">
      <c r="C3032" s="2" t="s">
        <v>11086</v>
      </c>
      <c r="D3032" s="2" t="s">
        <v>42</v>
      </c>
      <c r="E3032" s="2">
        <v>123</v>
      </c>
      <c r="F3032" s="2">
        <v>2501.44</v>
      </c>
    </row>
    <row r="3033" spans="3:6" x14ac:dyDescent="0.25">
      <c r="C3033" s="2" t="s">
        <v>11087</v>
      </c>
      <c r="D3033" s="2" t="s">
        <v>42</v>
      </c>
      <c r="E3033" s="2">
        <v>20</v>
      </c>
      <c r="F3033" s="2">
        <v>411.43</v>
      </c>
    </row>
    <row r="3034" spans="3:6" x14ac:dyDescent="0.25">
      <c r="C3034" s="2" t="s">
        <v>11088</v>
      </c>
      <c r="D3034" s="2" t="s">
        <v>42</v>
      </c>
      <c r="E3034" s="2">
        <v>80</v>
      </c>
      <c r="F3034" s="2">
        <v>1660.62</v>
      </c>
    </row>
    <row r="3035" spans="3:6" x14ac:dyDescent="0.25">
      <c r="C3035" s="2" t="s">
        <v>11089</v>
      </c>
      <c r="D3035" s="2" t="s">
        <v>42</v>
      </c>
      <c r="E3035" s="2">
        <v>77</v>
      </c>
      <c r="F3035" s="2">
        <v>1585.35</v>
      </c>
    </row>
    <row r="3036" spans="3:6" x14ac:dyDescent="0.25">
      <c r="C3036" s="2" t="s">
        <v>11090</v>
      </c>
      <c r="D3036" s="2" t="s">
        <v>42</v>
      </c>
      <c r="E3036" s="2">
        <v>100</v>
      </c>
      <c r="F3036" s="2">
        <v>2039.8</v>
      </c>
    </row>
    <row r="3037" spans="3:6" x14ac:dyDescent="0.25">
      <c r="C3037" s="2" t="s">
        <v>11091</v>
      </c>
      <c r="D3037" s="2" t="s">
        <v>42</v>
      </c>
      <c r="E3037" s="2">
        <v>64</v>
      </c>
      <c r="F3037" s="2">
        <v>1280.25</v>
      </c>
    </row>
    <row r="3038" spans="3:6" x14ac:dyDescent="0.25">
      <c r="C3038" s="2" t="s">
        <v>11092</v>
      </c>
      <c r="D3038" s="2" t="s">
        <v>42</v>
      </c>
      <c r="E3038" s="2">
        <v>51</v>
      </c>
      <c r="F3038" s="2">
        <v>912.32</v>
      </c>
    </row>
    <row r="3039" spans="3:6" x14ac:dyDescent="0.25">
      <c r="C3039" s="2" t="s">
        <v>11093</v>
      </c>
      <c r="D3039" s="2" t="s">
        <v>42</v>
      </c>
      <c r="E3039" s="2">
        <v>60</v>
      </c>
      <c r="F3039" s="2">
        <v>324.255</v>
      </c>
    </row>
    <row r="3040" spans="3:6" x14ac:dyDescent="0.25">
      <c r="C3040" s="2" t="s">
        <v>11094</v>
      </c>
      <c r="D3040" s="2" t="s">
        <v>42</v>
      </c>
      <c r="E3040" s="2">
        <v>90</v>
      </c>
      <c r="F3040" s="2">
        <v>1767.94</v>
      </c>
    </row>
    <row r="3041" spans="3:6" x14ac:dyDescent="0.25">
      <c r="C3041" s="2" t="s">
        <v>11095</v>
      </c>
      <c r="D3041" s="2" t="s">
        <v>42</v>
      </c>
      <c r="E3041" s="2">
        <v>141</v>
      </c>
      <c r="F3041" s="2">
        <v>2962.489</v>
      </c>
    </row>
    <row r="3042" spans="3:6" x14ac:dyDescent="0.25">
      <c r="C3042" s="2" t="s">
        <v>11096</v>
      </c>
      <c r="D3042" s="2" t="s">
        <v>42</v>
      </c>
      <c r="E3042" s="2">
        <v>50</v>
      </c>
      <c r="F3042" s="2">
        <v>257.69</v>
      </c>
    </row>
    <row r="3043" spans="3:6" x14ac:dyDescent="0.25">
      <c r="C3043" s="2" t="s">
        <v>11097</v>
      </c>
      <c r="D3043" s="2" t="s">
        <v>42</v>
      </c>
      <c r="E3043" s="2">
        <v>141</v>
      </c>
      <c r="F3043" s="2">
        <v>2842.27</v>
      </c>
    </row>
    <row r="3044" spans="3:6" x14ac:dyDescent="0.25">
      <c r="C3044" s="2" t="s">
        <v>11098</v>
      </c>
      <c r="D3044" s="2" t="s">
        <v>42</v>
      </c>
      <c r="E3044" s="2">
        <v>113</v>
      </c>
      <c r="F3044" s="2">
        <v>2595.04</v>
      </c>
    </row>
    <row r="3045" spans="3:6" x14ac:dyDescent="0.25">
      <c r="C3045" s="2" t="s">
        <v>11099</v>
      </c>
      <c r="D3045" s="2" t="s">
        <v>42</v>
      </c>
      <c r="E3045" s="2">
        <v>124</v>
      </c>
      <c r="F3045" s="2">
        <v>2727.289</v>
      </c>
    </row>
    <row r="3046" spans="3:6" x14ac:dyDescent="0.25">
      <c r="C3046" s="2" t="s">
        <v>11100</v>
      </c>
      <c r="D3046" s="2" t="s">
        <v>42</v>
      </c>
      <c r="E3046" s="2">
        <v>123</v>
      </c>
      <c r="F3046" s="2">
        <v>2523.26</v>
      </c>
    </row>
    <row r="3047" spans="3:6" x14ac:dyDescent="0.25">
      <c r="C3047" s="2" t="s">
        <v>11101</v>
      </c>
      <c r="D3047" s="2" t="s">
        <v>42</v>
      </c>
      <c r="E3047" s="2">
        <v>141</v>
      </c>
      <c r="F3047" s="2">
        <v>2862.19</v>
      </c>
    </row>
    <row r="3048" spans="3:6" x14ac:dyDescent="0.25">
      <c r="C3048" s="2" t="s">
        <v>11102</v>
      </c>
      <c r="D3048" s="2" t="s">
        <v>42</v>
      </c>
      <c r="E3048" s="2">
        <v>100</v>
      </c>
      <c r="F3048" s="2">
        <v>2103.47</v>
      </c>
    </row>
    <row r="3049" spans="3:6" x14ac:dyDescent="0.25">
      <c r="C3049" s="2" t="s">
        <v>11103</v>
      </c>
      <c r="D3049" s="2" t="s">
        <v>42</v>
      </c>
      <c r="E3049" s="2">
        <v>141</v>
      </c>
      <c r="F3049" s="2">
        <v>2964.48</v>
      </c>
    </row>
    <row r="3050" spans="3:6" x14ac:dyDescent="0.25">
      <c r="C3050" s="2" t="s">
        <v>11104</v>
      </c>
      <c r="D3050" s="2" t="s">
        <v>42</v>
      </c>
      <c r="E3050" s="2">
        <v>134</v>
      </c>
      <c r="F3050" s="2">
        <v>1494.743</v>
      </c>
    </row>
    <row r="3051" spans="3:6" x14ac:dyDescent="0.25">
      <c r="C3051" s="2" t="s">
        <v>11105</v>
      </c>
      <c r="D3051" s="2" t="s">
        <v>42</v>
      </c>
      <c r="E3051" s="2">
        <v>126</v>
      </c>
      <c r="F3051" s="2">
        <v>2755.189</v>
      </c>
    </row>
    <row r="3052" spans="3:6" x14ac:dyDescent="0.25">
      <c r="C3052" s="2" t="s">
        <v>11106</v>
      </c>
      <c r="D3052" s="2" t="s">
        <v>42</v>
      </c>
      <c r="E3052" s="2">
        <v>45</v>
      </c>
      <c r="F3052" s="2">
        <v>224.55</v>
      </c>
    </row>
    <row r="3053" spans="3:6" x14ac:dyDescent="0.25">
      <c r="C3053" s="2" t="s">
        <v>11107</v>
      </c>
      <c r="D3053" s="2" t="s">
        <v>42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10</v>
      </c>
      <c r="C3055" s="2" t="s">
        <v>11108</v>
      </c>
      <c r="D3055" s="2" t="s">
        <v>12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11109</v>
      </c>
      <c r="D3056" s="2" t="s">
        <v>12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375</v>
      </c>
      <c r="C3058" s="2" t="s">
        <v>11110</v>
      </c>
      <c r="D3058" s="2" t="s">
        <v>204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11111</v>
      </c>
      <c r="D3059" s="2" t="s">
        <v>204</v>
      </c>
      <c r="E3059" s="2">
        <v>134</v>
      </c>
      <c r="F3059" s="2">
        <v>2535.32</v>
      </c>
    </row>
    <row r="3060" spans="3:6" x14ac:dyDescent="0.25">
      <c r="C3060" s="2" t="s">
        <v>11112</v>
      </c>
      <c r="D3060" s="2" t="s">
        <v>204</v>
      </c>
      <c r="E3060" s="2">
        <v>163</v>
      </c>
      <c r="F3060" s="2">
        <v>3027.526</v>
      </c>
    </row>
    <row r="3061" spans="3:6" x14ac:dyDescent="0.25">
      <c r="C3061" s="2" t="s">
        <v>11113</v>
      </c>
      <c r="D3061" s="2" t="s">
        <v>204</v>
      </c>
      <c r="E3061" s="2">
        <v>163</v>
      </c>
      <c r="F3061" s="2">
        <v>3034.199</v>
      </c>
    </row>
    <row r="3062" spans="3:6" x14ac:dyDescent="0.25">
      <c r="C3062" s="2" t="s">
        <v>11114</v>
      </c>
      <c r="D3062" s="2" t="s">
        <v>204</v>
      </c>
      <c r="E3062" s="2">
        <v>105</v>
      </c>
      <c r="F3062" s="2">
        <v>1699.73</v>
      </c>
    </row>
    <row r="3063" spans="3:6" x14ac:dyDescent="0.25">
      <c r="C3063" s="2" t="s">
        <v>10808</v>
      </c>
      <c r="D3063" s="2" t="s">
        <v>204</v>
      </c>
      <c r="E3063" s="2">
        <v>163</v>
      </c>
      <c r="F3063" s="2">
        <v>3069.109</v>
      </c>
    </row>
    <row r="3064" spans="3:6" x14ac:dyDescent="0.25">
      <c r="C3064" s="2" t="s">
        <v>10809</v>
      </c>
      <c r="D3064" s="2" t="s">
        <v>204</v>
      </c>
      <c r="E3064" s="2">
        <v>281</v>
      </c>
      <c r="F3064" s="2">
        <v>823.54</v>
      </c>
    </row>
    <row r="3065" spans="3:6" x14ac:dyDescent="0.25">
      <c r="C3065" s="2" t="s">
        <v>11115</v>
      </c>
      <c r="D3065" s="2" t="s">
        <v>204</v>
      </c>
      <c r="E3065" s="2">
        <v>103</v>
      </c>
      <c r="F3065" s="2">
        <v>2135.08</v>
      </c>
    </row>
    <row r="3066" spans="3:6" x14ac:dyDescent="0.25">
      <c r="C3066" s="2" t="s">
        <v>11116</v>
      </c>
      <c r="D3066" s="2" t="s">
        <v>204</v>
      </c>
      <c r="E3066" s="2">
        <v>103</v>
      </c>
      <c r="F3066" s="2">
        <v>2122.79</v>
      </c>
    </row>
    <row r="3067" spans="3:6" x14ac:dyDescent="0.25">
      <c r="C3067" s="2" t="s">
        <v>11117</v>
      </c>
      <c r="D3067" s="2" t="s">
        <v>204</v>
      </c>
      <c r="E3067" s="2">
        <v>103</v>
      </c>
      <c r="F3067" s="2">
        <v>2102.2</v>
      </c>
    </row>
    <row r="3068" spans="3:6" x14ac:dyDescent="0.25">
      <c r="C3068" s="2" t="s">
        <v>11118</v>
      </c>
      <c r="D3068" s="2" t="s">
        <v>214</v>
      </c>
      <c r="E3068" s="2">
        <v>56</v>
      </c>
      <c r="F3068" s="2">
        <v>1095.74</v>
      </c>
    </row>
    <row r="3069" spans="3:6" x14ac:dyDescent="0.25">
      <c r="C3069" s="2" t="s">
        <v>11119</v>
      </c>
      <c r="D3069" s="2" t="s">
        <v>214</v>
      </c>
      <c r="E3069" s="2">
        <v>100</v>
      </c>
      <c r="F3069" s="2">
        <v>1980.11</v>
      </c>
    </row>
    <row r="3070" spans="3:6" x14ac:dyDescent="0.25">
      <c r="C3070" s="2" t="s">
        <v>11120</v>
      </c>
      <c r="D3070" s="2" t="s">
        <v>214</v>
      </c>
      <c r="E3070" s="2">
        <v>100</v>
      </c>
      <c r="F3070" s="2">
        <v>1951.21</v>
      </c>
    </row>
    <row r="3071" spans="3:6" x14ac:dyDescent="0.25">
      <c r="C3071" s="2" t="s">
        <v>11121</v>
      </c>
      <c r="D3071" s="2" t="s">
        <v>214</v>
      </c>
      <c r="E3071" s="2">
        <v>56</v>
      </c>
      <c r="F3071" s="2">
        <v>1080.32</v>
      </c>
    </row>
    <row r="3072" spans="3:6" x14ac:dyDescent="0.25">
      <c r="C3072" s="2" t="s">
        <v>11122</v>
      </c>
      <c r="D3072" s="2" t="s">
        <v>214</v>
      </c>
      <c r="E3072" s="2">
        <v>100</v>
      </c>
      <c r="F3072" s="2">
        <v>2037.21</v>
      </c>
    </row>
    <row r="3073" spans="3:6" x14ac:dyDescent="0.25">
      <c r="C3073" s="2" t="s">
        <v>11123</v>
      </c>
      <c r="D3073" s="2" t="s">
        <v>214</v>
      </c>
      <c r="E3073" s="2">
        <v>56</v>
      </c>
      <c r="F3073" s="2">
        <v>1122.23</v>
      </c>
    </row>
    <row r="3074" spans="3:6" x14ac:dyDescent="0.25">
      <c r="C3074" s="2" t="s">
        <v>11124</v>
      </c>
      <c r="D3074" s="2" t="s">
        <v>216</v>
      </c>
      <c r="E3074" s="2">
        <v>134</v>
      </c>
      <c r="F3074" s="2">
        <v>2685.23</v>
      </c>
    </row>
    <row r="3075" spans="3:6" x14ac:dyDescent="0.25">
      <c r="C3075" s="2" t="s">
        <v>11125</v>
      </c>
      <c r="D3075" s="2" t="s">
        <v>216</v>
      </c>
      <c r="E3075" s="2">
        <v>134</v>
      </c>
      <c r="F3075" s="2">
        <v>2770.04</v>
      </c>
    </row>
    <row r="3076" spans="3:6" x14ac:dyDescent="0.25">
      <c r="C3076" s="2" t="s">
        <v>11126</v>
      </c>
      <c r="D3076" s="2" t="s">
        <v>216</v>
      </c>
      <c r="E3076" s="2">
        <v>134</v>
      </c>
      <c r="F3076" s="2">
        <v>2542.82</v>
      </c>
    </row>
    <row r="3077" spans="3:6" x14ac:dyDescent="0.25">
      <c r="C3077" s="2" t="s">
        <v>11127</v>
      </c>
      <c r="D3077" s="2" t="s">
        <v>216</v>
      </c>
      <c r="E3077" s="2">
        <v>134</v>
      </c>
      <c r="F3077" s="2">
        <v>2716.71</v>
      </c>
    </row>
    <row r="3078" spans="3:6" x14ac:dyDescent="0.25">
      <c r="C3078" s="2" t="s">
        <v>11128</v>
      </c>
      <c r="D3078" s="2" t="s">
        <v>216</v>
      </c>
      <c r="E3078" s="2">
        <v>134</v>
      </c>
      <c r="F3078" s="2">
        <v>2661</v>
      </c>
    </row>
    <row r="3079" spans="3:6" x14ac:dyDescent="0.25">
      <c r="C3079" s="2" t="s">
        <v>11129</v>
      </c>
      <c r="D3079" s="2" t="s">
        <v>216</v>
      </c>
      <c r="E3079" s="2">
        <v>134</v>
      </c>
      <c r="F3079" s="2">
        <v>2681.72</v>
      </c>
    </row>
    <row r="3080" spans="3:6" x14ac:dyDescent="0.25">
      <c r="C3080" s="2" t="s">
        <v>11130</v>
      </c>
      <c r="D3080" s="2" t="s">
        <v>216</v>
      </c>
      <c r="E3080" s="2">
        <v>36</v>
      </c>
      <c r="F3080" s="2">
        <v>674.41</v>
      </c>
    </row>
    <row r="3081" spans="3:6" x14ac:dyDescent="0.25">
      <c r="C3081" s="2" t="s">
        <v>11131</v>
      </c>
      <c r="D3081" s="2" t="s">
        <v>236</v>
      </c>
      <c r="E3081" s="2">
        <v>45</v>
      </c>
      <c r="F3081" s="2">
        <v>772.5</v>
      </c>
    </row>
    <row r="3082" spans="3:6" x14ac:dyDescent="0.25">
      <c r="C3082" s="2" t="s">
        <v>11132</v>
      </c>
      <c r="D3082" s="2" t="s">
        <v>236</v>
      </c>
      <c r="E3082" s="2">
        <v>60</v>
      </c>
      <c r="F3082" s="2">
        <v>1092.57</v>
      </c>
    </row>
    <row r="3083" spans="3:6" x14ac:dyDescent="0.25">
      <c r="C3083" s="2" t="s">
        <v>11133</v>
      </c>
      <c r="D3083" s="2" t="s">
        <v>347</v>
      </c>
      <c r="E3083" s="2">
        <v>56</v>
      </c>
      <c r="F3083" s="2">
        <v>1082.31</v>
      </c>
    </row>
    <row r="3084" spans="3:6" x14ac:dyDescent="0.25">
      <c r="C3084" s="2" t="s">
        <v>11134</v>
      </c>
      <c r="D3084" s="2" t="s">
        <v>347</v>
      </c>
      <c r="E3084" s="2">
        <v>100</v>
      </c>
      <c r="F3084" s="2">
        <v>1882.518</v>
      </c>
    </row>
    <row r="3085" spans="3:6" x14ac:dyDescent="0.25">
      <c r="C3085" s="2" t="s">
        <v>11135</v>
      </c>
      <c r="D3085" s="2" t="s">
        <v>347</v>
      </c>
      <c r="E3085" s="2">
        <v>22</v>
      </c>
      <c r="F3085" s="2">
        <v>415</v>
      </c>
    </row>
    <row r="3086" spans="3:6" x14ac:dyDescent="0.25">
      <c r="C3086" s="2" t="s">
        <v>11136</v>
      </c>
      <c r="D3086" s="2" t="s">
        <v>347</v>
      </c>
      <c r="E3086" s="2">
        <v>91</v>
      </c>
      <c r="F3086" s="2">
        <v>1676.159</v>
      </c>
    </row>
    <row r="3087" spans="3:6" x14ac:dyDescent="0.25">
      <c r="C3087" s="2" t="s">
        <v>11137</v>
      </c>
      <c r="D3087" s="2" t="s">
        <v>347</v>
      </c>
      <c r="E3087" s="2">
        <v>30</v>
      </c>
      <c r="F3087" s="2">
        <v>540</v>
      </c>
    </row>
    <row r="3088" spans="3:6" x14ac:dyDescent="0.25">
      <c r="C3088" s="2" t="s">
        <v>11138</v>
      </c>
      <c r="D3088" s="2" t="s">
        <v>347</v>
      </c>
      <c r="E3088" s="2">
        <v>13</v>
      </c>
      <c r="F3088" s="2">
        <v>240.68</v>
      </c>
    </row>
    <row r="3089" spans="3:6" x14ac:dyDescent="0.25">
      <c r="C3089" s="2" t="s">
        <v>11139</v>
      </c>
      <c r="D3089" s="2" t="s">
        <v>214</v>
      </c>
      <c r="E3089" s="2">
        <v>141</v>
      </c>
      <c r="F3089" s="2">
        <v>2629</v>
      </c>
    </row>
    <row r="3090" spans="3:6" x14ac:dyDescent="0.25">
      <c r="C3090" s="2" t="s">
        <v>11140</v>
      </c>
      <c r="D3090" s="2" t="s">
        <v>214</v>
      </c>
      <c r="E3090" s="2">
        <v>15</v>
      </c>
      <c r="F3090" s="2">
        <v>203</v>
      </c>
    </row>
    <row r="3091" spans="3:6" x14ac:dyDescent="0.25">
      <c r="C3091" s="2" t="s">
        <v>11141</v>
      </c>
      <c r="D3091" s="2" t="s">
        <v>214</v>
      </c>
      <c r="E3091" s="2">
        <v>105</v>
      </c>
      <c r="F3091" s="2">
        <v>1937</v>
      </c>
    </row>
    <row r="3092" spans="3:6" x14ac:dyDescent="0.25">
      <c r="C3092" s="2" t="s">
        <v>11142</v>
      </c>
      <c r="D3092" s="2" t="s">
        <v>216</v>
      </c>
      <c r="E3092" s="2">
        <v>156</v>
      </c>
      <c r="F3092" s="2">
        <v>2955</v>
      </c>
    </row>
    <row r="3094" spans="3:6" x14ac:dyDescent="0.25">
      <c r="C3094" s="2" t="s">
        <v>11143</v>
      </c>
      <c r="D3094" s="2" t="s">
        <v>342</v>
      </c>
      <c r="E3094" s="2">
        <v>127</v>
      </c>
      <c r="F3094" s="2">
        <v>2488.679</v>
      </c>
    </row>
    <row r="3095" spans="3:6" x14ac:dyDescent="0.25">
      <c r="C3095" s="2" t="s">
        <v>11144</v>
      </c>
      <c r="D3095" s="2" t="s">
        <v>342</v>
      </c>
      <c r="E3095" s="2">
        <v>29</v>
      </c>
      <c r="F3095" s="2">
        <v>515.55</v>
      </c>
    </row>
    <row r="3096" spans="3:6" x14ac:dyDescent="0.25">
      <c r="C3096" s="2" t="s">
        <v>11145</v>
      </c>
      <c r="D3096" s="2" t="s">
        <v>342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380</v>
      </c>
      <c r="C3098" s="2" t="s">
        <v>11146</v>
      </c>
      <c r="D3098" s="2" t="s">
        <v>20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11147</v>
      </c>
      <c r="D3099" s="2" t="s">
        <v>20</v>
      </c>
      <c r="E3099" s="2">
        <v>224</v>
      </c>
      <c r="F3099" s="2">
        <v>4212.487</v>
      </c>
    </row>
    <row r="3100" spans="3:6" x14ac:dyDescent="0.25">
      <c r="C3100" s="2" t="s">
        <v>11148</v>
      </c>
      <c r="D3100" s="2" t="s">
        <v>20</v>
      </c>
      <c r="E3100" s="2">
        <v>149</v>
      </c>
      <c r="F3100" s="2">
        <v>2913.638</v>
      </c>
    </row>
    <row r="3101" spans="3:6" x14ac:dyDescent="0.25">
      <c r="C3101" s="2" t="s">
        <v>11149</v>
      </c>
      <c r="D3101" s="2" t="s">
        <v>20</v>
      </c>
      <c r="E3101" s="2">
        <v>102</v>
      </c>
      <c r="F3101" s="2">
        <v>1980.299</v>
      </c>
    </row>
    <row r="3102" spans="3:6" x14ac:dyDescent="0.25">
      <c r="C3102" s="2" t="s">
        <v>11150</v>
      </c>
      <c r="D3102" s="2" t="s">
        <v>20</v>
      </c>
      <c r="E3102" s="2">
        <v>251</v>
      </c>
      <c r="F3102" s="2">
        <v>4692.05</v>
      </c>
    </row>
    <row r="3103" spans="3:6" x14ac:dyDescent="0.25">
      <c r="C3103" s="2" t="s">
        <v>11151</v>
      </c>
      <c r="D3103" s="2" t="s">
        <v>20</v>
      </c>
      <c r="E3103" s="2">
        <v>259</v>
      </c>
      <c r="F3103" s="2">
        <v>5047.089</v>
      </c>
    </row>
    <row r="3104" spans="3:6" x14ac:dyDescent="0.25">
      <c r="C3104" s="2" t="s">
        <v>11152</v>
      </c>
      <c r="D3104" s="2" t="s">
        <v>20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1585</v>
      </c>
      <c r="C3106" s="2" t="s">
        <v>11153</v>
      </c>
      <c r="D3106" s="2" t="s">
        <v>297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324</v>
      </c>
      <c r="C3108" s="2" t="s">
        <v>11154</v>
      </c>
      <c r="D3108" s="2" t="s">
        <v>27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11155</v>
      </c>
      <c r="D3109" s="2" t="s">
        <v>27</v>
      </c>
      <c r="E3109" s="2">
        <v>98</v>
      </c>
      <c r="F3109" s="2">
        <v>1903.22</v>
      </c>
    </row>
    <row r="3110" spans="3:6" x14ac:dyDescent="0.25">
      <c r="C3110" s="2" t="s">
        <v>11156</v>
      </c>
      <c r="D3110" s="2" t="s">
        <v>27</v>
      </c>
      <c r="E3110" s="2">
        <v>40</v>
      </c>
      <c r="F3110" s="2">
        <v>641.36</v>
      </c>
    </row>
    <row r="3111" spans="3:6" x14ac:dyDescent="0.25">
      <c r="C3111" s="2" t="s">
        <v>11157</v>
      </c>
      <c r="D3111" s="2" t="s">
        <v>27</v>
      </c>
      <c r="E3111" s="2">
        <v>57</v>
      </c>
      <c r="F3111" s="2">
        <v>1067.249</v>
      </c>
    </row>
    <row r="3112" spans="3:6" x14ac:dyDescent="0.25">
      <c r="C3112" s="2" t="s">
        <v>11158</v>
      </c>
      <c r="D3112" s="2" t="s">
        <v>27</v>
      </c>
      <c r="E3112" s="2">
        <v>8</v>
      </c>
      <c r="F3112" s="2">
        <v>148.05</v>
      </c>
    </row>
    <row r="3113" spans="3:6" x14ac:dyDescent="0.25">
      <c r="C3113" s="2" t="s">
        <v>11159</v>
      </c>
      <c r="D3113" s="2" t="s">
        <v>27</v>
      </c>
      <c r="E3113" s="2">
        <v>35</v>
      </c>
      <c r="F3113" s="2">
        <v>663.73</v>
      </c>
    </row>
    <row r="3114" spans="3:6" x14ac:dyDescent="0.25">
      <c r="C3114" s="2" t="s">
        <v>11160</v>
      </c>
      <c r="D3114" s="2" t="s">
        <v>27</v>
      </c>
      <c r="E3114" s="2">
        <v>28</v>
      </c>
      <c r="F3114" s="2">
        <v>491.36</v>
      </c>
    </row>
    <row r="3115" spans="3:6" x14ac:dyDescent="0.25">
      <c r="C3115" s="2" t="s">
        <v>11161</v>
      </c>
      <c r="D3115" s="2" t="s">
        <v>27</v>
      </c>
      <c r="E3115" s="2">
        <v>55</v>
      </c>
      <c r="F3115" s="2">
        <v>1128.89</v>
      </c>
    </row>
    <row r="3116" spans="3:6" x14ac:dyDescent="0.25">
      <c r="C3116" s="2" t="s">
        <v>11162</v>
      </c>
      <c r="D3116" s="2" t="s">
        <v>27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10</v>
      </c>
      <c r="C3118" s="2" t="s">
        <v>11163</v>
      </c>
      <c r="D3118" s="2" t="s">
        <v>12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11164</v>
      </c>
      <c r="D3119" s="2" t="s">
        <v>12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238</v>
      </c>
      <c r="C3122" s="2" t="s">
        <v>11165</v>
      </c>
      <c r="D3122" s="2" t="s">
        <v>342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11166</v>
      </c>
      <c r="D3123" s="2" t="s">
        <v>342</v>
      </c>
      <c r="E3123" s="2">
        <v>156</v>
      </c>
      <c r="F3123" s="2">
        <v>3188.32</v>
      </c>
    </row>
    <row r="3125" spans="3:7" x14ac:dyDescent="0.25">
      <c r="C3125" s="2" t="s">
        <v>11167</v>
      </c>
      <c r="D3125" s="2" t="s">
        <v>204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11168</v>
      </c>
      <c r="D3126" s="2" t="s">
        <v>214</v>
      </c>
      <c r="E3126" s="2">
        <v>56</v>
      </c>
      <c r="F3126" s="2">
        <v>1095.15</v>
      </c>
    </row>
    <row r="3127" spans="3:6" x14ac:dyDescent="0.25">
      <c r="C3127" s="2" t="s">
        <v>11169</v>
      </c>
      <c r="D3127" s="2" t="s">
        <v>214</v>
      </c>
      <c r="E3127" s="2">
        <v>100</v>
      </c>
      <c r="F3127" s="2">
        <v>1834.229</v>
      </c>
    </row>
    <row r="3128" spans="3:6" x14ac:dyDescent="0.25">
      <c r="C3128" s="2" t="s">
        <v>11170</v>
      </c>
      <c r="D3128" s="2" t="s">
        <v>204</v>
      </c>
      <c r="E3128" s="2">
        <v>105</v>
      </c>
      <c r="F3128" s="2">
        <v>2023.15</v>
      </c>
    </row>
    <row r="3129" spans="3:6" x14ac:dyDescent="0.25">
      <c r="C3129" s="2" t="s">
        <v>11171</v>
      </c>
      <c r="D3129" s="2" t="s">
        <v>204</v>
      </c>
      <c r="E3129" s="2">
        <v>36</v>
      </c>
      <c r="F3129" s="2">
        <v>719.32</v>
      </c>
    </row>
    <row r="3130" spans="3:6" x14ac:dyDescent="0.25">
      <c r="C3130" s="2" t="s">
        <v>11172</v>
      </c>
      <c r="D3130" s="2" t="s">
        <v>204</v>
      </c>
      <c r="E3130" s="2">
        <v>163</v>
      </c>
      <c r="F3130" s="2">
        <v>3005.5</v>
      </c>
    </row>
    <row r="3131" spans="3:6" x14ac:dyDescent="0.25">
      <c r="C3131" s="2" t="s">
        <v>11173</v>
      </c>
      <c r="D3131" s="2" t="s">
        <v>204</v>
      </c>
      <c r="E3131" s="2">
        <v>163</v>
      </c>
      <c r="F3131" s="2">
        <v>3116.57</v>
      </c>
    </row>
    <row r="3132" spans="3:6" x14ac:dyDescent="0.25">
      <c r="C3132" s="2" t="s">
        <v>11174</v>
      </c>
      <c r="D3132" s="2" t="s">
        <v>204</v>
      </c>
      <c r="E3132" s="2">
        <v>156</v>
      </c>
      <c r="F3132" s="2">
        <v>2515.69</v>
      </c>
    </row>
    <row r="3133" spans="3:6" x14ac:dyDescent="0.25">
      <c r="C3133" s="2" t="s">
        <v>11175</v>
      </c>
      <c r="D3133" s="2" t="s">
        <v>204</v>
      </c>
      <c r="E3133" s="2">
        <v>163</v>
      </c>
      <c r="F3133" s="2">
        <v>3094.168</v>
      </c>
    </row>
    <row r="3134" spans="3:6" x14ac:dyDescent="0.25">
      <c r="C3134" s="2" t="s">
        <v>11176</v>
      </c>
      <c r="D3134" s="2" t="s">
        <v>204</v>
      </c>
      <c r="E3134" s="2">
        <v>277</v>
      </c>
      <c r="F3134" s="2">
        <v>654.932</v>
      </c>
    </row>
    <row r="3135" spans="3:6" x14ac:dyDescent="0.25">
      <c r="C3135" s="2" t="s">
        <v>11177</v>
      </c>
      <c r="D3135" s="2" t="s">
        <v>204</v>
      </c>
      <c r="E3135" s="2">
        <v>83</v>
      </c>
      <c r="F3135" s="2">
        <v>1558.34</v>
      </c>
    </row>
    <row r="3136" spans="3:6" x14ac:dyDescent="0.25">
      <c r="C3136" s="2" t="s">
        <v>11178</v>
      </c>
      <c r="D3136" s="2" t="s">
        <v>236</v>
      </c>
      <c r="E3136" s="2">
        <v>80</v>
      </c>
      <c r="F3136" s="2">
        <v>1581.32</v>
      </c>
    </row>
    <row r="3137" spans="3:6" x14ac:dyDescent="0.25">
      <c r="C3137" s="2" t="s">
        <v>11179</v>
      </c>
      <c r="D3137" s="2" t="s">
        <v>236</v>
      </c>
      <c r="E3137" s="2">
        <v>17</v>
      </c>
      <c r="F3137" s="2">
        <v>308.57</v>
      </c>
    </row>
    <row r="3138" spans="3:6" x14ac:dyDescent="0.25">
      <c r="C3138" s="2" t="s">
        <v>11180</v>
      </c>
      <c r="D3138" s="2" t="s">
        <v>204</v>
      </c>
      <c r="E3138" s="2">
        <v>87</v>
      </c>
      <c r="F3138" s="2">
        <v>1565.929</v>
      </c>
    </row>
    <row r="3139" spans="3:6" x14ac:dyDescent="0.25">
      <c r="C3139" s="2" t="s">
        <v>11181</v>
      </c>
      <c r="D3139" s="2" t="s">
        <v>204</v>
      </c>
      <c r="E3139" s="2">
        <v>80</v>
      </c>
      <c r="F3139" s="2">
        <v>1607.99</v>
      </c>
    </row>
    <row r="3140" spans="3:6" x14ac:dyDescent="0.25">
      <c r="C3140" s="2" t="s">
        <v>11182</v>
      </c>
      <c r="D3140" s="2" t="s">
        <v>204</v>
      </c>
      <c r="E3140" s="2">
        <v>76</v>
      </c>
      <c r="F3140" s="2">
        <v>1524.429</v>
      </c>
    </row>
    <row r="3141" spans="3:6" x14ac:dyDescent="0.25">
      <c r="C3141" s="2" t="s">
        <v>11183</v>
      </c>
      <c r="D3141" s="2" t="s">
        <v>347</v>
      </c>
      <c r="E3141" s="2">
        <v>87</v>
      </c>
      <c r="F3141" s="2">
        <v>1598.869</v>
      </c>
    </row>
    <row r="3142" spans="3:6" x14ac:dyDescent="0.25">
      <c r="C3142" s="2" t="s">
        <v>11184</v>
      </c>
      <c r="D3142" s="2" t="s">
        <v>347</v>
      </c>
      <c r="E3142" s="2">
        <v>28</v>
      </c>
      <c r="F3142" s="2">
        <v>527.34</v>
      </c>
    </row>
    <row r="3143" spans="3:6" x14ac:dyDescent="0.25">
      <c r="C3143" s="2" t="s">
        <v>11185</v>
      </c>
      <c r="D3143" s="2" t="s">
        <v>347</v>
      </c>
      <c r="E3143" s="2">
        <v>41</v>
      </c>
      <c r="F3143" s="2">
        <v>776.339</v>
      </c>
    </row>
    <row r="3144" spans="3:6" x14ac:dyDescent="0.25">
      <c r="C3144" s="2" t="s">
        <v>11186</v>
      </c>
      <c r="D3144" s="2" t="s">
        <v>204</v>
      </c>
      <c r="E3144" s="2">
        <v>163</v>
      </c>
      <c r="F3144" s="2">
        <v>3139.239</v>
      </c>
    </row>
    <row r="3145" spans="3:6" x14ac:dyDescent="0.25">
      <c r="C3145" s="2" t="s">
        <v>11187</v>
      </c>
      <c r="D3145" s="2" t="s">
        <v>214</v>
      </c>
      <c r="E3145" s="2">
        <v>56</v>
      </c>
      <c r="F3145" s="2">
        <v>1112.44</v>
      </c>
    </row>
    <row r="3146" spans="3:6" x14ac:dyDescent="0.25">
      <c r="C3146" s="2" t="s">
        <v>11188</v>
      </c>
      <c r="D3146" s="2" t="s">
        <v>214</v>
      </c>
      <c r="E3146" s="2">
        <v>100</v>
      </c>
      <c r="F3146" s="2">
        <v>1961.389</v>
      </c>
    </row>
    <row r="3147" spans="3:6" x14ac:dyDescent="0.25">
      <c r="C3147" s="2" t="s">
        <v>11189</v>
      </c>
      <c r="D3147" s="2" t="s">
        <v>214</v>
      </c>
      <c r="E3147" s="2">
        <v>56</v>
      </c>
      <c r="F3147" s="2">
        <v>1074.63</v>
      </c>
    </row>
    <row r="3148" spans="3:6" x14ac:dyDescent="0.25">
      <c r="C3148" s="2" t="s">
        <v>11190</v>
      </c>
      <c r="D3148" s="2" t="s">
        <v>214</v>
      </c>
      <c r="E3148" s="2">
        <v>100</v>
      </c>
      <c r="F3148" s="2">
        <v>1938.67</v>
      </c>
    </row>
    <row r="3149" spans="3:6" x14ac:dyDescent="0.25">
      <c r="C3149" s="2" t="s">
        <v>11191</v>
      </c>
      <c r="D3149" s="2" t="s">
        <v>214</v>
      </c>
      <c r="E3149" s="2">
        <v>56</v>
      </c>
      <c r="F3149" s="2">
        <v>1090.56</v>
      </c>
    </row>
    <row r="3150" spans="3:6" x14ac:dyDescent="0.25">
      <c r="C3150" s="2" t="s">
        <v>11192</v>
      </c>
      <c r="D3150" s="2" t="s">
        <v>214</v>
      </c>
      <c r="E3150" s="2">
        <v>100</v>
      </c>
      <c r="F3150" s="2">
        <v>1931.57</v>
      </c>
    </row>
    <row r="3151" spans="3:6" x14ac:dyDescent="0.25">
      <c r="C3151" s="2" t="s">
        <v>11193</v>
      </c>
      <c r="D3151" s="2" t="s">
        <v>236</v>
      </c>
      <c r="E3151" s="2">
        <v>60</v>
      </c>
      <c r="F3151" s="2">
        <v>1084.04</v>
      </c>
    </row>
    <row r="3152" spans="3:6" x14ac:dyDescent="0.25">
      <c r="C3152" s="2" t="s">
        <v>11194</v>
      </c>
      <c r="D3152" s="2" t="s">
        <v>236</v>
      </c>
      <c r="E3152" s="2">
        <v>45</v>
      </c>
      <c r="F3152" s="2">
        <v>811.97</v>
      </c>
    </row>
    <row r="3153" spans="3:6" x14ac:dyDescent="0.25">
      <c r="C3153" s="2" t="s">
        <v>11195</v>
      </c>
      <c r="D3153" s="2" t="s">
        <v>204</v>
      </c>
      <c r="E3153" s="2">
        <v>94</v>
      </c>
      <c r="F3153" s="2">
        <v>1709.1</v>
      </c>
    </row>
    <row r="3154" spans="3:6" x14ac:dyDescent="0.25">
      <c r="C3154" s="2" t="s">
        <v>11196</v>
      </c>
      <c r="D3154" s="2" t="s">
        <v>204</v>
      </c>
      <c r="E3154" s="2">
        <v>163</v>
      </c>
      <c r="F3154" s="2">
        <v>3073.08</v>
      </c>
    </row>
    <row r="3155" spans="3:6" x14ac:dyDescent="0.25">
      <c r="C3155" s="2" t="s">
        <v>11197</v>
      </c>
      <c r="D3155" s="2" t="s">
        <v>204</v>
      </c>
      <c r="E3155" s="2">
        <v>163</v>
      </c>
      <c r="F3155" s="2">
        <v>2850.459</v>
      </c>
    </row>
    <row r="3156" spans="3:6" x14ac:dyDescent="0.25">
      <c r="C3156" s="2" t="s">
        <v>11198</v>
      </c>
      <c r="D3156" s="2" t="s">
        <v>204</v>
      </c>
      <c r="E3156" s="2">
        <v>163</v>
      </c>
      <c r="F3156" s="2">
        <v>2833.75</v>
      </c>
    </row>
    <row r="3157" spans="3:6" x14ac:dyDescent="0.25">
      <c r="C3157" s="2" t="s">
        <v>11199</v>
      </c>
      <c r="D3157" s="2" t="s">
        <v>204</v>
      </c>
      <c r="E3157" s="2">
        <v>105</v>
      </c>
      <c r="F3157" s="2">
        <v>2080.899</v>
      </c>
    </row>
    <row r="3158" spans="3:6" x14ac:dyDescent="0.25">
      <c r="C3158" s="2" t="s">
        <v>11200</v>
      </c>
      <c r="D3158" s="2" t="s">
        <v>204</v>
      </c>
      <c r="E3158" s="2">
        <v>105</v>
      </c>
      <c r="F3158" s="2">
        <v>2068.63</v>
      </c>
    </row>
    <row r="3159" spans="3:6" x14ac:dyDescent="0.25">
      <c r="C3159" s="2" t="s">
        <v>11201</v>
      </c>
      <c r="D3159" s="2" t="s">
        <v>204</v>
      </c>
      <c r="E3159" s="2">
        <v>134</v>
      </c>
      <c r="F3159" s="2">
        <v>2651.289</v>
      </c>
    </row>
    <row r="3160" spans="3:6" x14ac:dyDescent="0.25">
      <c r="C3160" s="2" t="s">
        <v>11202</v>
      </c>
      <c r="D3160" s="2" t="s">
        <v>204</v>
      </c>
      <c r="E3160" s="2">
        <v>134</v>
      </c>
      <c r="F3160" s="2">
        <v>2607.398</v>
      </c>
    </row>
    <row r="3161" spans="3:6" x14ac:dyDescent="0.25">
      <c r="C3161" s="2" t="s">
        <v>11203</v>
      </c>
      <c r="D3161" s="2" t="s">
        <v>204</v>
      </c>
      <c r="E3161" s="2">
        <v>134</v>
      </c>
      <c r="F3161" s="2">
        <v>2560.04</v>
      </c>
    </row>
    <row r="3162" spans="3:6" x14ac:dyDescent="0.25">
      <c r="C3162" s="2" t="s">
        <v>11204</v>
      </c>
      <c r="D3162" s="2" t="s">
        <v>204</v>
      </c>
      <c r="E3162" s="2">
        <v>134</v>
      </c>
      <c r="F3162" s="2">
        <v>2542</v>
      </c>
    </row>
    <row r="3163" spans="3:6" x14ac:dyDescent="0.25">
      <c r="C3163" s="2" t="s">
        <v>11205</v>
      </c>
      <c r="D3163" s="2" t="s">
        <v>204</v>
      </c>
      <c r="E3163" s="2">
        <v>134</v>
      </c>
      <c r="F3163" s="2">
        <v>2602.198</v>
      </c>
    </row>
    <row r="3164" spans="3:6" x14ac:dyDescent="0.25">
      <c r="C3164" s="2" t="s">
        <v>11206</v>
      </c>
      <c r="D3164" s="2" t="s">
        <v>236</v>
      </c>
      <c r="E3164" s="2">
        <v>25</v>
      </c>
      <c r="F3164" s="2">
        <v>495.8</v>
      </c>
    </row>
    <row r="3165" spans="3:6" x14ac:dyDescent="0.25">
      <c r="C3165" s="2" t="s">
        <v>11207</v>
      </c>
      <c r="D3165" s="2" t="s">
        <v>236</v>
      </c>
      <c r="E3165" s="2">
        <v>80</v>
      </c>
      <c r="F3165" s="2">
        <v>1582.71</v>
      </c>
    </row>
    <row r="3166" spans="3:6" x14ac:dyDescent="0.25">
      <c r="C3166" s="2" t="s">
        <v>11208</v>
      </c>
      <c r="D3166" s="2" t="s">
        <v>204</v>
      </c>
      <c r="E3166" s="2">
        <v>69</v>
      </c>
      <c r="F3166" s="2">
        <v>1281</v>
      </c>
    </row>
    <row r="3167" spans="3:6" x14ac:dyDescent="0.25">
      <c r="C3167" s="2" t="s">
        <v>11209</v>
      </c>
      <c r="D3167" s="2" t="s">
        <v>236</v>
      </c>
      <c r="E3167" s="2">
        <v>8</v>
      </c>
      <c r="F3167" s="2">
        <v>157</v>
      </c>
    </row>
    <row r="3169" spans="2:6" x14ac:dyDescent="0.25">
      <c r="B3169" s="2" t="s">
        <v>2077</v>
      </c>
      <c r="C3169" s="2" t="s">
        <v>11210</v>
      </c>
      <c r="D3169" s="2" t="s">
        <v>214</v>
      </c>
      <c r="E3169" s="2">
        <v>156</v>
      </c>
      <c r="F3169" s="2">
        <v>2911.62</v>
      </c>
    </row>
    <row r="3170" spans="3:6" x14ac:dyDescent="0.25">
      <c r="C3170" s="2" t="s">
        <v>11211</v>
      </c>
      <c r="D3170" s="2" t="s">
        <v>214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1101</v>
      </c>
      <c r="C3172" s="2" t="s">
        <v>11212</v>
      </c>
      <c r="D3172" s="2" t="s">
        <v>20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11213</v>
      </c>
      <c r="D3173" s="2" t="s">
        <v>20</v>
      </c>
      <c r="E3173" s="2">
        <v>105</v>
      </c>
      <c r="F3173" s="2">
        <v>1999.09</v>
      </c>
    </row>
    <row r="3174" spans="3:6" x14ac:dyDescent="0.25">
      <c r="C3174" s="2" t="s">
        <v>11214</v>
      </c>
      <c r="D3174" s="2" t="s">
        <v>20</v>
      </c>
      <c r="E3174" s="2">
        <v>105</v>
      </c>
      <c r="F3174" s="2">
        <v>1975.92</v>
      </c>
    </row>
    <row r="3175" spans="3:6" x14ac:dyDescent="0.25">
      <c r="C3175" s="2" t="s">
        <v>11215</v>
      </c>
      <c r="D3175" s="2" t="s">
        <v>20</v>
      </c>
      <c r="E3175" s="2">
        <v>105</v>
      </c>
      <c r="F3175" s="2">
        <v>2069.34</v>
      </c>
    </row>
    <row r="3176" spans="3:6" x14ac:dyDescent="0.25">
      <c r="C3176" s="2" t="s">
        <v>11216</v>
      </c>
      <c r="D3176" s="2" t="s">
        <v>20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1434</v>
      </c>
      <c r="C3178" s="2" t="s">
        <v>11217</v>
      </c>
      <c r="D3178" s="2" t="s">
        <v>122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11218</v>
      </c>
      <c r="D3179" s="2" t="s">
        <v>122</v>
      </c>
      <c r="E3179" s="2">
        <v>141</v>
      </c>
      <c r="F3179" s="2">
        <v>2826.37</v>
      </c>
    </row>
    <row r="3180" spans="3:6" x14ac:dyDescent="0.25">
      <c r="C3180" s="2" t="s">
        <v>11219</v>
      </c>
      <c r="D3180" s="2" t="s">
        <v>122</v>
      </c>
      <c r="E3180" s="2">
        <v>141</v>
      </c>
      <c r="F3180" s="2">
        <v>2736.9</v>
      </c>
    </row>
    <row r="3181" spans="3:6" x14ac:dyDescent="0.25">
      <c r="C3181" s="2" t="s">
        <v>11220</v>
      </c>
      <c r="D3181" s="2" t="s">
        <v>122</v>
      </c>
      <c r="E3181" s="2">
        <v>111</v>
      </c>
      <c r="F3181" s="2">
        <v>2214.7</v>
      </c>
    </row>
    <row r="3182" spans="3:6" x14ac:dyDescent="0.25">
      <c r="C3182" s="2" t="s">
        <v>11221</v>
      </c>
      <c r="D3182" s="2" t="s">
        <v>122</v>
      </c>
      <c r="E3182" s="2">
        <v>30</v>
      </c>
      <c r="F3182" s="2">
        <v>611.23</v>
      </c>
    </row>
    <row r="3183" spans="3:6" x14ac:dyDescent="0.25">
      <c r="C3183" s="2" t="s">
        <v>11222</v>
      </c>
      <c r="D3183" s="2" t="s">
        <v>122</v>
      </c>
      <c r="E3183" s="2">
        <v>6</v>
      </c>
      <c r="F3183" s="2">
        <v>82.75</v>
      </c>
    </row>
    <row r="3184" spans="3:6" x14ac:dyDescent="0.25">
      <c r="C3184" s="2" t="s">
        <v>11223</v>
      </c>
      <c r="D3184" s="2" t="s">
        <v>122</v>
      </c>
      <c r="E3184" s="2">
        <v>3</v>
      </c>
      <c r="F3184" s="2">
        <v>10.53</v>
      </c>
    </row>
    <row r="3185" spans="3:6" x14ac:dyDescent="0.25">
      <c r="C3185" s="2" t="s">
        <v>11224</v>
      </c>
      <c r="D3185" s="2" t="s">
        <v>122</v>
      </c>
      <c r="E3185" s="2">
        <v>33</v>
      </c>
      <c r="F3185" s="2">
        <v>661.13</v>
      </c>
    </row>
    <row r="3186" spans="3:6" x14ac:dyDescent="0.25">
      <c r="C3186" s="2" t="s">
        <v>11225</v>
      </c>
      <c r="D3186" s="2" t="s">
        <v>122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1289</v>
      </c>
      <c r="C3188" s="2" t="s">
        <v>11226</v>
      </c>
      <c r="D3188" s="2" t="s">
        <v>9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11227</v>
      </c>
      <c r="D3189" s="2" t="s">
        <v>9</v>
      </c>
      <c r="E3189" s="2">
        <v>45</v>
      </c>
      <c r="F3189" s="2">
        <v>186.229</v>
      </c>
    </row>
    <row r="3190" spans="3:6" x14ac:dyDescent="0.25">
      <c r="C3190" s="2" t="s">
        <v>11228</v>
      </c>
      <c r="D3190" s="2" t="s">
        <v>9</v>
      </c>
      <c r="E3190" s="2">
        <v>71</v>
      </c>
      <c r="F3190" s="2">
        <v>293.619</v>
      </c>
    </row>
    <row r="3191" spans="3:6" x14ac:dyDescent="0.25">
      <c r="C3191" s="2" t="s">
        <v>11229</v>
      </c>
      <c r="D3191" s="2" t="s">
        <v>9</v>
      </c>
      <c r="E3191" s="2">
        <v>123</v>
      </c>
      <c r="F3191" s="2">
        <v>2475.48</v>
      </c>
    </row>
    <row r="3192" spans="3:6" x14ac:dyDescent="0.25">
      <c r="C3192" s="2" t="s">
        <v>11230</v>
      </c>
      <c r="D3192" s="2" t="s">
        <v>9</v>
      </c>
      <c r="E3192" s="2">
        <v>123</v>
      </c>
      <c r="F3192" s="2">
        <v>2398.149</v>
      </c>
    </row>
    <row r="3193" spans="3:6" x14ac:dyDescent="0.25">
      <c r="C3193" s="2" t="s">
        <v>11231</v>
      </c>
      <c r="D3193" s="2" t="s">
        <v>9</v>
      </c>
      <c r="E3193" s="2">
        <v>123</v>
      </c>
      <c r="F3193" s="2">
        <v>2632.43</v>
      </c>
    </row>
    <row r="3194" spans="3:6" x14ac:dyDescent="0.25">
      <c r="C3194" s="2" t="s">
        <v>11232</v>
      </c>
      <c r="D3194" s="2" t="s">
        <v>9</v>
      </c>
      <c r="E3194" s="2">
        <v>74</v>
      </c>
      <c r="F3194" s="2">
        <v>1428.54</v>
      </c>
    </row>
    <row r="3195" spans="3:6" x14ac:dyDescent="0.25">
      <c r="C3195" s="2" t="s">
        <v>11233</v>
      </c>
      <c r="D3195" s="2" t="s">
        <v>9</v>
      </c>
      <c r="E3195" s="2">
        <v>60</v>
      </c>
      <c r="F3195" s="2">
        <v>1195.829</v>
      </c>
    </row>
    <row r="3196" spans="3:6" x14ac:dyDescent="0.25">
      <c r="C3196" s="2" t="s">
        <v>11234</v>
      </c>
      <c r="D3196" s="2" t="s">
        <v>9</v>
      </c>
      <c r="E3196" s="2">
        <v>282</v>
      </c>
      <c r="F3196" s="2">
        <v>5954.03</v>
      </c>
    </row>
    <row r="3197" spans="3:6" x14ac:dyDescent="0.25">
      <c r="C3197" s="2" t="s">
        <v>11235</v>
      </c>
      <c r="D3197" s="2" t="s">
        <v>9</v>
      </c>
      <c r="E3197" s="2">
        <v>123</v>
      </c>
      <c r="F3197" s="2">
        <v>2513.22</v>
      </c>
    </row>
    <row r="3198" spans="3:6" x14ac:dyDescent="0.25">
      <c r="C3198" s="2" t="s">
        <v>11236</v>
      </c>
      <c r="D3198" s="2" t="s">
        <v>9</v>
      </c>
      <c r="E3198" s="2">
        <v>102</v>
      </c>
      <c r="F3198" s="2">
        <v>2140.36</v>
      </c>
    </row>
    <row r="3199" spans="3:6" x14ac:dyDescent="0.25">
      <c r="C3199" s="2" t="s">
        <v>11237</v>
      </c>
      <c r="D3199" s="2" t="s">
        <v>9</v>
      </c>
      <c r="E3199" s="2">
        <v>102</v>
      </c>
      <c r="F3199" s="2">
        <v>1965.64</v>
      </c>
    </row>
    <row r="3200" spans="3:6" x14ac:dyDescent="0.25">
      <c r="C3200" s="2" t="s">
        <v>11238</v>
      </c>
      <c r="D3200" s="2" t="s">
        <v>9</v>
      </c>
      <c r="E3200" s="2">
        <v>141</v>
      </c>
      <c r="F3200" s="2">
        <v>2982.529</v>
      </c>
    </row>
    <row r="3201" spans="3:6" x14ac:dyDescent="0.25">
      <c r="C3201" s="2" t="s">
        <v>11239</v>
      </c>
      <c r="D3201" s="2" t="s">
        <v>9</v>
      </c>
      <c r="E3201" s="2">
        <v>282</v>
      </c>
      <c r="F3201" s="2">
        <v>5780.709</v>
      </c>
    </row>
    <row r="3202" spans="3:6" x14ac:dyDescent="0.25">
      <c r="C3202" s="2" t="s">
        <v>11240</v>
      </c>
      <c r="D3202" s="2" t="s">
        <v>9</v>
      </c>
      <c r="E3202" s="2">
        <v>141</v>
      </c>
      <c r="F3202" s="2">
        <v>2868.75</v>
      </c>
    </row>
    <row r="3203" spans="3:6" x14ac:dyDescent="0.25">
      <c r="C3203" s="2" t="s">
        <v>11241</v>
      </c>
      <c r="D3203" s="2" t="s">
        <v>9</v>
      </c>
      <c r="E3203" s="2">
        <v>141</v>
      </c>
      <c r="F3203" s="2">
        <v>2882.84</v>
      </c>
    </row>
    <row r="3204" spans="3:6" x14ac:dyDescent="0.25">
      <c r="C3204" s="2" t="s">
        <v>11242</v>
      </c>
      <c r="D3204" s="2" t="s">
        <v>9</v>
      </c>
      <c r="E3204" s="2">
        <v>141</v>
      </c>
      <c r="F3204" s="2">
        <v>2809.27</v>
      </c>
    </row>
    <row r="3205" spans="3:6" x14ac:dyDescent="0.25">
      <c r="C3205" s="2" t="s">
        <v>11243</v>
      </c>
      <c r="D3205" s="2" t="s">
        <v>9</v>
      </c>
      <c r="E3205" s="2">
        <v>141</v>
      </c>
      <c r="F3205" s="2">
        <v>2885.65</v>
      </c>
    </row>
    <row r="3206" spans="3:6" x14ac:dyDescent="0.25">
      <c r="C3206" s="2" t="s">
        <v>11244</v>
      </c>
      <c r="D3206" s="2" t="s">
        <v>9</v>
      </c>
      <c r="E3206" s="2">
        <v>282</v>
      </c>
      <c r="F3206" s="2">
        <v>5782.529</v>
      </c>
    </row>
    <row r="3207" spans="3:6" x14ac:dyDescent="0.25">
      <c r="C3207" s="2" t="s">
        <v>11245</v>
      </c>
      <c r="D3207" s="2" t="s">
        <v>9</v>
      </c>
      <c r="E3207" s="2">
        <v>141</v>
      </c>
      <c r="F3207" s="2">
        <v>2923.179</v>
      </c>
    </row>
    <row r="3208" spans="3:6" x14ac:dyDescent="0.25">
      <c r="C3208" s="2" t="s">
        <v>11246</v>
      </c>
      <c r="D3208" s="2" t="s">
        <v>9</v>
      </c>
      <c r="E3208" s="2">
        <v>102</v>
      </c>
      <c r="F3208" s="2">
        <v>2121.11</v>
      </c>
    </row>
    <row r="3209" spans="3:6" x14ac:dyDescent="0.25">
      <c r="C3209" s="2" t="s">
        <v>11247</v>
      </c>
      <c r="D3209" s="2" t="s">
        <v>9</v>
      </c>
      <c r="E3209" s="2">
        <v>141</v>
      </c>
      <c r="F3209" s="2">
        <v>2959.09</v>
      </c>
    </row>
    <row r="3210" spans="3:6" x14ac:dyDescent="0.25">
      <c r="C3210" s="2" t="s">
        <v>11248</v>
      </c>
      <c r="D3210" s="2" t="s">
        <v>9</v>
      </c>
      <c r="E3210" s="2">
        <v>102</v>
      </c>
      <c r="F3210" s="2">
        <v>2104.06</v>
      </c>
    </row>
    <row r="3211" spans="3:6" x14ac:dyDescent="0.25">
      <c r="C3211" s="2" t="s">
        <v>11249</v>
      </c>
      <c r="D3211" s="2" t="s">
        <v>9</v>
      </c>
      <c r="E3211" s="2">
        <v>75</v>
      </c>
      <c r="F3211" s="2">
        <v>1536.01</v>
      </c>
    </row>
    <row r="3212" spans="3:6" x14ac:dyDescent="0.25">
      <c r="C3212" s="2" t="s">
        <v>11250</v>
      </c>
      <c r="D3212" s="2" t="s">
        <v>9</v>
      </c>
      <c r="E3212" s="2">
        <v>15</v>
      </c>
      <c r="F3212" s="2">
        <v>321.29</v>
      </c>
    </row>
    <row r="3213" spans="3:6" x14ac:dyDescent="0.25">
      <c r="C3213" s="2" t="s">
        <v>11251</v>
      </c>
      <c r="D3213" s="2" t="s">
        <v>9</v>
      </c>
      <c r="E3213" s="2">
        <v>7</v>
      </c>
      <c r="F3213" s="2">
        <v>126.85</v>
      </c>
    </row>
    <row r="3214" spans="3:6" x14ac:dyDescent="0.25">
      <c r="C3214" s="2" t="s">
        <v>11252</v>
      </c>
      <c r="D3214" s="2" t="s">
        <v>9</v>
      </c>
      <c r="E3214" s="2">
        <v>46</v>
      </c>
      <c r="F3214" s="2">
        <v>874.86</v>
      </c>
    </row>
    <row r="3215" spans="3:6" x14ac:dyDescent="0.25">
      <c r="C3215" s="2" t="s">
        <v>11253</v>
      </c>
      <c r="D3215" s="2" t="s">
        <v>9</v>
      </c>
      <c r="E3215" s="2">
        <v>23</v>
      </c>
      <c r="F3215" s="2">
        <v>430.59</v>
      </c>
    </row>
    <row r="3216" spans="3:6" x14ac:dyDescent="0.25">
      <c r="C3216" s="2" t="s">
        <v>11254</v>
      </c>
      <c r="D3216" s="2" t="s">
        <v>9</v>
      </c>
      <c r="E3216" s="2">
        <v>12</v>
      </c>
      <c r="F3216" s="2">
        <v>245.84</v>
      </c>
    </row>
    <row r="3217" spans="3:6" x14ac:dyDescent="0.25">
      <c r="C3217" s="2" t="s">
        <v>11255</v>
      </c>
      <c r="D3217" s="2" t="s">
        <v>9</v>
      </c>
      <c r="E3217" s="2">
        <v>103</v>
      </c>
      <c r="F3217" s="2">
        <v>2171.14</v>
      </c>
    </row>
    <row r="3218" spans="3:6" x14ac:dyDescent="0.25">
      <c r="C3218" s="2" t="s">
        <v>11256</v>
      </c>
      <c r="D3218" s="2" t="s">
        <v>9</v>
      </c>
      <c r="E3218" s="2">
        <v>38</v>
      </c>
      <c r="F3218" s="2">
        <v>779.12</v>
      </c>
    </row>
    <row r="3219" spans="3:6" x14ac:dyDescent="0.25">
      <c r="C3219" s="2" t="s">
        <v>11257</v>
      </c>
      <c r="D3219" s="2" t="s">
        <v>9</v>
      </c>
      <c r="E3219" s="2">
        <v>83</v>
      </c>
      <c r="F3219" s="2">
        <v>1699.01</v>
      </c>
    </row>
    <row r="3220" spans="3:6" x14ac:dyDescent="0.25">
      <c r="C3220" s="2" t="s">
        <v>11258</v>
      </c>
      <c r="D3220" s="2" t="s">
        <v>9</v>
      </c>
      <c r="E3220" s="2">
        <v>39</v>
      </c>
      <c r="F3220" s="2">
        <v>766.42</v>
      </c>
    </row>
    <row r="3221" spans="3:6" x14ac:dyDescent="0.25">
      <c r="C3221" s="2" t="s">
        <v>11259</v>
      </c>
      <c r="D3221" s="2" t="s">
        <v>9</v>
      </c>
      <c r="E3221" s="2">
        <v>20</v>
      </c>
      <c r="F3221" s="2">
        <v>448.94</v>
      </c>
    </row>
    <row r="3222" spans="3:6" x14ac:dyDescent="0.25">
      <c r="C3222" s="2" t="s">
        <v>11260</v>
      </c>
      <c r="D3222" s="2" t="s">
        <v>9</v>
      </c>
      <c r="E3222" s="2">
        <v>102</v>
      </c>
      <c r="F3222" s="2">
        <v>2112.63</v>
      </c>
    </row>
    <row r="3223" spans="3:6" x14ac:dyDescent="0.25">
      <c r="C3223" s="2" t="s">
        <v>11261</v>
      </c>
      <c r="D3223" s="2" t="s">
        <v>9</v>
      </c>
      <c r="E3223" s="2">
        <v>47</v>
      </c>
      <c r="F3223" s="2">
        <v>908.259</v>
      </c>
    </row>
    <row r="3224" spans="3:6" x14ac:dyDescent="0.25">
      <c r="C3224" s="2" t="s">
        <v>11262</v>
      </c>
      <c r="D3224" s="2" t="s">
        <v>9</v>
      </c>
      <c r="E3224" s="2">
        <v>55</v>
      </c>
      <c r="F3224" s="2">
        <v>1137.11</v>
      </c>
    </row>
    <row r="3225" spans="3:6" x14ac:dyDescent="0.25">
      <c r="C3225" s="2" t="s">
        <v>11263</v>
      </c>
      <c r="D3225" s="2" t="s">
        <v>9</v>
      </c>
      <c r="E3225" s="2">
        <v>141</v>
      </c>
      <c r="F3225" s="2">
        <v>2810.82</v>
      </c>
    </row>
    <row r="3226" spans="3:6" x14ac:dyDescent="0.25">
      <c r="C3226" s="2" t="s">
        <v>11264</v>
      </c>
      <c r="D3226" s="2" t="s">
        <v>9</v>
      </c>
      <c r="E3226" s="2">
        <v>53</v>
      </c>
      <c r="F3226" s="2">
        <v>926.95</v>
      </c>
    </row>
    <row r="3227" spans="3:6" x14ac:dyDescent="0.25">
      <c r="C3227" s="2" t="s">
        <v>11265</v>
      </c>
      <c r="D3227" s="2" t="s">
        <v>9</v>
      </c>
      <c r="E3227" s="2">
        <v>50</v>
      </c>
      <c r="F3227" s="2">
        <v>1003.21</v>
      </c>
    </row>
    <row r="3228" spans="3:6" x14ac:dyDescent="0.25">
      <c r="C3228" s="2" t="s">
        <v>11266</v>
      </c>
      <c r="D3228" s="2" t="s">
        <v>9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120</v>
      </c>
      <c r="C3230" s="2" t="s">
        <v>11267</v>
      </c>
      <c r="D3230" s="2" t="s">
        <v>42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11268</v>
      </c>
      <c r="D3231" s="2" t="s">
        <v>42</v>
      </c>
      <c r="E3231" s="2">
        <v>5</v>
      </c>
      <c r="F3231" s="2">
        <v>119.02</v>
      </c>
    </row>
    <row r="3232" spans="3:6" x14ac:dyDescent="0.25">
      <c r="C3232" s="2" t="s">
        <v>11269</v>
      </c>
      <c r="D3232" s="2" t="s">
        <v>42</v>
      </c>
      <c r="E3232" s="2">
        <v>60</v>
      </c>
      <c r="F3232" s="2">
        <v>315.72</v>
      </c>
    </row>
    <row r="3233" spans="3:6" x14ac:dyDescent="0.25">
      <c r="C3233" s="2" t="s">
        <v>11270</v>
      </c>
      <c r="D3233" s="2" t="s">
        <v>42</v>
      </c>
      <c r="E3233" s="2">
        <v>81</v>
      </c>
      <c r="F3233" s="2">
        <v>1598.91</v>
      </c>
    </row>
    <row r="3234" spans="3:6" x14ac:dyDescent="0.25">
      <c r="C3234" s="2" t="s">
        <v>11271</v>
      </c>
      <c r="D3234" s="2" t="s">
        <v>42</v>
      </c>
      <c r="E3234" s="2">
        <v>60</v>
      </c>
      <c r="F3234" s="2">
        <v>1246.06</v>
      </c>
    </row>
    <row r="3235" spans="3:6" x14ac:dyDescent="0.25">
      <c r="C3235" s="2" t="s">
        <v>11272</v>
      </c>
      <c r="D3235" s="2" t="s">
        <v>42</v>
      </c>
      <c r="E3235" s="2">
        <v>141</v>
      </c>
      <c r="F3235" s="2">
        <v>2896.49</v>
      </c>
    </row>
    <row r="3236" spans="3:6" x14ac:dyDescent="0.25">
      <c r="C3236" s="2" t="s">
        <v>11273</v>
      </c>
      <c r="D3236" s="2" t="s">
        <v>42</v>
      </c>
      <c r="E3236" s="2">
        <v>127</v>
      </c>
      <c r="F3236" s="2">
        <v>2060.222</v>
      </c>
    </row>
    <row r="3237" spans="3:6" x14ac:dyDescent="0.25">
      <c r="C3237" s="2" t="s">
        <v>11274</v>
      </c>
      <c r="D3237" s="2" t="s">
        <v>42</v>
      </c>
      <c r="E3237" s="2">
        <v>141</v>
      </c>
      <c r="F3237" s="2">
        <v>2803.839</v>
      </c>
    </row>
    <row r="3238" spans="3:6" x14ac:dyDescent="0.25">
      <c r="C3238" s="2" t="s">
        <v>11275</v>
      </c>
      <c r="D3238" s="2" t="s">
        <v>42</v>
      </c>
      <c r="E3238" s="2">
        <v>141</v>
      </c>
      <c r="F3238" s="2">
        <v>2830.689</v>
      </c>
    </row>
    <row r="3239" spans="3:6" x14ac:dyDescent="0.25">
      <c r="C3239" s="2" t="s">
        <v>11276</v>
      </c>
      <c r="D3239" s="2" t="s">
        <v>42</v>
      </c>
      <c r="E3239" s="2">
        <v>141</v>
      </c>
      <c r="F3239" s="2">
        <v>2760.149</v>
      </c>
    </row>
    <row r="3240" spans="3:6" x14ac:dyDescent="0.25">
      <c r="C3240" s="2" t="s">
        <v>11277</v>
      </c>
      <c r="D3240" s="2" t="s">
        <v>42</v>
      </c>
      <c r="E3240" s="2">
        <v>123</v>
      </c>
      <c r="F3240" s="2">
        <v>2508.64</v>
      </c>
    </row>
    <row r="3241" spans="3:6" x14ac:dyDescent="0.25">
      <c r="C3241" s="2" t="s">
        <v>11278</v>
      </c>
      <c r="D3241" s="2" t="s">
        <v>42</v>
      </c>
      <c r="E3241" s="2">
        <v>141</v>
      </c>
      <c r="F3241" s="2">
        <v>2918.97</v>
      </c>
    </row>
    <row r="3242" spans="3:6" x14ac:dyDescent="0.25">
      <c r="C3242" s="2" t="s">
        <v>11279</v>
      </c>
      <c r="D3242" s="2" t="s">
        <v>42</v>
      </c>
      <c r="E3242" s="2">
        <v>141</v>
      </c>
      <c r="F3242" s="2">
        <v>2895</v>
      </c>
    </row>
    <row r="3243" spans="3:6" x14ac:dyDescent="0.25">
      <c r="C3243" s="2" t="s">
        <v>11280</v>
      </c>
      <c r="D3243" s="2" t="s">
        <v>42</v>
      </c>
      <c r="E3243" s="2">
        <v>102</v>
      </c>
      <c r="F3243" s="2">
        <v>2025.369</v>
      </c>
    </row>
    <row r="3244" spans="3:6" x14ac:dyDescent="0.25">
      <c r="C3244" s="2" t="s">
        <v>11281</v>
      </c>
      <c r="D3244" s="2" t="s">
        <v>42</v>
      </c>
      <c r="E3244" s="2">
        <v>102</v>
      </c>
      <c r="F3244" s="2">
        <v>2119.09</v>
      </c>
    </row>
    <row r="3245" spans="3:6" x14ac:dyDescent="0.25">
      <c r="C3245" s="2" t="s">
        <v>11282</v>
      </c>
      <c r="D3245" s="2" t="s">
        <v>42</v>
      </c>
      <c r="E3245" s="2">
        <v>116</v>
      </c>
      <c r="F3245" s="2">
        <v>2399.29</v>
      </c>
    </row>
    <row r="3246" spans="3:6" x14ac:dyDescent="0.25">
      <c r="C3246" s="2" t="s">
        <v>11283</v>
      </c>
      <c r="D3246" s="2" t="s">
        <v>42</v>
      </c>
      <c r="E3246" s="2">
        <v>50</v>
      </c>
      <c r="F3246" s="2">
        <v>247.79</v>
      </c>
    </row>
    <row r="3247" spans="3:6" x14ac:dyDescent="0.25">
      <c r="C3247" s="2" t="s">
        <v>11284</v>
      </c>
      <c r="D3247" s="2" t="s">
        <v>42</v>
      </c>
      <c r="E3247" s="2">
        <v>123</v>
      </c>
      <c r="F3247" s="2">
        <v>2656.24</v>
      </c>
    </row>
    <row r="3248" spans="3:6" x14ac:dyDescent="0.25">
      <c r="C3248" s="2" t="s">
        <v>11285</v>
      </c>
      <c r="D3248" s="2" t="s">
        <v>42</v>
      </c>
      <c r="E3248" s="2">
        <v>5</v>
      </c>
      <c r="F3248" s="2">
        <v>126.58</v>
      </c>
    </row>
    <row r="3249" spans="3:6" x14ac:dyDescent="0.25">
      <c r="C3249" s="2" t="s">
        <v>11286</v>
      </c>
      <c r="D3249" s="2" t="s">
        <v>42</v>
      </c>
      <c r="E3249" s="2">
        <v>113</v>
      </c>
      <c r="F3249" s="2">
        <v>2259.549</v>
      </c>
    </row>
    <row r="3250" spans="3:6" x14ac:dyDescent="0.25">
      <c r="C3250" s="2" t="s">
        <v>11287</v>
      </c>
      <c r="D3250" s="2" t="s">
        <v>42</v>
      </c>
      <c r="E3250" s="2">
        <v>40</v>
      </c>
      <c r="F3250" s="2">
        <v>783.389</v>
      </c>
    </row>
    <row r="3251" spans="3:6" x14ac:dyDescent="0.25">
      <c r="C3251" s="2" t="s">
        <v>11288</v>
      </c>
      <c r="D3251" s="2" t="s">
        <v>42</v>
      </c>
      <c r="E3251" s="2">
        <v>94</v>
      </c>
      <c r="F3251" s="2">
        <v>1796.89</v>
      </c>
    </row>
    <row r="3252" spans="3:6" x14ac:dyDescent="0.25">
      <c r="C3252" s="2" t="s">
        <v>11289</v>
      </c>
      <c r="D3252" s="2" t="s">
        <v>42</v>
      </c>
      <c r="E3252" s="2">
        <v>32</v>
      </c>
      <c r="F3252" s="2">
        <v>691.55</v>
      </c>
    </row>
    <row r="3253" spans="3:6" x14ac:dyDescent="0.25">
      <c r="C3253" s="2" t="s">
        <v>11290</v>
      </c>
      <c r="D3253" s="2" t="s">
        <v>42</v>
      </c>
      <c r="E3253" s="2">
        <v>80</v>
      </c>
      <c r="F3253" s="2">
        <v>1616.4</v>
      </c>
    </row>
    <row r="3254" spans="3:6" x14ac:dyDescent="0.25">
      <c r="C3254" s="2" t="s">
        <v>11291</v>
      </c>
      <c r="D3254" s="2" t="s">
        <v>42</v>
      </c>
      <c r="E3254" s="2">
        <v>29</v>
      </c>
      <c r="F3254" s="2">
        <v>519.02</v>
      </c>
    </row>
    <row r="3255" spans="3:6" x14ac:dyDescent="0.25">
      <c r="C3255" s="2" t="s">
        <v>11292</v>
      </c>
      <c r="D3255" s="2" t="s">
        <v>42</v>
      </c>
      <c r="E3255" s="2">
        <v>62</v>
      </c>
      <c r="F3255" s="2">
        <v>1266.07</v>
      </c>
    </row>
    <row r="3256" spans="3:6" x14ac:dyDescent="0.25">
      <c r="C3256" s="2" t="s">
        <v>11293</v>
      </c>
      <c r="D3256" s="2" t="s">
        <v>42</v>
      </c>
      <c r="E3256" s="2">
        <v>38</v>
      </c>
      <c r="F3256" s="2">
        <v>715.78</v>
      </c>
    </row>
    <row r="3257" spans="3:6" x14ac:dyDescent="0.25">
      <c r="C3257" s="2" t="s">
        <v>11294</v>
      </c>
      <c r="D3257" s="2" t="s">
        <v>42</v>
      </c>
      <c r="E3257" s="2">
        <v>41</v>
      </c>
      <c r="F3257" s="2">
        <v>791.55</v>
      </c>
    </row>
    <row r="3258" spans="3:6" x14ac:dyDescent="0.25">
      <c r="C3258" s="2" t="s">
        <v>11295</v>
      </c>
      <c r="D3258" s="2" t="s">
        <v>42</v>
      </c>
      <c r="E3258" s="2">
        <v>34</v>
      </c>
      <c r="F3258" s="2">
        <v>671.37</v>
      </c>
    </row>
    <row r="3259" spans="3:6" x14ac:dyDescent="0.25">
      <c r="C3259" s="2" t="s">
        <v>11296</v>
      </c>
      <c r="D3259" s="2" t="s">
        <v>42</v>
      </c>
      <c r="E3259" s="2">
        <v>15</v>
      </c>
      <c r="F3259" s="2">
        <v>328.24</v>
      </c>
    </row>
    <row r="3260" spans="3:6" x14ac:dyDescent="0.25">
      <c r="C3260" s="2" t="s">
        <v>11297</v>
      </c>
      <c r="D3260" s="2" t="s">
        <v>42</v>
      </c>
      <c r="E3260" s="2">
        <v>107</v>
      </c>
      <c r="F3260" s="2">
        <v>2286.58</v>
      </c>
    </row>
    <row r="3261" spans="3:6" x14ac:dyDescent="0.25">
      <c r="C3261" s="2" t="s">
        <v>11298</v>
      </c>
      <c r="D3261" s="2" t="s">
        <v>42</v>
      </c>
      <c r="E3261" s="2">
        <v>27</v>
      </c>
      <c r="F3261" s="2">
        <v>473.08</v>
      </c>
    </row>
    <row r="3262" spans="3:6" x14ac:dyDescent="0.25">
      <c r="C3262" s="2" t="s">
        <v>11299</v>
      </c>
      <c r="D3262" s="2" t="s">
        <v>42</v>
      </c>
      <c r="E3262" s="2">
        <v>11</v>
      </c>
      <c r="F3262" s="2">
        <v>130.239</v>
      </c>
    </row>
    <row r="3263" spans="3:6" x14ac:dyDescent="0.25">
      <c r="C3263" s="2" t="s">
        <v>11300</v>
      </c>
      <c r="D3263" s="2" t="s">
        <v>42</v>
      </c>
      <c r="E3263" s="2">
        <v>64</v>
      </c>
      <c r="F3263" s="2">
        <v>1264.48</v>
      </c>
    </row>
    <row r="3264" spans="3:6" x14ac:dyDescent="0.25">
      <c r="C3264" s="2" t="s">
        <v>11301</v>
      </c>
      <c r="D3264" s="2" t="s">
        <v>42</v>
      </c>
      <c r="E3264" s="2">
        <v>45</v>
      </c>
      <c r="F3264" s="2">
        <v>223.69</v>
      </c>
    </row>
    <row r="3265" spans="3:6" x14ac:dyDescent="0.25">
      <c r="C3265" s="2" t="s">
        <v>11302</v>
      </c>
      <c r="D3265" s="2" t="s">
        <v>42</v>
      </c>
      <c r="E3265" s="2">
        <v>93</v>
      </c>
      <c r="F3265" s="2">
        <v>1577.223</v>
      </c>
    </row>
    <row r="3266" spans="3:6" x14ac:dyDescent="0.25">
      <c r="C3266" s="2" t="s">
        <v>11303</v>
      </c>
      <c r="D3266" s="2" t="s">
        <v>42</v>
      </c>
      <c r="E3266" s="2">
        <v>45</v>
      </c>
      <c r="F3266" s="2">
        <v>238.7</v>
      </c>
    </row>
    <row r="3267" spans="3:6" x14ac:dyDescent="0.25">
      <c r="C3267" s="2" t="s">
        <v>11304</v>
      </c>
      <c r="D3267" s="2" t="s">
        <v>42</v>
      </c>
      <c r="E3267" s="2">
        <v>40</v>
      </c>
      <c r="F3267" s="2">
        <v>802.25</v>
      </c>
    </row>
    <row r="3268" spans="3:6" x14ac:dyDescent="0.25">
      <c r="C3268" s="2" t="s">
        <v>11305</v>
      </c>
      <c r="D3268" s="2" t="s">
        <v>42</v>
      </c>
      <c r="E3268" s="2">
        <v>31</v>
      </c>
      <c r="F3268" s="2">
        <v>638.15</v>
      </c>
    </row>
    <row r="3269" spans="3:6" x14ac:dyDescent="0.25">
      <c r="C3269" s="2" t="s">
        <v>11306</v>
      </c>
      <c r="D3269" s="2" t="s">
        <v>42</v>
      </c>
      <c r="E3269" s="2">
        <v>101</v>
      </c>
      <c r="F3269" s="2">
        <v>2030.47</v>
      </c>
    </row>
    <row r="3270" spans="3:6" x14ac:dyDescent="0.25">
      <c r="C3270" s="2" t="s">
        <v>11307</v>
      </c>
      <c r="D3270" s="2" t="s">
        <v>42</v>
      </c>
      <c r="E3270" s="2">
        <v>93</v>
      </c>
      <c r="F3270" s="2">
        <v>1845.26</v>
      </c>
    </row>
    <row r="3271" spans="3:6" x14ac:dyDescent="0.25">
      <c r="C3271" s="2" t="s">
        <v>11308</v>
      </c>
      <c r="D3271" s="2" t="s">
        <v>42</v>
      </c>
      <c r="E3271" s="2">
        <v>2</v>
      </c>
      <c r="F3271" s="2">
        <v>22.7</v>
      </c>
    </row>
    <row r="3272" spans="3:6" x14ac:dyDescent="0.25">
      <c r="C3272" s="2" t="s">
        <v>11309</v>
      </c>
      <c r="D3272" s="2" t="s">
        <v>42</v>
      </c>
      <c r="E3272" s="2">
        <v>84</v>
      </c>
      <c r="F3272" s="2">
        <v>1748.61</v>
      </c>
    </row>
    <row r="3273" spans="3:6" x14ac:dyDescent="0.25">
      <c r="C3273" s="2" t="s">
        <v>11310</v>
      </c>
      <c r="D3273" s="2" t="s">
        <v>42</v>
      </c>
      <c r="E3273" s="2">
        <v>55</v>
      </c>
      <c r="F3273" s="2">
        <v>1180.672</v>
      </c>
    </row>
    <row r="3274" spans="3:6" x14ac:dyDescent="0.25">
      <c r="C3274" s="2" t="s">
        <v>11311</v>
      </c>
      <c r="D3274" s="2" t="s">
        <v>42</v>
      </c>
      <c r="E3274" s="2">
        <v>63</v>
      </c>
      <c r="F3274" s="2">
        <v>1306.17</v>
      </c>
    </row>
    <row r="3275" spans="3:6" x14ac:dyDescent="0.25">
      <c r="C3275" s="2" t="s">
        <v>11312</v>
      </c>
      <c r="D3275" s="2" t="s">
        <v>42</v>
      </c>
      <c r="E3275" s="2">
        <v>16</v>
      </c>
      <c r="F3275" s="2">
        <v>322.49</v>
      </c>
    </row>
    <row r="3276" spans="3:6" x14ac:dyDescent="0.25">
      <c r="C3276" s="2" t="s">
        <v>11313</v>
      </c>
      <c r="D3276" s="2" t="s">
        <v>42</v>
      </c>
      <c r="E3276" s="2">
        <v>45</v>
      </c>
      <c r="F3276" s="2">
        <v>914.39</v>
      </c>
    </row>
    <row r="3277" spans="3:6" x14ac:dyDescent="0.25">
      <c r="C3277" s="2" t="s">
        <v>11314</v>
      </c>
      <c r="D3277" s="2" t="s">
        <v>42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10</v>
      </c>
      <c r="C3279" s="2" t="s">
        <v>11315</v>
      </c>
      <c r="D3279" s="2" t="s">
        <v>12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11316</v>
      </c>
      <c r="D3280" s="2" t="s">
        <v>12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11317</v>
      </c>
      <c r="C3282" s="2" t="s">
        <v>11318</v>
      </c>
      <c r="D3282" s="2" t="s">
        <v>204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212</v>
      </c>
      <c r="C3284" s="2" t="s">
        <v>11319</v>
      </c>
      <c r="D3284" s="2" t="s">
        <v>204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11320</v>
      </c>
      <c r="D3285" s="2" t="s">
        <v>204</v>
      </c>
      <c r="E3285" s="2">
        <v>163</v>
      </c>
      <c r="F3285" s="2">
        <v>3139.779</v>
      </c>
    </row>
    <row r="3286" spans="3:6" x14ac:dyDescent="0.25">
      <c r="C3286" s="2" t="s">
        <v>11321</v>
      </c>
      <c r="D3286" s="2" t="s">
        <v>204</v>
      </c>
      <c r="E3286" s="2">
        <v>163</v>
      </c>
      <c r="F3286" s="2">
        <v>3053.53</v>
      </c>
    </row>
    <row r="3287" spans="3:6" x14ac:dyDescent="0.25">
      <c r="C3287" s="2" t="s">
        <v>11322</v>
      </c>
      <c r="D3287" s="2" t="s">
        <v>204</v>
      </c>
      <c r="E3287" s="2">
        <v>163</v>
      </c>
      <c r="F3287" s="2">
        <v>3037.72</v>
      </c>
    </row>
    <row r="3288" spans="3:6" x14ac:dyDescent="0.25">
      <c r="C3288" s="2" t="s">
        <v>11323</v>
      </c>
      <c r="D3288" s="2" t="s">
        <v>204</v>
      </c>
      <c r="E3288" s="2">
        <v>163</v>
      </c>
      <c r="F3288" s="2">
        <v>3152.739</v>
      </c>
    </row>
    <row r="3289" spans="3:6" x14ac:dyDescent="0.25">
      <c r="C3289" s="2" t="s">
        <v>11324</v>
      </c>
      <c r="D3289" s="2" t="s">
        <v>204</v>
      </c>
      <c r="E3289" s="2">
        <v>105</v>
      </c>
      <c r="F3289" s="2">
        <v>1868.239</v>
      </c>
    </row>
    <row r="3290" spans="3:6" x14ac:dyDescent="0.25">
      <c r="C3290" s="2" t="s">
        <v>11325</v>
      </c>
      <c r="D3290" s="2" t="s">
        <v>204</v>
      </c>
      <c r="E3290" s="2">
        <v>105</v>
      </c>
      <c r="F3290" s="2">
        <v>2064.649</v>
      </c>
    </row>
    <row r="3291" spans="3:6" x14ac:dyDescent="0.25">
      <c r="C3291" s="2" t="s">
        <v>11326</v>
      </c>
      <c r="D3291" s="2" t="s">
        <v>204</v>
      </c>
      <c r="E3291" s="2">
        <v>105</v>
      </c>
      <c r="F3291" s="2">
        <v>2104.28</v>
      </c>
    </row>
    <row r="3292" spans="3:6" x14ac:dyDescent="0.25">
      <c r="C3292" s="2" t="s">
        <v>11327</v>
      </c>
      <c r="D3292" s="2" t="s">
        <v>204</v>
      </c>
      <c r="E3292" s="2">
        <v>105</v>
      </c>
      <c r="F3292" s="2">
        <v>2089.969</v>
      </c>
    </row>
    <row r="3293" spans="3:6" x14ac:dyDescent="0.25">
      <c r="C3293" s="2" t="s">
        <v>11328</v>
      </c>
      <c r="D3293" s="2" t="s">
        <v>204</v>
      </c>
      <c r="E3293" s="2">
        <v>121</v>
      </c>
      <c r="F3293" s="2">
        <v>2152.118</v>
      </c>
    </row>
    <row r="3294" spans="3:6" x14ac:dyDescent="0.25">
      <c r="C3294" s="2" t="s">
        <v>11329</v>
      </c>
      <c r="D3294" s="2" t="s">
        <v>204</v>
      </c>
      <c r="E3294" s="2">
        <v>42</v>
      </c>
      <c r="F3294" s="2">
        <v>771</v>
      </c>
    </row>
    <row r="3295" spans="3:6" x14ac:dyDescent="0.25">
      <c r="C3295" s="2" t="s">
        <v>11330</v>
      </c>
      <c r="D3295" s="2" t="s">
        <v>204</v>
      </c>
      <c r="E3295" s="2">
        <v>105</v>
      </c>
      <c r="F3295" s="2">
        <v>2032.6</v>
      </c>
    </row>
    <row r="3296" spans="3:6" x14ac:dyDescent="0.25">
      <c r="C3296" s="2" t="s">
        <v>11331</v>
      </c>
      <c r="D3296" s="2" t="s">
        <v>204</v>
      </c>
      <c r="E3296" s="2">
        <v>105</v>
      </c>
      <c r="F3296" s="2">
        <v>2139.51</v>
      </c>
    </row>
    <row r="3297" spans="3:6" x14ac:dyDescent="0.25">
      <c r="C3297" s="2" t="s">
        <v>11332</v>
      </c>
      <c r="D3297" s="2" t="s">
        <v>204</v>
      </c>
      <c r="E3297" s="2">
        <v>163</v>
      </c>
      <c r="F3297" s="2">
        <v>3073.63</v>
      </c>
    </row>
    <row r="3298" spans="3:6" x14ac:dyDescent="0.25">
      <c r="C3298" s="2" t="s">
        <v>11333</v>
      </c>
      <c r="D3298" s="2" t="s">
        <v>204</v>
      </c>
      <c r="E3298" s="2">
        <v>36</v>
      </c>
      <c r="F3298" s="2">
        <v>584.02</v>
      </c>
    </row>
    <row r="3299" spans="3:6" x14ac:dyDescent="0.25">
      <c r="C3299" s="2" t="s">
        <v>11334</v>
      </c>
      <c r="D3299" s="2" t="s">
        <v>214</v>
      </c>
      <c r="E3299" s="2">
        <v>100</v>
      </c>
      <c r="F3299" s="2">
        <v>1983.03</v>
      </c>
    </row>
    <row r="3300" spans="3:6" x14ac:dyDescent="0.25">
      <c r="C3300" s="2" t="s">
        <v>11335</v>
      </c>
      <c r="D3300" s="2" t="s">
        <v>214</v>
      </c>
      <c r="E3300" s="2">
        <v>56</v>
      </c>
      <c r="F3300" s="2">
        <v>1102.34</v>
      </c>
    </row>
    <row r="3301" spans="3:6" x14ac:dyDescent="0.25">
      <c r="C3301" s="2" t="s">
        <v>11336</v>
      </c>
      <c r="D3301" s="2" t="s">
        <v>214</v>
      </c>
      <c r="E3301" s="2">
        <v>100</v>
      </c>
      <c r="F3301" s="2">
        <v>1958.92</v>
      </c>
    </row>
    <row r="3302" spans="3:6" x14ac:dyDescent="0.25">
      <c r="C3302" s="2" t="s">
        <v>11337</v>
      </c>
      <c r="D3302" s="2" t="s">
        <v>214</v>
      </c>
      <c r="E3302" s="2">
        <v>56</v>
      </c>
      <c r="F3302" s="2">
        <v>987.15</v>
      </c>
    </row>
    <row r="3303" spans="3:6" x14ac:dyDescent="0.25">
      <c r="C3303" s="2" t="s">
        <v>11338</v>
      </c>
      <c r="D3303" s="2" t="s">
        <v>214</v>
      </c>
      <c r="E3303" s="2">
        <v>100</v>
      </c>
      <c r="F3303" s="2">
        <v>1905.67</v>
      </c>
    </row>
    <row r="3304" spans="3:6" x14ac:dyDescent="0.25">
      <c r="C3304" s="2" t="s">
        <v>11339</v>
      </c>
      <c r="D3304" s="2" t="s">
        <v>214</v>
      </c>
      <c r="E3304" s="2">
        <v>56</v>
      </c>
      <c r="F3304" s="2">
        <v>1104.309</v>
      </c>
    </row>
    <row r="3305" spans="3:6" x14ac:dyDescent="0.25">
      <c r="C3305" s="2" t="s">
        <v>11340</v>
      </c>
      <c r="D3305" s="2" t="s">
        <v>214</v>
      </c>
      <c r="E3305" s="2">
        <v>100</v>
      </c>
      <c r="F3305" s="2">
        <v>2026.46</v>
      </c>
    </row>
    <row r="3306" spans="3:6" x14ac:dyDescent="0.25">
      <c r="C3306" s="2" t="s">
        <v>11341</v>
      </c>
      <c r="D3306" s="2" t="s">
        <v>214</v>
      </c>
      <c r="E3306" s="2">
        <v>56</v>
      </c>
      <c r="F3306" s="2">
        <v>1087.92</v>
      </c>
    </row>
    <row r="3307" spans="3:6" x14ac:dyDescent="0.25">
      <c r="C3307" s="2" t="s">
        <v>11342</v>
      </c>
      <c r="D3307" s="2" t="s">
        <v>216</v>
      </c>
      <c r="E3307" s="2">
        <v>134</v>
      </c>
      <c r="F3307" s="2">
        <v>2546.02</v>
      </c>
    </row>
    <row r="3308" spans="3:6" x14ac:dyDescent="0.25">
      <c r="C3308" s="2" t="s">
        <v>11343</v>
      </c>
      <c r="D3308" s="2" t="s">
        <v>216</v>
      </c>
      <c r="E3308" s="2">
        <v>134</v>
      </c>
      <c r="F3308" s="2">
        <v>2701.53</v>
      </c>
    </row>
    <row r="3309" spans="3:6" x14ac:dyDescent="0.25">
      <c r="C3309" s="2" t="s">
        <v>11344</v>
      </c>
      <c r="D3309" s="2" t="s">
        <v>216</v>
      </c>
      <c r="E3309" s="2">
        <v>134</v>
      </c>
      <c r="F3309" s="2">
        <v>2774.49</v>
      </c>
    </row>
    <row r="3310" spans="3:6" x14ac:dyDescent="0.25">
      <c r="C3310" s="2" t="s">
        <v>11345</v>
      </c>
      <c r="D3310" s="2" t="s">
        <v>216</v>
      </c>
      <c r="E3310" s="2">
        <v>134</v>
      </c>
      <c r="F3310" s="2">
        <v>2764.32</v>
      </c>
    </row>
    <row r="3311" spans="3:6" x14ac:dyDescent="0.25">
      <c r="C3311" s="2" t="s">
        <v>11346</v>
      </c>
      <c r="D3311" s="2" t="s">
        <v>216</v>
      </c>
      <c r="E3311" s="2">
        <v>134</v>
      </c>
      <c r="F3311" s="2">
        <v>2556.66</v>
      </c>
    </row>
    <row r="3312" spans="3:6" x14ac:dyDescent="0.25">
      <c r="C3312" s="2" t="s">
        <v>11347</v>
      </c>
      <c r="D3312" s="2" t="s">
        <v>216</v>
      </c>
      <c r="E3312" s="2">
        <v>134</v>
      </c>
      <c r="F3312" s="2">
        <v>2634.66</v>
      </c>
    </row>
    <row r="3313" spans="3:6" x14ac:dyDescent="0.25">
      <c r="C3313" s="2" t="s">
        <v>11348</v>
      </c>
      <c r="D3313" s="2" t="s">
        <v>216</v>
      </c>
      <c r="E3313" s="2">
        <v>163</v>
      </c>
      <c r="F3313" s="2">
        <v>3182.62</v>
      </c>
    </row>
    <row r="3314" spans="3:6" x14ac:dyDescent="0.25">
      <c r="C3314" s="2" t="s">
        <v>11349</v>
      </c>
      <c r="D3314" s="2" t="s">
        <v>236</v>
      </c>
      <c r="E3314" s="2">
        <v>60</v>
      </c>
      <c r="F3314" s="2">
        <v>1066.97</v>
      </c>
    </row>
    <row r="3315" spans="3:6" x14ac:dyDescent="0.25">
      <c r="C3315" s="2" t="s">
        <v>11350</v>
      </c>
      <c r="D3315" s="2" t="s">
        <v>236</v>
      </c>
      <c r="E3315" s="2">
        <v>45</v>
      </c>
      <c r="F3315" s="2">
        <v>849.69</v>
      </c>
    </row>
    <row r="3317" spans="2:7" x14ac:dyDescent="0.25">
      <c r="B3317" s="2" t="s">
        <v>11351</v>
      </c>
      <c r="C3317" s="2" t="s">
        <v>11352</v>
      </c>
      <c r="D3317" s="2" t="s">
        <v>236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11353</v>
      </c>
      <c r="D3318" s="2" t="s">
        <v>236</v>
      </c>
      <c r="E3318" s="2">
        <v>45</v>
      </c>
      <c r="F3318" s="2">
        <v>849.69</v>
      </c>
    </row>
    <row r="3320" spans="2:7" x14ac:dyDescent="0.25">
      <c r="B3320" s="2" t="s">
        <v>2077</v>
      </c>
      <c r="C3320" s="2" t="s">
        <v>11354</v>
      </c>
      <c r="D3320" s="2" t="s">
        <v>214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11355</v>
      </c>
      <c r="D3321" s="2" t="s">
        <v>216</v>
      </c>
      <c r="E3321" s="2">
        <v>158</v>
      </c>
      <c r="F3321" s="2">
        <v>2821</v>
      </c>
    </row>
    <row r="3322" spans="3:6" x14ac:dyDescent="0.25">
      <c r="C3322" s="2" t="s">
        <v>11356</v>
      </c>
      <c r="D3322" s="2" t="s">
        <v>216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1101</v>
      </c>
      <c r="C3324" s="2" t="s">
        <v>11357</v>
      </c>
      <c r="D3324" s="2" t="s">
        <v>20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11358</v>
      </c>
      <c r="D3325" s="2" t="s">
        <v>20</v>
      </c>
      <c r="E3325" s="2">
        <v>114</v>
      </c>
      <c r="F3325" s="2">
        <v>1758.573</v>
      </c>
    </row>
    <row r="3326" spans="3:6" x14ac:dyDescent="0.25">
      <c r="C3326" s="2" t="s">
        <v>11359</v>
      </c>
      <c r="D3326" s="2" t="s">
        <v>20</v>
      </c>
      <c r="E3326" s="2">
        <v>163</v>
      </c>
      <c r="F3326" s="2">
        <v>3062.929</v>
      </c>
    </row>
    <row r="3327" spans="3:6" x14ac:dyDescent="0.25">
      <c r="C3327" s="2" t="s">
        <v>11360</v>
      </c>
      <c r="D3327" s="2" t="s">
        <v>20</v>
      </c>
      <c r="E3327" s="2">
        <v>268</v>
      </c>
      <c r="F3327" s="2">
        <v>5051.349</v>
      </c>
    </row>
    <row r="3328" spans="3:6" x14ac:dyDescent="0.25">
      <c r="C3328" s="2" t="s">
        <v>11361</v>
      </c>
      <c r="D3328" s="2" t="s">
        <v>20</v>
      </c>
      <c r="E3328" s="2">
        <v>105</v>
      </c>
      <c r="F3328" s="2">
        <v>2058.12</v>
      </c>
    </row>
    <row r="3329" spans="3:6" x14ac:dyDescent="0.25">
      <c r="C3329" s="2" t="s">
        <v>11362</v>
      </c>
      <c r="D3329" s="2" t="s">
        <v>20</v>
      </c>
      <c r="E3329" s="2">
        <v>163</v>
      </c>
      <c r="F3329" s="2">
        <v>3175.538</v>
      </c>
    </row>
    <row r="3330" spans="3:6" x14ac:dyDescent="0.25">
      <c r="C3330" s="2" t="s">
        <v>11363</v>
      </c>
      <c r="D3330" s="2" t="s">
        <v>20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335</v>
      </c>
      <c r="C3332" s="2" t="s">
        <v>11364</v>
      </c>
      <c r="D3332" s="2" t="s">
        <v>20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11365</v>
      </c>
      <c r="D3333" s="2" t="s">
        <v>20</v>
      </c>
      <c r="E3333" s="2">
        <v>149</v>
      </c>
      <c r="F3333" s="2">
        <v>2869.199</v>
      </c>
    </row>
    <row r="3334" spans="3:6" x14ac:dyDescent="0.25">
      <c r="C3334" s="2" t="s">
        <v>11366</v>
      </c>
      <c r="D3334" s="2" t="s">
        <v>20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10</v>
      </c>
      <c r="C3336" s="2" t="s">
        <v>11367</v>
      </c>
      <c r="D3336" s="2" t="s">
        <v>12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11368</v>
      </c>
      <c r="D3337" s="2" t="s">
        <v>12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11369</v>
      </c>
      <c r="C3339" s="2" t="s">
        <v>11370</v>
      </c>
      <c r="D3339" s="2" t="s">
        <v>20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11371</v>
      </c>
      <c r="D3340" s="2" t="s">
        <v>20</v>
      </c>
      <c r="E3340" s="2">
        <v>77</v>
      </c>
      <c r="F3340" s="2">
        <v>1419.547</v>
      </c>
    </row>
    <row r="3341" spans="3:6" x14ac:dyDescent="0.25">
      <c r="C3341" s="2" t="s">
        <v>11372</v>
      </c>
      <c r="D3341" s="2" t="s">
        <v>20</v>
      </c>
      <c r="E3341" s="2">
        <v>105</v>
      </c>
      <c r="F3341" s="2">
        <v>2077.97</v>
      </c>
    </row>
    <row r="3342" spans="3:6" x14ac:dyDescent="0.25">
      <c r="C3342" s="2" t="s">
        <v>11373</v>
      </c>
      <c r="D3342" s="2" t="s">
        <v>20</v>
      </c>
      <c r="E3342" s="2">
        <v>105</v>
      </c>
      <c r="F3342" s="2">
        <v>2052.9</v>
      </c>
    </row>
    <row r="3343" spans="3:6" x14ac:dyDescent="0.25">
      <c r="C3343" s="2" t="s">
        <v>11374</v>
      </c>
      <c r="D3343" s="2" t="s">
        <v>20</v>
      </c>
      <c r="E3343" s="2">
        <v>163</v>
      </c>
      <c r="F3343" s="2">
        <v>3119.669</v>
      </c>
    </row>
    <row r="3344" spans="3:6" x14ac:dyDescent="0.25">
      <c r="C3344" s="2" t="s">
        <v>11375</v>
      </c>
      <c r="D3344" s="2" t="s">
        <v>20</v>
      </c>
      <c r="E3344" s="2">
        <v>105</v>
      </c>
      <c r="F3344" s="2">
        <v>2076.32</v>
      </c>
    </row>
    <row r="3345" spans="3:6" x14ac:dyDescent="0.25">
      <c r="C3345" s="2" t="s">
        <v>11376</v>
      </c>
      <c r="D3345" s="2" t="s">
        <v>20</v>
      </c>
      <c r="E3345" s="2">
        <v>163</v>
      </c>
      <c r="F3345" s="2">
        <v>3241.11</v>
      </c>
    </row>
    <row r="3346" spans="3:6" x14ac:dyDescent="0.25">
      <c r="C3346" s="2" t="s">
        <v>11377</v>
      </c>
      <c r="D3346" s="2" t="s">
        <v>20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2097</v>
      </c>
      <c r="C3348" s="2" t="s">
        <v>11378</v>
      </c>
      <c r="D3348" s="2" t="s">
        <v>27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11379</v>
      </c>
      <c r="D3349" s="2" t="s">
        <v>27</v>
      </c>
      <c r="E3349" s="2">
        <v>43</v>
      </c>
      <c r="F3349" s="2">
        <v>753.51</v>
      </c>
    </row>
    <row r="3350" spans="3:6" x14ac:dyDescent="0.25">
      <c r="C3350" s="2" t="s">
        <v>11380</v>
      </c>
      <c r="D3350" s="2" t="s">
        <v>27</v>
      </c>
      <c r="E3350" s="2">
        <v>44</v>
      </c>
      <c r="F3350" s="2">
        <v>921.14</v>
      </c>
    </row>
    <row r="3351" spans="3:6" x14ac:dyDescent="0.25">
      <c r="C3351" s="2" t="s">
        <v>11381</v>
      </c>
      <c r="D3351" s="2" t="s">
        <v>27</v>
      </c>
      <c r="E3351" s="2">
        <v>11</v>
      </c>
      <c r="F3351" s="2">
        <v>227.35</v>
      </c>
    </row>
    <row r="3352" spans="3:6" x14ac:dyDescent="0.25">
      <c r="C3352" s="2" t="s">
        <v>11382</v>
      </c>
      <c r="D3352" s="2" t="s">
        <v>27</v>
      </c>
      <c r="E3352" s="2">
        <v>36</v>
      </c>
      <c r="F3352" s="2">
        <v>680.469</v>
      </c>
    </row>
    <row r="3353" spans="3:6" x14ac:dyDescent="0.25">
      <c r="C3353" s="2" t="s">
        <v>11383</v>
      </c>
      <c r="D3353" s="2" t="s">
        <v>27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120</v>
      </c>
      <c r="C3355" s="2" t="s">
        <v>11384</v>
      </c>
      <c r="D3355" s="2" t="s">
        <v>122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11385</v>
      </c>
      <c r="D3356" s="2" t="s">
        <v>122</v>
      </c>
      <c r="E3356" s="2">
        <v>111</v>
      </c>
      <c r="F3356" s="2">
        <v>2256.589</v>
      </c>
    </row>
    <row r="3357" spans="3:6" x14ac:dyDescent="0.25">
      <c r="C3357" s="2" t="s">
        <v>11386</v>
      </c>
      <c r="D3357" s="2" t="s">
        <v>122</v>
      </c>
      <c r="E3357" s="2">
        <v>86</v>
      </c>
      <c r="F3357" s="2">
        <v>1792.24</v>
      </c>
    </row>
    <row r="3358" spans="3:6" x14ac:dyDescent="0.25">
      <c r="C3358" s="2" t="s">
        <v>11387</v>
      </c>
      <c r="D3358" s="2" t="s">
        <v>122</v>
      </c>
      <c r="E3358" s="2">
        <v>35</v>
      </c>
      <c r="F3358" s="2">
        <v>696.14</v>
      </c>
    </row>
    <row r="3359" spans="3:6" x14ac:dyDescent="0.25">
      <c r="C3359" s="2" t="s">
        <v>11388</v>
      </c>
      <c r="D3359" s="2" t="s">
        <v>122</v>
      </c>
      <c r="E3359" s="2">
        <v>115</v>
      </c>
      <c r="F3359" s="2">
        <v>2337.33</v>
      </c>
    </row>
    <row r="3360" spans="3:6" x14ac:dyDescent="0.25">
      <c r="C3360" s="2" t="s">
        <v>11389</v>
      </c>
      <c r="D3360" s="2" t="s">
        <v>122</v>
      </c>
      <c r="E3360" s="2">
        <v>7</v>
      </c>
      <c r="F3360" s="2">
        <v>110.95</v>
      </c>
    </row>
    <row r="3361" spans="3:6" x14ac:dyDescent="0.25">
      <c r="C3361" s="2" t="s">
        <v>11390</v>
      </c>
      <c r="D3361" s="2" t="s">
        <v>122</v>
      </c>
      <c r="E3361" s="2">
        <v>79</v>
      </c>
      <c r="F3361" s="2">
        <v>1590.14</v>
      </c>
    </row>
    <row r="3362" spans="3:6" x14ac:dyDescent="0.25">
      <c r="C3362" s="2" t="s">
        <v>11391</v>
      </c>
      <c r="D3362" s="2" t="s">
        <v>122</v>
      </c>
      <c r="E3362" s="2">
        <v>42</v>
      </c>
      <c r="F3362" s="2">
        <v>804.468</v>
      </c>
    </row>
    <row r="3363" spans="3:6" x14ac:dyDescent="0.25">
      <c r="C3363" s="2" t="s">
        <v>11392</v>
      </c>
      <c r="D3363" s="2" t="s">
        <v>122</v>
      </c>
      <c r="E3363" s="2">
        <v>75</v>
      </c>
      <c r="F3363" s="2">
        <v>1438.67</v>
      </c>
    </row>
    <row r="3364" spans="3:6" x14ac:dyDescent="0.25">
      <c r="C3364" s="2" t="s">
        <v>11393</v>
      </c>
      <c r="D3364" s="2" t="s">
        <v>122</v>
      </c>
      <c r="E3364" s="2">
        <v>141</v>
      </c>
      <c r="F3364" s="2">
        <v>2896.54</v>
      </c>
    </row>
    <row r="3365" spans="3:6" x14ac:dyDescent="0.25">
      <c r="C3365" s="2" t="s">
        <v>11394</v>
      </c>
      <c r="D3365" s="2" t="s">
        <v>122</v>
      </c>
      <c r="E3365" s="2">
        <v>141</v>
      </c>
      <c r="F3365" s="2">
        <v>2857.42</v>
      </c>
    </row>
    <row r="3366" spans="3:6" x14ac:dyDescent="0.25">
      <c r="C3366" s="2" t="s">
        <v>11395</v>
      </c>
      <c r="D3366" s="2" t="s">
        <v>122</v>
      </c>
      <c r="E3366" s="2">
        <v>141</v>
      </c>
      <c r="F3366" s="2">
        <v>2890.26</v>
      </c>
    </row>
    <row r="3367" spans="3:6" x14ac:dyDescent="0.25">
      <c r="C3367" s="2" t="s">
        <v>11396</v>
      </c>
      <c r="D3367" s="2" t="s">
        <v>122</v>
      </c>
      <c r="E3367" s="2">
        <v>141</v>
      </c>
      <c r="F3367" s="2">
        <v>2710.67</v>
      </c>
    </row>
    <row r="3368" spans="3:6" x14ac:dyDescent="0.25">
      <c r="C3368" s="2" t="s">
        <v>11397</v>
      </c>
      <c r="D3368" s="2" t="s">
        <v>122</v>
      </c>
      <c r="E3368" s="2">
        <v>141</v>
      </c>
      <c r="F3368" s="2">
        <v>2784.33</v>
      </c>
    </row>
    <row r="3369" spans="3:6" x14ac:dyDescent="0.25">
      <c r="C3369" s="2" t="s">
        <v>11398</v>
      </c>
      <c r="D3369" s="2" t="s">
        <v>122</v>
      </c>
      <c r="E3369" s="2">
        <v>141</v>
      </c>
      <c r="F3369" s="2">
        <v>2887.82</v>
      </c>
    </row>
    <row r="3370" spans="3:6" x14ac:dyDescent="0.25">
      <c r="C3370" s="2" t="s">
        <v>11399</v>
      </c>
      <c r="D3370" s="2" t="s">
        <v>122</v>
      </c>
      <c r="E3370" s="2">
        <v>108</v>
      </c>
      <c r="F3370" s="2">
        <f>33.3+1632.3</f>
        <v>1665.6</v>
      </c>
    </row>
    <row r="3371" spans="3:6" x14ac:dyDescent="0.25">
      <c r="C3371" s="2" t="s">
        <v>11400</v>
      </c>
      <c r="D3371" s="2" t="s">
        <v>122</v>
      </c>
      <c r="E3371" s="2">
        <v>134</v>
      </c>
      <c r="F3371" s="2">
        <v>2733.3</v>
      </c>
    </row>
    <row r="3372" spans="3:6" x14ac:dyDescent="0.25">
      <c r="C3372" s="2" t="s">
        <v>11401</v>
      </c>
      <c r="D3372" s="2" t="s">
        <v>122</v>
      </c>
      <c r="E3372" s="2">
        <v>102</v>
      </c>
      <c r="F3372" s="2">
        <v>2067.59</v>
      </c>
    </row>
    <row r="3373" spans="3:6" x14ac:dyDescent="0.25">
      <c r="C3373" s="2" t="s">
        <v>11402</v>
      </c>
      <c r="D3373" s="2" t="s">
        <v>122</v>
      </c>
      <c r="E3373" s="2">
        <v>47</v>
      </c>
      <c r="F3373" s="2">
        <v>862.479</v>
      </c>
    </row>
    <row r="3374" spans="3:6" x14ac:dyDescent="0.25">
      <c r="C3374" s="2" t="s">
        <v>11403</v>
      </c>
      <c r="D3374" s="2" t="s">
        <v>122</v>
      </c>
      <c r="E3374" s="2">
        <v>94</v>
      </c>
      <c r="F3374" s="2">
        <v>1869.47</v>
      </c>
    </row>
    <row r="3375" spans="3:6" x14ac:dyDescent="0.25">
      <c r="C3375" s="2" t="s">
        <v>11404</v>
      </c>
      <c r="D3375" s="2" t="s">
        <v>122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11405</v>
      </c>
      <c r="D3376" s="2" t="s">
        <v>122</v>
      </c>
      <c r="E3376" s="2">
        <v>36</v>
      </c>
      <c r="F3376" s="2">
        <v>748.79</v>
      </c>
    </row>
    <row r="3377" spans="3:6" x14ac:dyDescent="0.25">
      <c r="C3377" s="2" t="s">
        <v>11406</v>
      </c>
      <c r="D3377" s="2" t="s">
        <v>122</v>
      </c>
      <c r="E3377" s="2">
        <v>47</v>
      </c>
      <c r="F3377" s="2">
        <v>887.23</v>
      </c>
    </row>
    <row r="3378" spans="3:6" x14ac:dyDescent="0.25">
      <c r="C3378" s="2" t="s">
        <v>11407</v>
      </c>
      <c r="D3378" s="2" t="s">
        <v>122</v>
      </c>
      <c r="E3378" s="2">
        <v>60</v>
      </c>
      <c r="F3378" s="2">
        <v>1119.56</v>
      </c>
    </row>
    <row r="3379" spans="3:6" x14ac:dyDescent="0.25">
      <c r="C3379" s="2" t="s">
        <v>11408</v>
      </c>
      <c r="D3379" s="2" t="s">
        <v>122</v>
      </c>
      <c r="E3379" s="2">
        <v>38</v>
      </c>
      <c r="F3379" s="2">
        <v>576.47</v>
      </c>
    </row>
    <row r="3380" spans="3:6" x14ac:dyDescent="0.25">
      <c r="C3380" s="2" t="s">
        <v>11409</v>
      </c>
      <c r="D3380" s="2" t="s">
        <v>122</v>
      </c>
      <c r="E3380" s="2">
        <v>142</v>
      </c>
      <c r="F3380" s="2">
        <v>2591.798</v>
      </c>
    </row>
    <row r="3381" spans="3:6" x14ac:dyDescent="0.25">
      <c r="C3381" s="2" t="s">
        <v>11410</v>
      </c>
      <c r="D3381" s="2" t="s">
        <v>122</v>
      </c>
      <c r="E3381" s="2">
        <v>118</v>
      </c>
      <c r="F3381" s="2">
        <v>2228.01</v>
      </c>
    </row>
    <row r="3382" spans="3:6" x14ac:dyDescent="0.25">
      <c r="C3382" s="2" t="s">
        <v>11411</v>
      </c>
      <c r="D3382" s="2" t="s">
        <v>122</v>
      </c>
      <c r="E3382" s="2">
        <v>23</v>
      </c>
      <c r="F3382" s="2">
        <v>471.38</v>
      </c>
    </row>
    <row r="3383" spans="3:6" x14ac:dyDescent="0.25">
      <c r="C3383" s="2" t="s">
        <v>11412</v>
      </c>
      <c r="D3383" s="2" t="s">
        <v>122</v>
      </c>
      <c r="E3383" s="2">
        <v>80</v>
      </c>
      <c r="F3383" s="2">
        <v>1555.98</v>
      </c>
    </row>
    <row r="3384" spans="3:6" x14ac:dyDescent="0.25">
      <c r="C3384" s="2" t="s">
        <v>11413</v>
      </c>
      <c r="D3384" s="2" t="s">
        <v>122</v>
      </c>
      <c r="E3384" s="2">
        <v>61</v>
      </c>
      <c r="F3384" s="2">
        <v>1252.18</v>
      </c>
    </row>
    <row r="3385" spans="3:6" x14ac:dyDescent="0.25">
      <c r="C3385" s="2" t="s">
        <v>11414</v>
      </c>
      <c r="D3385" s="2" t="s">
        <v>122</v>
      </c>
      <c r="E3385" s="2">
        <v>32</v>
      </c>
      <c r="F3385" s="2">
        <v>629.13</v>
      </c>
    </row>
    <row r="3386" spans="3:6" x14ac:dyDescent="0.25">
      <c r="C3386" s="2" t="s">
        <v>11415</v>
      </c>
      <c r="D3386" s="2" t="s">
        <v>122</v>
      </c>
      <c r="E3386" s="2">
        <v>68</v>
      </c>
      <c r="F3386" s="2">
        <v>1383.18</v>
      </c>
    </row>
    <row r="3387" spans="3:6" x14ac:dyDescent="0.25">
      <c r="C3387" s="2" t="s">
        <v>11416</v>
      </c>
      <c r="D3387" s="2" t="s">
        <v>122</v>
      </c>
      <c r="E3387" s="2">
        <v>41</v>
      </c>
      <c r="F3387" s="2">
        <v>841.56</v>
      </c>
    </row>
    <row r="3388" spans="3:6" x14ac:dyDescent="0.25">
      <c r="C3388" s="2" t="s">
        <v>11417</v>
      </c>
      <c r="D3388" s="2" t="s">
        <v>122</v>
      </c>
      <c r="E3388" s="2">
        <v>60</v>
      </c>
      <c r="F3388" s="2">
        <v>260.8</v>
      </c>
    </row>
    <row r="3389" spans="3:6" x14ac:dyDescent="0.25">
      <c r="C3389" s="2" t="s">
        <v>11418</v>
      </c>
      <c r="D3389" s="2" t="s">
        <v>122</v>
      </c>
      <c r="E3389" s="2">
        <v>51</v>
      </c>
      <c r="F3389" s="2">
        <v>217.529</v>
      </c>
    </row>
    <row r="3390" spans="3:6" x14ac:dyDescent="0.25">
      <c r="C3390" s="2" t="s">
        <v>11419</v>
      </c>
      <c r="D3390" s="2" t="s">
        <v>122</v>
      </c>
      <c r="E3390" s="2">
        <v>9</v>
      </c>
      <c r="F3390" s="2">
        <v>186.27</v>
      </c>
    </row>
    <row r="3391" spans="3:6" x14ac:dyDescent="0.25">
      <c r="C3391" s="2" t="s">
        <v>11420</v>
      </c>
      <c r="D3391" s="2" t="s">
        <v>122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90</v>
      </c>
      <c r="C3393" s="2" t="s">
        <v>11421</v>
      </c>
      <c r="D3393" s="2" t="s">
        <v>9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11422</v>
      </c>
      <c r="D3394" s="2" t="s">
        <v>9</v>
      </c>
      <c r="E3394" s="2">
        <v>123</v>
      </c>
      <c r="F3394" s="2">
        <v>2515.309</v>
      </c>
    </row>
    <row r="3395" spans="3:6" x14ac:dyDescent="0.25">
      <c r="C3395" s="2" t="s">
        <v>11423</v>
      </c>
      <c r="D3395" s="2" t="s">
        <v>9</v>
      </c>
      <c r="E3395" s="2">
        <v>123</v>
      </c>
      <c r="F3395" s="2">
        <v>2576.86</v>
      </c>
    </row>
    <row r="3396" spans="3:6" x14ac:dyDescent="0.25">
      <c r="C3396" s="2" t="s">
        <v>11424</v>
      </c>
      <c r="D3396" s="2" t="s">
        <v>9</v>
      </c>
      <c r="E3396" s="2">
        <v>134</v>
      </c>
      <c r="F3396" s="2">
        <v>2690.87</v>
      </c>
    </row>
    <row r="3397" spans="3:6" x14ac:dyDescent="0.25">
      <c r="C3397" s="2" t="s">
        <v>11425</v>
      </c>
      <c r="D3397" s="2" t="s">
        <v>9</v>
      </c>
      <c r="E3397" s="2">
        <v>45</v>
      </c>
      <c r="F3397" s="2">
        <v>197.799</v>
      </c>
    </row>
    <row r="3398" spans="3:6" x14ac:dyDescent="0.25">
      <c r="C3398" s="2" t="s">
        <v>11426</v>
      </c>
      <c r="D3398" s="2" t="s">
        <v>9</v>
      </c>
      <c r="E3398" s="2">
        <v>141</v>
      </c>
      <c r="F3398" s="2">
        <v>2850.45</v>
      </c>
    </row>
    <row r="3399" spans="3:6" x14ac:dyDescent="0.25">
      <c r="C3399" s="2" t="s">
        <v>11427</v>
      </c>
      <c r="D3399" s="2" t="s">
        <v>9</v>
      </c>
      <c r="E3399" s="2">
        <v>141</v>
      </c>
      <c r="F3399" s="2">
        <v>2866.33</v>
      </c>
    </row>
    <row r="3400" spans="3:6" x14ac:dyDescent="0.25">
      <c r="C3400" s="2" t="s">
        <v>11428</v>
      </c>
      <c r="D3400" s="2" t="s">
        <v>9</v>
      </c>
      <c r="E3400" s="2">
        <v>123</v>
      </c>
      <c r="F3400" s="2">
        <v>2567.5</v>
      </c>
    </row>
    <row r="3401" spans="3:6" x14ac:dyDescent="0.25">
      <c r="C3401" s="2" t="s">
        <v>11429</v>
      </c>
      <c r="D3401" s="2" t="s">
        <v>9</v>
      </c>
      <c r="E3401" s="2">
        <v>102</v>
      </c>
      <c r="F3401" s="2">
        <v>2081.9</v>
      </c>
    </row>
    <row r="3402" spans="3:6" x14ac:dyDescent="0.25">
      <c r="C3402" s="2" t="s">
        <v>11430</v>
      </c>
      <c r="D3402" s="2" t="s">
        <v>9</v>
      </c>
      <c r="E3402" s="2">
        <v>141</v>
      </c>
      <c r="F3402" s="2">
        <v>2896.58</v>
      </c>
    </row>
    <row r="3403" spans="3:6" x14ac:dyDescent="0.25">
      <c r="C3403" s="2" t="s">
        <v>11431</v>
      </c>
      <c r="D3403" s="2" t="s">
        <v>9</v>
      </c>
      <c r="E3403" s="2">
        <v>141</v>
      </c>
      <c r="F3403" s="2">
        <v>2946.36</v>
      </c>
    </row>
    <row r="3404" spans="3:6" x14ac:dyDescent="0.25">
      <c r="C3404" s="2" t="s">
        <v>11432</v>
      </c>
      <c r="D3404" s="2" t="s">
        <v>9</v>
      </c>
      <c r="E3404" s="2">
        <v>141</v>
      </c>
      <c r="F3404" s="2">
        <v>2963.63</v>
      </c>
    </row>
    <row r="3405" spans="3:6" x14ac:dyDescent="0.25">
      <c r="C3405" s="2" t="s">
        <v>11433</v>
      </c>
      <c r="D3405" s="2" t="s">
        <v>9</v>
      </c>
      <c r="E3405" s="2">
        <v>102</v>
      </c>
      <c r="F3405" s="2">
        <v>2159.809</v>
      </c>
    </row>
    <row r="3406" spans="3:6" x14ac:dyDescent="0.25">
      <c r="C3406" s="2" t="s">
        <v>11434</v>
      </c>
      <c r="D3406" s="2" t="s">
        <v>9</v>
      </c>
      <c r="E3406" s="2">
        <v>60</v>
      </c>
      <c r="F3406" s="2">
        <v>269.45</v>
      </c>
    </row>
    <row r="3407" spans="3:6" x14ac:dyDescent="0.25">
      <c r="C3407" s="2" t="s">
        <v>11435</v>
      </c>
      <c r="D3407" s="2" t="s">
        <v>9</v>
      </c>
      <c r="E3407" s="2">
        <v>141</v>
      </c>
      <c r="F3407" s="2">
        <v>2894.97</v>
      </c>
    </row>
    <row r="3408" spans="3:6" x14ac:dyDescent="0.25">
      <c r="C3408" s="2" t="s">
        <v>11436</v>
      </c>
      <c r="D3408" s="2" t="s">
        <v>9</v>
      </c>
      <c r="E3408" s="2">
        <v>142</v>
      </c>
      <c r="F3408" s="2">
        <v>2796.95</v>
      </c>
    </row>
    <row r="3409" spans="3:6" x14ac:dyDescent="0.25">
      <c r="C3409" s="2" t="s">
        <v>11437</v>
      </c>
      <c r="D3409" s="2" t="s">
        <v>9</v>
      </c>
      <c r="E3409" s="2">
        <v>60</v>
      </c>
      <c r="F3409" s="2">
        <v>261.329</v>
      </c>
    </row>
    <row r="3410" spans="3:6" x14ac:dyDescent="0.25">
      <c r="C3410" s="2" t="s">
        <v>11438</v>
      </c>
      <c r="D3410" s="2" t="s">
        <v>9</v>
      </c>
      <c r="E3410" s="2">
        <v>1</v>
      </c>
      <c r="F3410" s="2">
        <v>2.8</v>
      </c>
    </row>
    <row r="3411" spans="3:6" x14ac:dyDescent="0.25">
      <c r="C3411" s="2" t="s">
        <v>11439</v>
      </c>
      <c r="D3411" s="2" t="s">
        <v>9</v>
      </c>
      <c r="E3411" s="2">
        <v>57</v>
      </c>
      <c r="F3411" s="2">
        <v>1160.41</v>
      </c>
    </row>
    <row r="3412" spans="3:6" x14ac:dyDescent="0.25">
      <c r="C3412" s="2" t="s">
        <v>11440</v>
      </c>
      <c r="D3412" s="2" t="s">
        <v>9</v>
      </c>
      <c r="E3412" s="2">
        <v>84</v>
      </c>
      <c r="F3412" s="2">
        <v>1624.77</v>
      </c>
    </row>
    <row r="3413" spans="3:6" x14ac:dyDescent="0.25">
      <c r="C3413" s="2" t="s">
        <v>11441</v>
      </c>
      <c r="D3413" s="2" t="s">
        <v>9</v>
      </c>
      <c r="E3413" s="2">
        <v>141</v>
      </c>
      <c r="F3413" s="2">
        <v>2870.7</v>
      </c>
    </row>
    <row r="3414" spans="3:6" x14ac:dyDescent="0.25">
      <c r="C3414" s="2" t="s">
        <v>11442</v>
      </c>
      <c r="D3414" s="2" t="s">
        <v>9</v>
      </c>
      <c r="E3414" s="2">
        <v>141</v>
      </c>
      <c r="F3414" s="2">
        <v>2821.82</v>
      </c>
    </row>
    <row r="3415" spans="3:6" x14ac:dyDescent="0.25">
      <c r="C3415" s="2" t="s">
        <v>11443</v>
      </c>
      <c r="D3415" s="2" t="s">
        <v>9</v>
      </c>
      <c r="E3415" s="2">
        <v>141</v>
      </c>
      <c r="F3415" s="2">
        <v>2962.119</v>
      </c>
    </row>
    <row r="3416" spans="3:6" x14ac:dyDescent="0.25">
      <c r="C3416" s="2" t="s">
        <v>11444</v>
      </c>
      <c r="D3416" s="2" t="s">
        <v>9</v>
      </c>
      <c r="E3416" s="2">
        <v>141</v>
      </c>
      <c r="F3416" s="2">
        <v>2902.57</v>
      </c>
    </row>
    <row r="3417" spans="3:6" x14ac:dyDescent="0.25">
      <c r="C3417" s="2" t="s">
        <v>11445</v>
      </c>
      <c r="D3417" s="2" t="s">
        <v>9</v>
      </c>
      <c r="E3417" s="2">
        <v>102</v>
      </c>
      <c r="F3417" s="2">
        <v>2115.349</v>
      </c>
    </row>
    <row r="3418" spans="3:6" x14ac:dyDescent="0.25">
      <c r="C3418" s="2" t="s">
        <v>11446</v>
      </c>
      <c r="D3418" s="2" t="s">
        <v>9</v>
      </c>
      <c r="E3418" s="2">
        <v>85</v>
      </c>
      <c r="F3418" s="2">
        <v>1728.22</v>
      </c>
    </row>
    <row r="3419" spans="3:6" x14ac:dyDescent="0.25">
      <c r="C3419" s="2" t="s">
        <v>11447</v>
      </c>
      <c r="D3419" s="2" t="s">
        <v>9</v>
      </c>
      <c r="E3419" s="2">
        <v>23</v>
      </c>
      <c r="F3419" s="2">
        <v>483.419</v>
      </c>
    </row>
    <row r="3420" spans="3:6" x14ac:dyDescent="0.25">
      <c r="C3420" s="2" t="s">
        <v>11448</v>
      </c>
      <c r="D3420" s="2" t="s">
        <v>9</v>
      </c>
      <c r="E3420" s="2">
        <v>34</v>
      </c>
      <c r="F3420" s="2">
        <v>658.77</v>
      </c>
    </row>
    <row r="3421" spans="3:6" x14ac:dyDescent="0.25">
      <c r="C3421" s="2" t="s">
        <v>11449</v>
      </c>
      <c r="D3421" s="2" t="s">
        <v>9</v>
      </c>
      <c r="E3421" s="2">
        <v>102</v>
      </c>
      <c r="F3421" s="2">
        <v>2110.04</v>
      </c>
    </row>
    <row r="3422" spans="3:6" x14ac:dyDescent="0.25">
      <c r="C3422" s="2" t="s">
        <v>11450</v>
      </c>
      <c r="D3422" s="2" t="s">
        <v>9</v>
      </c>
      <c r="E3422" s="2">
        <v>75</v>
      </c>
      <c r="F3422" s="2">
        <v>1529.97</v>
      </c>
    </row>
    <row r="3423" spans="3:6" x14ac:dyDescent="0.25">
      <c r="C3423" s="2" t="s">
        <v>11451</v>
      </c>
      <c r="D3423" s="2" t="s">
        <v>9</v>
      </c>
      <c r="E3423" s="2">
        <v>51</v>
      </c>
      <c r="F3423" s="2">
        <v>1007.819</v>
      </c>
    </row>
    <row r="3424" spans="3:6" x14ac:dyDescent="0.25">
      <c r="C3424" s="2" t="s">
        <v>11452</v>
      </c>
      <c r="D3424" s="2" t="s">
        <v>9</v>
      </c>
      <c r="E3424" s="2">
        <v>22</v>
      </c>
      <c r="F3424" s="2">
        <v>425.01</v>
      </c>
    </row>
    <row r="3425" spans="3:6" x14ac:dyDescent="0.25">
      <c r="C3425" s="2" t="s">
        <v>11453</v>
      </c>
      <c r="D3425" s="2" t="s">
        <v>9</v>
      </c>
      <c r="E3425" s="2">
        <v>7</v>
      </c>
      <c r="F3425" s="2">
        <v>132.68</v>
      </c>
    </row>
    <row r="3426" spans="3:6" x14ac:dyDescent="0.25">
      <c r="C3426" s="2" t="s">
        <v>11454</v>
      </c>
      <c r="D3426" s="2" t="s">
        <v>9</v>
      </c>
      <c r="E3426" s="2">
        <v>22</v>
      </c>
      <c r="F3426" s="2">
        <v>459.43</v>
      </c>
    </row>
    <row r="3427" spans="3:6" x14ac:dyDescent="0.25">
      <c r="C3427" s="2" t="s">
        <v>11455</v>
      </c>
      <c r="D3427" s="2" t="s">
        <v>9</v>
      </c>
      <c r="E3427" s="2">
        <v>69</v>
      </c>
      <c r="F3427" s="2">
        <v>1395.579</v>
      </c>
    </row>
    <row r="3428" spans="3:6" x14ac:dyDescent="0.25">
      <c r="C3428" s="2" t="s">
        <v>11456</v>
      </c>
      <c r="D3428" s="2" t="s">
        <v>9</v>
      </c>
      <c r="E3428" s="2">
        <v>33</v>
      </c>
      <c r="F3428" s="2">
        <v>691.33</v>
      </c>
    </row>
    <row r="3429" spans="3:6" x14ac:dyDescent="0.25">
      <c r="C3429" s="2" t="s">
        <v>11457</v>
      </c>
      <c r="D3429" s="2" t="s">
        <v>9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14</v>
      </c>
      <c r="C3431" s="2" t="s">
        <v>11458</v>
      </c>
      <c r="D3431" s="2" t="s">
        <v>12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11459</v>
      </c>
      <c r="D3432" s="2" t="s">
        <v>12</v>
      </c>
      <c r="E3432" s="2">
        <v>156</v>
      </c>
      <c r="F3432" s="2">
        <v>3195.59</v>
      </c>
    </row>
    <row r="3433" spans="3:6" x14ac:dyDescent="0.25">
      <c r="C3433" s="2" t="s">
        <v>11460</v>
      </c>
      <c r="D3433" s="2" t="s">
        <v>12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10</v>
      </c>
      <c r="C3435" s="2" t="s">
        <v>11461</v>
      </c>
      <c r="D3435" s="2" t="s">
        <v>12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11462</v>
      </c>
      <c r="D3436" s="2" t="s">
        <v>12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1101</v>
      </c>
      <c r="C3438" s="2" t="s">
        <v>11463</v>
      </c>
      <c r="D3438" s="2" t="s">
        <v>20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11464</v>
      </c>
      <c r="D3439" s="2" t="s">
        <v>20</v>
      </c>
      <c r="E3439" s="2">
        <v>120</v>
      </c>
      <c r="F3439" s="2">
        <v>2278.571</v>
      </c>
    </row>
    <row r="3440" spans="3:6" x14ac:dyDescent="0.25">
      <c r="C3440" s="2" t="s">
        <v>11465</v>
      </c>
      <c r="D3440" s="2" t="s">
        <v>20</v>
      </c>
      <c r="E3440" s="2">
        <v>268</v>
      </c>
      <c r="F3440" s="2">
        <v>5184.799</v>
      </c>
    </row>
    <row r="3441" spans="3:6" x14ac:dyDescent="0.25">
      <c r="C3441" s="2" t="s">
        <v>11466</v>
      </c>
      <c r="D3441" s="2" t="s">
        <v>20</v>
      </c>
      <c r="E3441" s="2">
        <v>163</v>
      </c>
      <c r="F3441" s="2">
        <v>3038.197</v>
      </c>
    </row>
    <row r="3442" spans="3:6" x14ac:dyDescent="0.25">
      <c r="C3442" s="2" t="s">
        <v>11467</v>
      </c>
      <c r="D3442" s="2" t="s">
        <v>20</v>
      </c>
      <c r="E3442" s="2">
        <v>268</v>
      </c>
      <c r="F3442" s="2">
        <v>4939.508</v>
      </c>
    </row>
    <row r="3443" spans="3:6" x14ac:dyDescent="0.25">
      <c r="C3443" s="2" t="s">
        <v>11468</v>
      </c>
      <c r="D3443" s="2" t="s">
        <v>20</v>
      </c>
      <c r="E3443" s="2">
        <v>105</v>
      </c>
      <c r="F3443" s="2">
        <v>2176.11</v>
      </c>
    </row>
    <row r="3444" spans="3:6" x14ac:dyDescent="0.25">
      <c r="C3444" s="2" t="s">
        <v>11469</v>
      </c>
      <c r="D3444" s="2" t="s">
        <v>20</v>
      </c>
      <c r="E3444" s="2">
        <v>210</v>
      </c>
      <c r="F3444" s="2">
        <v>4314.88</v>
      </c>
    </row>
    <row r="3445" spans="3:6" x14ac:dyDescent="0.25">
      <c r="C3445" s="2" t="s">
        <v>11470</v>
      </c>
      <c r="D3445" s="2" t="s">
        <v>20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380</v>
      </c>
      <c r="C3447" s="2" t="s">
        <v>11471</v>
      </c>
      <c r="D3447" s="2" t="s">
        <v>20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11472</v>
      </c>
      <c r="D3448" s="2" t="s">
        <v>20</v>
      </c>
      <c r="E3448" s="2">
        <v>102</v>
      </c>
      <c r="F3448" s="2">
        <v>1934.63</v>
      </c>
    </row>
    <row r="3449" spans="3:6" x14ac:dyDescent="0.25">
      <c r="C3449" s="2" t="s">
        <v>11473</v>
      </c>
      <c r="D3449" s="2" t="s">
        <v>20</v>
      </c>
      <c r="E3449" s="2">
        <v>102</v>
      </c>
      <c r="F3449" s="2">
        <v>1928.82</v>
      </c>
    </row>
    <row r="3450" spans="3:6" x14ac:dyDescent="0.25">
      <c r="C3450" s="2" t="s">
        <v>11474</v>
      </c>
      <c r="D3450" s="2" t="s">
        <v>20</v>
      </c>
      <c r="E3450" s="2">
        <v>149</v>
      </c>
      <c r="F3450" s="2">
        <v>2815.339</v>
      </c>
    </row>
    <row r="3451" spans="3:6" x14ac:dyDescent="0.25">
      <c r="C3451" s="2" t="s">
        <v>11475</v>
      </c>
      <c r="D3451" s="2" t="s">
        <v>20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2738</v>
      </c>
      <c r="C3453" s="2" t="s">
        <v>11476</v>
      </c>
      <c r="D3453" s="2" t="s">
        <v>20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11477</v>
      </c>
      <c r="D3454" s="2" t="s">
        <v>20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324</v>
      </c>
      <c r="C3456" s="2" t="s">
        <v>11478</v>
      </c>
      <c r="D3456" s="2" t="s">
        <v>27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11479</v>
      </c>
      <c r="D3457" s="2" t="s">
        <v>27</v>
      </c>
      <c r="E3457" s="2">
        <v>82</v>
      </c>
      <c r="F3457" s="2">
        <v>1635.16</v>
      </c>
    </row>
    <row r="3458" spans="3:6" x14ac:dyDescent="0.25">
      <c r="C3458" s="2" t="s">
        <v>11480</v>
      </c>
      <c r="D3458" s="2" t="s">
        <v>27</v>
      </c>
      <c r="E3458" s="2">
        <v>97</v>
      </c>
      <c r="F3458" s="2">
        <v>1848.279</v>
      </c>
    </row>
    <row r="3459" spans="3:6" x14ac:dyDescent="0.25">
      <c r="C3459" s="2" t="s">
        <v>11481</v>
      </c>
      <c r="D3459" s="2" t="s">
        <v>27</v>
      </c>
      <c r="E3459" s="2">
        <v>46</v>
      </c>
      <c r="F3459" s="2">
        <v>858.86</v>
      </c>
    </row>
    <row r="3460" spans="3:6" x14ac:dyDescent="0.25">
      <c r="C3460" s="2" t="s">
        <v>11482</v>
      </c>
      <c r="D3460" s="2" t="s">
        <v>27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40</v>
      </c>
      <c r="C3462" s="2" t="s">
        <v>11483</v>
      </c>
      <c r="D3462" s="2" t="s">
        <v>42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11484</v>
      </c>
      <c r="D3463" s="2" t="s">
        <v>42</v>
      </c>
      <c r="E3463" s="2">
        <v>123</v>
      </c>
      <c r="F3463" s="2">
        <v>2439.339</v>
      </c>
    </row>
    <row r="3464" spans="3:6" x14ac:dyDescent="0.25">
      <c r="C3464" s="2" t="s">
        <v>11485</v>
      </c>
      <c r="D3464" s="2" t="s">
        <v>42</v>
      </c>
      <c r="E3464" s="2">
        <v>118</v>
      </c>
      <c r="F3464" s="2">
        <v>1948.535</v>
      </c>
    </row>
    <row r="3465" spans="3:6" x14ac:dyDescent="0.25">
      <c r="C3465" s="2" t="s">
        <v>11486</v>
      </c>
      <c r="D3465" s="2" t="s">
        <v>42</v>
      </c>
      <c r="E3465" s="2">
        <v>141</v>
      </c>
      <c r="F3465" s="2">
        <v>2883.62</v>
      </c>
    </row>
    <row r="3466" spans="3:6" x14ac:dyDescent="0.25">
      <c r="C3466" s="2" t="s">
        <v>11487</v>
      </c>
      <c r="D3466" s="2" t="s">
        <v>42</v>
      </c>
      <c r="E3466" s="2">
        <v>141</v>
      </c>
      <c r="F3466" s="2">
        <v>2871.81</v>
      </c>
    </row>
    <row r="3467" spans="3:6" x14ac:dyDescent="0.25">
      <c r="C3467" s="2" t="s">
        <v>11488</v>
      </c>
      <c r="D3467" s="2" t="s">
        <v>42</v>
      </c>
      <c r="E3467" s="2">
        <v>141</v>
      </c>
      <c r="F3467" s="2">
        <v>2938.819</v>
      </c>
    </row>
    <row r="3468" spans="3:6" x14ac:dyDescent="0.25">
      <c r="C3468" s="2" t="s">
        <v>11489</v>
      </c>
      <c r="D3468" s="2" t="s">
        <v>42</v>
      </c>
      <c r="E3468" s="2">
        <v>103</v>
      </c>
      <c r="F3468" s="2">
        <v>2055.11</v>
      </c>
    </row>
    <row r="3469" spans="3:6" x14ac:dyDescent="0.25">
      <c r="C3469" s="2" t="s">
        <v>11490</v>
      </c>
      <c r="D3469" s="2" t="s">
        <v>42</v>
      </c>
      <c r="E3469" s="2">
        <v>102</v>
      </c>
      <c r="F3469" s="2">
        <v>2089.4</v>
      </c>
    </row>
    <row r="3470" spans="3:6" x14ac:dyDescent="0.25">
      <c r="C3470" s="2" t="s">
        <v>11491</v>
      </c>
      <c r="D3470" s="2" t="s">
        <v>42</v>
      </c>
      <c r="E3470" s="2">
        <v>102</v>
      </c>
      <c r="F3470" s="2">
        <v>2044.13</v>
      </c>
    </row>
    <row r="3471" spans="3:6" x14ac:dyDescent="0.25">
      <c r="C3471" s="2" t="s">
        <v>11492</v>
      </c>
      <c r="D3471" s="2" t="s">
        <v>42</v>
      </c>
      <c r="E3471" s="2">
        <v>53</v>
      </c>
      <c r="F3471" s="2">
        <v>1059.27</v>
      </c>
    </row>
    <row r="3472" spans="3:6" x14ac:dyDescent="0.25">
      <c r="C3472" s="2" t="s">
        <v>11493</v>
      </c>
      <c r="D3472" s="2" t="s">
        <v>42</v>
      </c>
      <c r="E3472" s="2">
        <v>42</v>
      </c>
      <c r="F3472" s="2">
        <v>1112.4</v>
      </c>
    </row>
    <row r="3473" spans="3:6" x14ac:dyDescent="0.25">
      <c r="C3473" s="2" t="s">
        <v>11494</v>
      </c>
      <c r="D3473" s="2" t="s">
        <v>42</v>
      </c>
      <c r="E3473" s="2">
        <v>20</v>
      </c>
      <c r="F3473" s="2">
        <v>394.01</v>
      </c>
    </row>
    <row r="3474" spans="3:6" x14ac:dyDescent="0.25">
      <c r="C3474" s="2" t="s">
        <v>11495</v>
      </c>
      <c r="D3474" s="2" t="s">
        <v>42</v>
      </c>
      <c r="E3474" s="2">
        <v>65</v>
      </c>
      <c r="F3474" s="2">
        <v>1349.72</v>
      </c>
    </row>
    <row r="3475" spans="3:6" x14ac:dyDescent="0.25">
      <c r="C3475" s="2" t="s">
        <v>11496</v>
      </c>
      <c r="D3475" s="2" t="s">
        <v>42</v>
      </c>
      <c r="E3475" s="2">
        <v>128</v>
      </c>
      <c r="F3475" s="2">
        <v>2663.55</v>
      </c>
    </row>
    <row r="3476" spans="3:6" x14ac:dyDescent="0.25">
      <c r="C3476" s="2" t="s">
        <v>11497</v>
      </c>
      <c r="D3476" s="2" t="s">
        <v>42</v>
      </c>
      <c r="E3476" s="2">
        <v>13</v>
      </c>
      <c r="F3476" s="2">
        <v>223.19</v>
      </c>
    </row>
    <row r="3477" spans="3:6" x14ac:dyDescent="0.25">
      <c r="C3477" s="2" t="s">
        <v>11498</v>
      </c>
      <c r="D3477" s="2" t="s">
        <v>42</v>
      </c>
      <c r="E3477" s="2">
        <v>42</v>
      </c>
      <c r="F3477" s="2">
        <v>828.22</v>
      </c>
    </row>
    <row r="3478" spans="3:6" x14ac:dyDescent="0.25">
      <c r="C3478" s="2" t="s">
        <v>11499</v>
      </c>
      <c r="D3478" s="2" t="s">
        <v>42</v>
      </c>
      <c r="E3478" s="2">
        <v>99</v>
      </c>
      <c r="F3478" s="2">
        <v>2058.869</v>
      </c>
    </row>
    <row r="3479" spans="3:6" x14ac:dyDescent="0.25">
      <c r="C3479" s="2" t="s">
        <v>11500</v>
      </c>
      <c r="D3479" s="2" t="s">
        <v>42</v>
      </c>
      <c r="E3479" s="2">
        <v>50</v>
      </c>
      <c r="F3479" s="2">
        <v>271.45</v>
      </c>
    </row>
    <row r="3480" spans="3:6" x14ac:dyDescent="0.25">
      <c r="C3480" s="2" t="s">
        <v>11501</v>
      </c>
      <c r="D3480" s="2" t="s">
        <v>42</v>
      </c>
      <c r="E3480" s="2">
        <v>60</v>
      </c>
      <c r="F3480" s="2">
        <v>294.819</v>
      </c>
    </row>
    <row r="3481" spans="3:6" x14ac:dyDescent="0.25">
      <c r="C3481" s="2" t="s">
        <v>11502</v>
      </c>
      <c r="D3481" s="2" t="s">
        <v>42</v>
      </c>
      <c r="E3481" s="2">
        <v>10</v>
      </c>
      <c r="F3481" s="2">
        <v>171.36</v>
      </c>
    </row>
    <row r="3482" spans="3:6" x14ac:dyDescent="0.25">
      <c r="C3482" s="2" t="s">
        <v>11503</v>
      </c>
      <c r="D3482" s="2" t="s">
        <v>42</v>
      </c>
      <c r="E3482" s="2">
        <v>6</v>
      </c>
      <c r="F3482" s="2">
        <v>85.27</v>
      </c>
    </row>
    <row r="3483" spans="3:6" x14ac:dyDescent="0.25">
      <c r="C3483" s="2" t="s">
        <v>11504</v>
      </c>
      <c r="D3483" s="2" t="s">
        <v>42</v>
      </c>
      <c r="E3483" s="2">
        <v>51</v>
      </c>
      <c r="F3483" s="2">
        <v>872.385</v>
      </c>
    </row>
    <row r="3484" spans="3:6" x14ac:dyDescent="0.25">
      <c r="C3484" s="2" t="s">
        <v>11505</v>
      </c>
      <c r="D3484" s="2" t="s">
        <v>42</v>
      </c>
      <c r="E3484" s="2">
        <v>60</v>
      </c>
      <c r="F3484" s="2">
        <v>1232.1</v>
      </c>
    </row>
    <row r="3485" spans="3:6" x14ac:dyDescent="0.25">
      <c r="C3485" s="2" t="s">
        <v>11506</v>
      </c>
      <c r="D3485" s="2" t="s">
        <v>42</v>
      </c>
      <c r="E3485" s="2">
        <v>56</v>
      </c>
      <c r="F3485" s="2">
        <v>1104.45</v>
      </c>
    </row>
    <row r="3486" spans="3:6" x14ac:dyDescent="0.25">
      <c r="C3486" s="2" t="s">
        <v>11507</v>
      </c>
      <c r="D3486" s="2" t="s">
        <v>42</v>
      </c>
      <c r="E3486" s="2">
        <v>32</v>
      </c>
      <c r="F3486" s="2">
        <v>606.38</v>
      </c>
    </row>
    <row r="3487" spans="3:6" x14ac:dyDescent="0.25">
      <c r="C3487" s="2" t="s">
        <v>11508</v>
      </c>
      <c r="D3487" s="2" t="s">
        <v>42</v>
      </c>
      <c r="E3487" s="2">
        <v>91</v>
      </c>
      <c r="F3487" s="2">
        <v>1852.099</v>
      </c>
    </row>
    <row r="3488" spans="3:6" x14ac:dyDescent="0.25">
      <c r="C3488" s="2" t="s">
        <v>11509</v>
      </c>
      <c r="D3488" s="2" t="s">
        <v>42</v>
      </c>
      <c r="E3488" s="2">
        <v>50</v>
      </c>
      <c r="F3488" s="2">
        <v>1040.68</v>
      </c>
    </row>
    <row r="3489" spans="3:6" x14ac:dyDescent="0.25">
      <c r="C3489" s="2" t="s">
        <v>11510</v>
      </c>
      <c r="D3489" s="2" t="s">
        <v>42</v>
      </c>
      <c r="E3489" s="2">
        <v>135</v>
      </c>
      <c r="F3489" s="2">
        <v>1531.666</v>
      </c>
    </row>
    <row r="3490" spans="3:6" x14ac:dyDescent="0.25">
      <c r="C3490" s="2" t="s">
        <v>11511</v>
      </c>
      <c r="D3490" s="2" t="s">
        <v>42</v>
      </c>
      <c r="E3490" s="2">
        <v>45</v>
      </c>
      <c r="F3490" s="2">
        <v>235.26</v>
      </c>
    </row>
    <row r="3491" spans="3:6" x14ac:dyDescent="0.25">
      <c r="C3491" s="2" t="s">
        <v>11512</v>
      </c>
      <c r="D3491" s="2" t="s">
        <v>42</v>
      </c>
      <c r="E3491" s="2">
        <v>102</v>
      </c>
      <c r="F3491" s="2">
        <v>2024.61</v>
      </c>
    </row>
    <row r="3492" spans="3:6" x14ac:dyDescent="0.25">
      <c r="C3492" s="2" t="s">
        <v>11513</v>
      </c>
      <c r="D3492" s="2" t="s">
        <v>42</v>
      </c>
      <c r="E3492" s="2">
        <v>102</v>
      </c>
      <c r="F3492" s="2">
        <v>2080.35</v>
      </c>
    </row>
    <row r="3493" spans="3:6" x14ac:dyDescent="0.25">
      <c r="C3493" s="2" t="s">
        <v>11514</v>
      </c>
      <c r="D3493" s="2" t="s">
        <v>42</v>
      </c>
      <c r="E3493" s="2">
        <v>53</v>
      </c>
      <c r="F3493" s="2">
        <v>1083.84</v>
      </c>
    </row>
    <row r="3494" spans="3:6" x14ac:dyDescent="0.25">
      <c r="C3494" s="2" t="s">
        <v>11515</v>
      </c>
      <c r="D3494" s="2" t="s">
        <v>42</v>
      </c>
      <c r="E3494" s="2">
        <v>115</v>
      </c>
      <c r="F3494" s="2">
        <v>2344.59</v>
      </c>
    </row>
    <row r="3495" spans="3:6" x14ac:dyDescent="0.25">
      <c r="C3495" s="2" t="s">
        <v>11516</v>
      </c>
      <c r="D3495" s="2" t="s">
        <v>42</v>
      </c>
      <c r="E3495" s="2">
        <v>107</v>
      </c>
      <c r="F3495" s="2">
        <v>2240.352</v>
      </c>
    </row>
    <row r="3496" spans="3:6" x14ac:dyDescent="0.25">
      <c r="C3496" s="2" t="s">
        <v>11517</v>
      </c>
      <c r="D3496" s="2" t="s">
        <v>42</v>
      </c>
      <c r="E3496" s="2">
        <v>88</v>
      </c>
      <c r="F3496" s="2">
        <v>1794.31</v>
      </c>
    </row>
    <row r="3497" spans="3:6" x14ac:dyDescent="0.25">
      <c r="C3497" s="2" t="s">
        <v>11518</v>
      </c>
      <c r="D3497" s="2" t="s">
        <v>42</v>
      </c>
      <c r="E3497" s="2">
        <v>26</v>
      </c>
      <c r="F3497" s="2">
        <v>451.188</v>
      </c>
    </row>
    <row r="3498" spans="3:6" x14ac:dyDescent="0.25">
      <c r="C3498" s="2" t="s">
        <v>11519</v>
      </c>
      <c r="D3498" s="2" t="s">
        <v>42</v>
      </c>
      <c r="E3498" s="2">
        <v>109</v>
      </c>
      <c r="F3498" s="2">
        <v>2190.93</v>
      </c>
    </row>
    <row r="3499" spans="3:6" x14ac:dyDescent="0.25">
      <c r="C3499" s="2" t="s">
        <v>11520</v>
      </c>
      <c r="D3499" s="2" t="s">
        <v>42</v>
      </c>
      <c r="E3499" s="2">
        <v>25</v>
      </c>
      <c r="F3499" s="2">
        <v>525.5</v>
      </c>
    </row>
    <row r="3500" spans="3:6" x14ac:dyDescent="0.25">
      <c r="C3500" s="2" t="s">
        <v>11503</v>
      </c>
      <c r="D3500" s="2" t="s">
        <v>42</v>
      </c>
      <c r="E3500" s="2">
        <v>6</v>
      </c>
      <c r="F3500" s="2">
        <v>100</v>
      </c>
    </row>
    <row r="3501" spans="3:6" x14ac:dyDescent="0.25">
      <c r="C3501" s="2" t="s">
        <v>11513</v>
      </c>
      <c r="D3501" s="2" t="s">
        <v>42</v>
      </c>
      <c r="E3501" s="2">
        <v>102</v>
      </c>
      <c r="F3501" s="2">
        <v>2080.35</v>
      </c>
    </row>
    <row r="3502" spans="3:6" x14ac:dyDescent="0.25">
      <c r="C3502" s="2" t="s">
        <v>11512</v>
      </c>
      <c r="D3502" s="2" t="s">
        <v>42</v>
      </c>
      <c r="E3502" s="2">
        <v>102</v>
      </c>
      <c r="F3502" s="2">
        <v>2024.61</v>
      </c>
    </row>
    <row r="3503" spans="3:6" x14ac:dyDescent="0.25">
      <c r="C3503" s="2" t="s">
        <v>11487</v>
      </c>
      <c r="D3503" s="2" t="s">
        <v>42</v>
      </c>
      <c r="E3503" s="2">
        <v>141</v>
      </c>
      <c r="F3503" s="2">
        <v>2871.81</v>
      </c>
    </row>
    <row r="3504" spans="3:6" x14ac:dyDescent="0.25">
      <c r="C3504" s="2" t="s">
        <v>11488</v>
      </c>
      <c r="D3504" s="2" t="s">
        <v>42</v>
      </c>
      <c r="E3504" s="2">
        <v>141</v>
      </c>
      <c r="F3504" s="2">
        <v>2938.819</v>
      </c>
    </row>
    <row r="3505" spans="3:6" x14ac:dyDescent="0.25">
      <c r="C3505" s="2" t="s">
        <v>11489</v>
      </c>
      <c r="D3505" s="2" t="s">
        <v>42</v>
      </c>
      <c r="E3505" s="2">
        <v>103</v>
      </c>
      <c r="F3505" s="2">
        <v>2055.11</v>
      </c>
    </row>
    <row r="3506" spans="3:6" x14ac:dyDescent="0.25">
      <c r="C3506" s="2" t="s">
        <v>11490</v>
      </c>
      <c r="D3506" s="2" t="s">
        <v>42</v>
      </c>
      <c r="E3506" s="2">
        <v>102</v>
      </c>
      <c r="F3506" s="2">
        <v>2089.4</v>
      </c>
    </row>
    <row r="3507" spans="3:6" x14ac:dyDescent="0.25">
      <c r="C3507" s="2" t="s">
        <v>11491</v>
      </c>
      <c r="D3507" s="2" t="s">
        <v>42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8925</v>
      </c>
      <c r="C3509" s="2" t="s">
        <v>11521</v>
      </c>
      <c r="D3509" s="2" t="s">
        <v>122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11522</v>
      </c>
      <c r="D3510" s="2" t="s">
        <v>122</v>
      </c>
      <c r="E3510" s="2">
        <v>89</v>
      </c>
      <c r="F3510" s="2">
        <v>1814.679</v>
      </c>
    </row>
    <row r="3511" spans="3:6" x14ac:dyDescent="0.25">
      <c r="C3511" s="2" t="s">
        <v>11523</v>
      </c>
      <c r="D3511" s="2" t="s">
        <v>122</v>
      </c>
      <c r="E3511" s="2">
        <v>52</v>
      </c>
      <c r="F3511" s="2">
        <v>1039.29</v>
      </c>
    </row>
    <row r="3512" spans="3:6" x14ac:dyDescent="0.25">
      <c r="C3512" s="2" t="s">
        <v>11524</v>
      </c>
      <c r="D3512" s="2" t="s">
        <v>122</v>
      </c>
      <c r="E3512" s="2">
        <v>141</v>
      </c>
      <c r="F3512" s="2">
        <v>2946.69</v>
      </c>
    </row>
    <row r="3513" spans="3:6" x14ac:dyDescent="0.25">
      <c r="C3513" s="2" t="s">
        <v>11525</v>
      </c>
      <c r="D3513" s="2" t="s">
        <v>122</v>
      </c>
      <c r="E3513" s="2">
        <v>141</v>
      </c>
      <c r="F3513" s="2">
        <v>2820.02</v>
      </c>
    </row>
    <row r="3514" spans="3:6" x14ac:dyDescent="0.25">
      <c r="C3514" s="2" t="s">
        <v>11526</v>
      </c>
      <c r="D3514" s="2" t="s">
        <v>122</v>
      </c>
      <c r="E3514" s="2">
        <v>81</v>
      </c>
      <c r="F3514" s="2">
        <v>1675.709</v>
      </c>
    </row>
    <row r="3515" spans="3:6" x14ac:dyDescent="0.25">
      <c r="C3515" s="2" t="s">
        <v>11527</v>
      </c>
      <c r="D3515" s="2" t="s">
        <v>122</v>
      </c>
      <c r="E3515" s="2">
        <v>33</v>
      </c>
      <c r="F3515" s="2">
        <v>591.41</v>
      </c>
    </row>
    <row r="3516" spans="3:6" x14ac:dyDescent="0.25">
      <c r="C3516" s="2" t="s">
        <v>11528</v>
      </c>
      <c r="D3516" s="2" t="s">
        <v>122</v>
      </c>
      <c r="E3516" s="2">
        <v>28</v>
      </c>
      <c r="F3516" s="2">
        <v>536.7</v>
      </c>
    </row>
    <row r="3517" spans="3:6" x14ac:dyDescent="0.25">
      <c r="C3517" s="2" t="s">
        <v>11529</v>
      </c>
      <c r="D3517" s="2" t="s">
        <v>122</v>
      </c>
      <c r="E3517" s="2">
        <v>141</v>
      </c>
      <c r="F3517" s="2">
        <v>3002.08</v>
      </c>
    </row>
    <row r="3518" spans="3:6" x14ac:dyDescent="0.25">
      <c r="C3518" s="2" t="s">
        <v>11530</v>
      </c>
      <c r="D3518" s="2" t="s">
        <v>122</v>
      </c>
      <c r="E3518" s="2">
        <v>121</v>
      </c>
      <c r="F3518" s="2">
        <v>2471.17</v>
      </c>
    </row>
    <row r="3519" spans="3:6" x14ac:dyDescent="0.25">
      <c r="C3519" s="2" t="s">
        <v>11531</v>
      </c>
      <c r="D3519" s="2" t="s">
        <v>122</v>
      </c>
      <c r="E3519" s="2">
        <v>121</v>
      </c>
      <c r="F3519" s="2">
        <v>2528.96</v>
      </c>
    </row>
    <row r="3520" spans="3:6" x14ac:dyDescent="0.25">
      <c r="C3520" s="2" t="s">
        <v>11532</v>
      </c>
      <c r="D3520" s="2" t="s">
        <v>122</v>
      </c>
      <c r="E3520" s="2">
        <v>141</v>
      </c>
      <c r="F3520" s="2">
        <v>2755.8</v>
      </c>
    </row>
    <row r="3521" spans="3:6" x14ac:dyDescent="0.25">
      <c r="C3521" s="2" t="s">
        <v>11533</v>
      </c>
      <c r="D3521" s="2" t="s">
        <v>122</v>
      </c>
      <c r="E3521" s="2">
        <v>121</v>
      </c>
      <c r="F3521" s="2">
        <v>2520.58</v>
      </c>
    </row>
    <row r="3522" spans="3:6" x14ac:dyDescent="0.25">
      <c r="C3522" s="2" t="s">
        <v>11534</v>
      </c>
      <c r="D3522" s="2" t="s">
        <v>122</v>
      </c>
      <c r="E3522" s="2">
        <v>102</v>
      </c>
      <c r="F3522" s="2">
        <v>2108.79</v>
      </c>
    </row>
    <row r="3523" spans="3:6" x14ac:dyDescent="0.25">
      <c r="C3523" s="2" t="s">
        <v>11535</v>
      </c>
      <c r="D3523" s="2" t="s">
        <v>122</v>
      </c>
      <c r="E3523" s="2">
        <v>70</v>
      </c>
      <c r="F3523" s="2">
        <v>1402.22</v>
      </c>
    </row>
    <row r="3524" spans="3:6" x14ac:dyDescent="0.25">
      <c r="C3524" s="2" t="s">
        <v>11536</v>
      </c>
      <c r="D3524" s="2" t="s">
        <v>122</v>
      </c>
      <c r="E3524" s="2">
        <v>32</v>
      </c>
      <c r="F3524" s="2">
        <v>666.75</v>
      </c>
    </row>
    <row r="3525" spans="3:6" x14ac:dyDescent="0.25">
      <c r="C3525" s="2" t="s">
        <v>11537</v>
      </c>
      <c r="D3525" s="2" t="s">
        <v>122</v>
      </c>
      <c r="E3525" s="2">
        <v>52</v>
      </c>
      <c r="F3525" s="2">
        <v>231.5</v>
      </c>
    </row>
    <row r="3526" spans="3:6" x14ac:dyDescent="0.25">
      <c r="C3526" s="2" t="s">
        <v>11538</v>
      </c>
      <c r="D3526" s="2" t="s">
        <v>122</v>
      </c>
      <c r="E3526" s="2">
        <v>71</v>
      </c>
      <c r="F3526" s="2">
        <v>1270.41</v>
      </c>
    </row>
    <row r="3527" spans="3:6" x14ac:dyDescent="0.25">
      <c r="C3527" s="2" t="s">
        <v>11539</v>
      </c>
      <c r="D3527" s="2" t="s">
        <v>122</v>
      </c>
      <c r="E3527" s="2">
        <v>98</v>
      </c>
      <c r="F3527" s="2">
        <v>1792.26</v>
      </c>
    </row>
    <row r="3528" spans="3:6" x14ac:dyDescent="0.25">
      <c r="C3528" s="2" t="s">
        <v>11540</v>
      </c>
      <c r="D3528" s="2" t="s">
        <v>122</v>
      </c>
      <c r="E3528" s="2">
        <v>34</v>
      </c>
      <c r="F3528" s="2">
        <v>688.78</v>
      </c>
    </row>
    <row r="3529" spans="3:6" x14ac:dyDescent="0.25">
      <c r="C3529" s="2" t="s">
        <v>11541</v>
      </c>
      <c r="D3529" s="2" t="s">
        <v>122</v>
      </c>
      <c r="E3529" s="2">
        <v>18</v>
      </c>
      <c r="F3529" s="2">
        <v>330.64</v>
      </c>
    </row>
    <row r="3530" spans="3:6" x14ac:dyDescent="0.25">
      <c r="C3530" s="2" t="s">
        <v>11542</v>
      </c>
      <c r="D3530" s="2" t="s">
        <v>122</v>
      </c>
      <c r="E3530" s="2">
        <v>26</v>
      </c>
      <c r="F3530" s="2">
        <v>513.92</v>
      </c>
    </row>
    <row r="3531" spans="3:6" x14ac:dyDescent="0.25">
      <c r="C3531" s="2" t="s">
        <v>11543</v>
      </c>
      <c r="D3531" s="2" t="s">
        <v>122</v>
      </c>
      <c r="E3531" s="2">
        <v>67</v>
      </c>
      <c r="F3531" s="2">
        <v>1200.199</v>
      </c>
    </row>
    <row r="3532" spans="3:6" x14ac:dyDescent="0.25">
      <c r="C3532" s="2" t="s">
        <v>11544</v>
      </c>
      <c r="D3532" s="2" t="s">
        <v>122</v>
      </c>
      <c r="E3532" s="2">
        <v>81</v>
      </c>
      <c r="F3532" s="2">
        <v>1569.43</v>
      </c>
    </row>
    <row r="3533" spans="3:6" x14ac:dyDescent="0.25">
      <c r="C3533" s="2" t="s">
        <v>11545</v>
      </c>
      <c r="D3533" s="2" t="s">
        <v>122</v>
      </c>
      <c r="E3533" s="2">
        <v>36</v>
      </c>
      <c r="F3533" s="2">
        <v>714.46</v>
      </c>
    </row>
    <row r="3534" spans="3:6" x14ac:dyDescent="0.25">
      <c r="C3534" s="2" t="s">
        <v>11546</v>
      </c>
      <c r="D3534" s="2" t="s">
        <v>122</v>
      </c>
      <c r="E3534" s="2">
        <v>35</v>
      </c>
      <c r="F3534" s="2">
        <v>660.52</v>
      </c>
    </row>
    <row r="3535" spans="3:6" x14ac:dyDescent="0.25">
      <c r="C3535" s="2" t="s">
        <v>11547</v>
      </c>
      <c r="D3535" s="2" t="s">
        <v>122</v>
      </c>
      <c r="E3535" s="2">
        <v>23</v>
      </c>
      <c r="F3535" s="2">
        <v>755.189</v>
      </c>
    </row>
    <row r="3536" spans="3:6" x14ac:dyDescent="0.25">
      <c r="C3536" s="2" t="s">
        <v>11548</v>
      </c>
      <c r="D3536" s="2" t="s">
        <v>122</v>
      </c>
      <c r="E3536" s="2">
        <v>32</v>
      </c>
      <c r="F3536" s="2">
        <v>630.69</v>
      </c>
    </row>
    <row r="3537" spans="3:6" x14ac:dyDescent="0.25">
      <c r="C3537" s="2" t="s">
        <v>11549</v>
      </c>
      <c r="D3537" s="2" t="s">
        <v>122</v>
      </c>
      <c r="E3537" s="2">
        <v>9</v>
      </c>
      <c r="F3537" s="2">
        <v>166.67</v>
      </c>
    </row>
    <row r="3538" spans="3:6" x14ac:dyDescent="0.25">
      <c r="C3538" s="2" t="s">
        <v>11550</v>
      </c>
      <c r="D3538" s="2" t="s">
        <v>122</v>
      </c>
      <c r="E3538" s="2">
        <v>44</v>
      </c>
      <c r="F3538" s="2">
        <v>1130.27</v>
      </c>
    </row>
    <row r="3539" spans="3:6" x14ac:dyDescent="0.25">
      <c r="C3539" s="2" t="s">
        <v>11551</v>
      </c>
      <c r="D3539" s="2" t="s">
        <v>122</v>
      </c>
      <c r="E3539" s="2">
        <v>60</v>
      </c>
      <c r="F3539" s="2">
        <v>1243.34</v>
      </c>
    </row>
    <row r="3540" spans="3:6" x14ac:dyDescent="0.25">
      <c r="C3540" s="2" t="s">
        <v>11552</v>
      </c>
      <c r="D3540" s="2" t="s">
        <v>122</v>
      </c>
      <c r="E3540" s="2">
        <v>29</v>
      </c>
      <c r="F3540" s="2">
        <v>583.17</v>
      </c>
    </row>
    <row r="3541" spans="3:6" x14ac:dyDescent="0.25">
      <c r="C3541" s="2" t="s">
        <v>11553</v>
      </c>
      <c r="D3541" s="2" t="s">
        <v>122</v>
      </c>
      <c r="E3541" s="2">
        <v>75</v>
      </c>
      <c r="F3541" s="2">
        <v>1476.55</v>
      </c>
    </row>
    <row r="3542" spans="3:6" x14ac:dyDescent="0.25">
      <c r="C3542" s="2" t="s">
        <v>11554</v>
      </c>
      <c r="D3542" s="2" t="s">
        <v>122</v>
      </c>
      <c r="E3542" s="2">
        <v>103</v>
      </c>
      <c r="F3542" s="2">
        <v>2066.99</v>
      </c>
    </row>
    <row r="3543" spans="3:6" x14ac:dyDescent="0.25">
      <c r="C3543" s="2" t="s">
        <v>11555</v>
      </c>
      <c r="D3543" s="2" t="s">
        <v>122</v>
      </c>
      <c r="E3543" s="2">
        <v>25</v>
      </c>
      <c r="F3543" s="2">
        <v>449.26</v>
      </c>
    </row>
    <row r="3544" spans="3:6" x14ac:dyDescent="0.25">
      <c r="C3544" s="2" t="s">
        <v>11556</v>
      </c>
      <c r="D3544" s="2" t="s">
        <v>122</v>
      </c>
      <c r="E3544" s="2">
        <v>13</v>
      </c>
      <c r="F3544" s="2">
        <v>259.67</v>
      </c>
    </row>
    <row r="3545" spans="3:6" x14ac:dyDescent="0.25">
      <c r="C3545" s="2" t="s">
        <v>11557</v>
      </c>
      <c r="D3545" s="2" t="s">
        <v>122</v>
      </c>
      <c r="E3545" s="2">
        <v>81</v>
      </c>
      <c r="F3545" s="2">
        <v>1664.289</v>
      </c>
    </row>
    <row r="3546" spans="3:6" x14ac:dyDescent="0.25">
      <c r="C3546" s="2" t="s">
        <v>11558</v>
      </c>
      <c r="D3546" s="2" t="s">
        <v>122</v>
      </c>
      <c r="E3546" s="2">
        <v>60</v>
      </c>
      <c r="F3546" s="2">
        <v>1203.57</v>
      </c>
    </row>
    <row r="3547" spans="3:6" x14ac:dyDescent="0.25">
      <c r="C3547" s="2" t="s">
        <v>11559</v>
      </c>
      <c r="D3547" s="2" t="s">
        <v>122</v>
      </c>
      <c r="E3547" s="2">
        <v>141</v>
      </c>
      <c r="F3547" s="2">
        <v>2824.84</v>
      </c>
    </row>
    <row r="3548" spans="3:6" x14ac:dyDescent="0.25">
      <c r="C3548" s="2" t="s">
        <v>11560</v>
      </c>
      <c r="D3548" s="2" t="s">
        <v>122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10</v>
      </c>
      <c r="C3550" s="2" t="s">
        <v>11561</v>
      </c>
      <c r="D3550" s="2" t="s">
        <v>12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11562</v>
      </c>
      <c r="D3551" s="2" t="s">
        <v>12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503</v>
      </c>
      <c r="C3553" s="2" t="s">
        <v>11563</v>
      </c>
      <c r="D3553" s="2" t="s">
        <v>42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453</v>
      </c>
      <c r="C3555" s="2" t="s">
        <v>11564</v>
      </c>
      <c r="D3555" s="2" t="s">
        <v>204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11565</v>
      </c>
      <c r="D3556" s="2" t="s">
        <v>204</v>
      </c>
      <c r="E3556" s="2">
        <v>163</v>
      </c>
      <c r="F3556" s="2">
        <v>3169.03</v>
      </c>
    </row>
    <row r="3557" spans="3:6" x14ac:dyDescent="0.25">
      <c r="C3557" s="2" t="s">
        <v>11566</v>
      </c>
      <c r="D3557" s="2" t="s">
        <v>204</v>
      </c>
      <c r="E3557" s="2">
        <v>163</v>
      </c>
      <c r="F3557" s="2">
        <v>3007.379</v>
      </c>
    </row>
    <row r="3558" spans="3:6" x14ac:dyDescent="0.25">
      <c r="C3558" s="2" t="s">
        <v>11567</v>
      </c>
      <c r="D3558" s="2" t="s">
        <v>204</v>
      </c>
      <c r="E3558" s="2">
        <v>295</v>
      </c>
      <c r="F3558" s="2">
        <v>770.843</v>
      </c>
    </row>
    <row r="3559" spans="3:5" x14ac:dyDescent="0.25">
      <c r="C3559" s="2" t="s">
        <v>11568</v>
      </c>
      <c r="D3559" s="2" t="s">
        <v>204</v>
      </c>
      <c r="E3559" s="2">
        <v>71</v>
      </c>
    </row>
    <row r="3560" spans="3:6" x14ac:dyDescent="0.25">
      <c r="C3560" s="2" t="s">
        <v>11569</v>
      </c>
      <c r="D3560" s="2" t="s">
        <v>204</v>
      </c>
      <c r="E3560" s="2">
        <v>92</v>
      </c>
      <c r="F3560" s="2">
        <v>1738.57</v>
      </c>
    </row>
    <row r="3561" spans="3:6" x14ac:dyDescent="0.25">
      <c r="C3561" s="2" t="s">
        <v>11570</v>
      </c>
      <c r="D3561" s="2" t="s">
        <v>204</v>
      </c>
      <c r="E3561" s="2">
        <v>105</v>
      </c>
      <c r="F3561" s="2">
        <v>2076.18</v>
      </c>
    </row>
    <row r="3562" spans="3:6" x14ac:dyDescent="0.25">
      <c r="C3562" s="2" t="s">
        <v>11571</v>
      </c>
      <c r="D3562" s="2" t="s">
        <v>204</v>
      </c>
      <c r="E3562" s="2">
        <v>134</v>
      </c>
      <c r="F3562" s="2">
        <v>0</v>
      </c>
    </row>
    <row r="3563" spans="3:6" x14ac:dyDescent="0.25">
      <c r="C3563" s="2" t="s">
        <v>11572</v>
      </c>
      <c r="D3563" s="2" t="s">
        <v>204</v>
      </c>
      <c r="E3563" s="2">
        <v>105</v>
      </c>
      <c r="F3563" s="2">
        <v>0</v>
      </c>
    </row>
    <row r="3564" spans="3:6" x14ac:dyDescent="0.25">
      <c r="C3564" s="2" t="s">
        <v>11573</v>
      </c>
      <c r="D3564" s="2" t="s">
        <v>214</v>
      </c>
      <c r="E3564" s="2">
        <v>100</v>
      </c>
      <c r="F3564" s="2">
        <v>1986.51</v>
      </c>
    </row>
    <row r="3565" spans="3:6" x14ac:dyDescent="0.25">
      <c r="C3565" s="2" t="s">
        <v>11574</v>
      </c>
      <c r="D3565" s="2" t="s">
        <v>214</v>
      </c>
      <c r="E3565" s="2">
        <v>56</v>
      </c>
      <c r="F3565" s="2">
        <v>1122.73</v>
      </c>
    </row>
    <row r="3566" spans="3:6" x14ac:dyDescent="0.25">
      <c r="C3566" s="2" t="s">
        <v>11575</v>
      </c>
      <c r="D3566" s="2" t="s">
        <v>214</v>
      </c>
      <c r="E3566" s="2">
        <v>100</v>
      </c>
      <c r="F3566" s="2">
        <v>1935.899</v>
      </c>
    </row>
    <row r="3567" spans="3:6" x14ac:dyDescent="0.25">
      <c r="C3567" s="2" t="s">
        <v>11576</v>
      </c>
      <c r="D3567" s="2" t="s">
        <v>214</v>
      </c>
      <c r="E3567" s="2">
        <v>56</v>
      </c>
      <c r="F3567" s="2">
        <v>1074.65</v>
      </c>
    </row>
    <row r="3568" spans="3:6" x14ac:dyDescent="0.25">
      <c r="C3568" s="2" t="s">
        <v>11577</v>
      </c>
      <c r="D3568" s="2" t="s">
        <v>214</v>
      </c>
      <c r="E3568" s="2">
        <v>56</v>
      </c>
      <c r="F3568" s="2">
        <v>0</v>
      </c>
    </row>
    <row r="3569" spans="3:6" x14ac:dyDescent="0.25">
      <c r="C3569" s="2" t="s">
        <v>11578</v>
      </c>
      <c r="D3569" s="2" t="s">
        <v>214</v>
      </c>
      <c r="E3569" s="2">
        <v>100</v>
      </c>
      <c r="F3569" s="2">
        <v>1936.47</v>
      </c>
    </row>
    <row r="3570" spans="3:6" x14ac:dyDescent="0.25">
      <c r="C3570" s="2" t="s">
        <v>11579</v>
      </c>
      <c r="D3570" s="2" t="s">
        <v>216</v>
      </c>
      <c r="E3570" s="2">
        <v>134</v>
      </c>
      <c r="F3570" s="2">
        <v>2730.32</v>
      </c>
    </row>
    <row r="3571" spans="3:6" x14ac:dyDescent="0.25">
      <c r="C3571" s="2" t="s">
        <v>11580</v>
      </c>
      <c r="D3571" s="2" t="s">
        <v>216</v>
      </c>
      <c r="E3571" s="2">
        <v>134</v>
      </c>
      <c r="F3571" s="2">
        <v>2760.46</v>
      </c>
    </row>
    <row r="3572" spans="3:6" x14ac:dyDescent="0.25">
      <c r="C3572" s="2" t="s">
        <v>11581</v>
      </c>
      <c r="D3572" s="2" t="s">
        <v>216</v>
      </c>
      <c r="E3572" s="2">
        <v>134</v>
      </c>
      <c r="F3572" s="2">
        <v>2753.86</v>
      </c>
    </row>
    <row r="3573" spans="3:6" x14ac:dyDescent="0.25">
      <c r="C3573" s="2" t="s">
        <v>11582</v>
      </c>
      <c r="D3573" s="2" t="s">
        <v>216</v>
      </c>
      <c r="E3573" s="2">
        <v>134</v>
      </c>
      <c r="F3573" s="2">
        <v>2533.09</v>
      </c>
    </row>
    <row r="3574" spans="3:6" x14ac:dyDescent="0.25">
      <c r="C3574" s="2" t="s">
        <v>11583</v>
      </c>
      <c r="D3574" s="2" t="s">
        <v>216</v>
      </c>
      <c r="E3574" s="2">
        <v>95</v>
      </c>
      <c r="F3574" s="2">
        <v>1947.189</v>
      </c>
    </row>
    <row r="3575" spans="3:6" x14ac:dyDescent="0.25">
      <c r="C3575" s="2" t="s">
        <v>11584</v>
      </c>
      <c r="D3575" s="2" t="s">
        <v>236</v>
      </c>
      <c r="E3575" s="2">
        <v>60</v>
      </c>
      <c r="F3575" s="2">
        <v>1083.04</v>
      </c>
    </row>
    <row r="3576" spans="3:6" x14ac:dyDescent="0.25">
      <c r="C3576" s="2" t="s">
        <v>11585</v>
      </c>
      <c r="D3576" s="2" t="s">
        <v>236</v>
      </c>
      <c r="E3576" s="2">
        <v>45</v>
      </c>
      <c r="F3576" s="2">
        <v>820.209</v>
      </c>
    </row>
    <row r="3577" spans="3:6" x14ac:dyDescent="0.25">
      <c r="C3577" s="2" t="s">
        <v>11586</v>
      </c>
      <c r="D3577" s="2" t="s">
        <v>236</v>
      </c>
      <c r="E3577" s="2">
        <v>60</v>
      </c>
      <c r="F3577" s="2">
        <v>1061</v>
      </c>
    </row>
    <row r="3578" spans="3:6" x14ac:dyDescent="0.25">
      <c r="C3578" s="2" t="s">
        <v>11587</v>
      </c>
      <c r="D3578" s="2" t="s">
        <v>236</v>
      </c>
      <c r="E3578" s="2">
        <v>45</v>
      </c>
      <c r="F3578" s="2">
        <v>850.628</v>
      </c>
    </row>
    <row r="3579" spans="3:6" x14ac:dyDescent="0.25">
      <c r="C3579" s="2" t="s">
        <v>11588</v>
      </c>
      <c r="D3579" s="2" t="s">
        <v>236</v>
      </c>
      <c r="E3579" s="2">
        <v>80</v>
      </c>
      <c r="F3579" s="2">
        <v>1656.12</v>
      </c>
    </row>
    <row r="3580" spans="3:5" x14ac:dyDescent="0.25">
      <c r="C3580" s="2" t="s">
        <v>11589</v>
      </c>
      <c r="D3580" s="2" t="s">
        <v>236</v>
      </c>
      <c r="E3580" s="2">
        <v>9</v>
      </c>
    </row>
    <row r="3581" spans="3:6" x14ac:dyDescent="0.25">
      <c r="C3581" s="2" t="s">
        <v>11590</v>
      </c>
      <c r="D3581" s="2" t="s">
        <v>236</v>
      </c>
      <c r="E3581" s="2">
        <v>16</v>
      </c>
      <c r="F3581" s="2">
        <v>326.26</v>
      </c>
    </row>
    <row r="3582" spans="3:6" x14ac:dyDescent="0.25">
      <c r="C3582" s="2" t="s">
        <v>11591</v>
      </c>
      <c r="D3582" s="2" t="s">
        <v>236</v>
      </c>
      <c r="E3582" s="2">
        <v>25</v>
      </c>
      <c r="F3582" s="2">
        <v>505.78</v>
      </c>
    </row>
    <row r="3583" spans="3:6" x14ac:dyDescent="0.25">
      <c r="C3583" s="2" t="s">
        <v>11592</v>
      </c>
      <c r="D3583" s="2" t="s">
        <v>236</v>
      </c>
      <c r="E3583" s="2">
        <v>80</v>
      </c>
      <c r="F3583" s="2">
        <v>1630.669</v>
      </c>
    </row>
    <row r="3584" spans="3:6" x14ac:dyDescent="0.25">
      <c r="C3584" s="2" t="s">
        <v>11352</v>
      </c>
      <c r="D3584" s="2" t="s">
        <v>342</v>
      </c>
      <c r="E3584" s="2">
        <v>104</v>
      </c>
      <c r="F3584" s="2">
        <v>1882.369</v>
      </c>
    </row>
    <row r="3585" spans="3:6" x14ac:dyDescent="0.25">
      <c r="C3585" s="2" t="s">
        <v>11353</v>
      </c>
      <c r="D3585" s="2" t="s">
        <v>342</v>
      </c>
      <c r="E3585" s="2">
        <v>52</v>
      </c>
      <c r="F3585" s="2">
        <v>882.84</v>
      </c>
    </row>
    <row r="3586" spans="3:6" x14ac:dyDescent="0.25">
      <c r="C3586" s="2" t="s">
        <v>11593</v>
      </c>
      <c r="D3586" s="2" t="s">
        <v>347</v>
      </c>
      <c r="E3586" s="2">
        <v>30</v>
      </c>
      <c r="F3586" s="2">
        <v>539.82</v>
      </c>
    </row>
    <row r="3587" spans="3:6" x14ac:dyDescent="0.25">
      <c r="C3587" s="2" t="s">
        <v>11594</v>
      </c>
      <c r="D3587" s="2" t="s">
        <v>347</v>
      </c>
      <c r="E3587" s="2">
        <v>100</v>
      </c>
      <c r="F3587" s="2">
        <v>1927.49</v>
      </c>
    </row>
    <row r="3588" spans="3:6" x14ac:dyDescent="0.25">
      <c r="C3588" s="2" t="s">
        <v>11595</v>
      </c>
      <c r="D3588" s="2" t="s">
        <v>347</v>
      </c>
      <c r="E3588" s="2">
        <v>27</v>
      </c>
      <c r="F3588" s="2">
        <v>494.55</v>
      </c>
    </row>
    <row r="3590" spans="2:6" x14ac:dyDescent="0.25">
      <c r="B3590" s="2" t="s">
        <v>2077</v>
      </c>
      <c r="C3590" s="2" t="s">
        <v>11596</v>
      </c>
      <c r="D3590" s="2" t="s">
        <v>216</v>
      </c>
      <c r="E3590" s="2">
        <v>150</v>
      </c>
      <c r="F3590" s="2">
        <v>2791.12</v>
      </c>
    </row>
    <row r="3591" spans="3:6" x14ac:dyDescent="0.25">
      <c r="C3591" s="2" t="s">
        <v>11597</v>
      </c>
      <c r="D3591" s="2" t="s">
        <v>214</v>
      </c>
      <c r="E3591" s="2">
        <v>106</v>
      </c>
      <c r="F3591" s="2">
        <v>1701.309</v>
      </c>
    </row>
    <row r="3592" spans="3:6" x14ac:dyDescent="0.25">
      <c r="C3592" s="2" t="s">
        <v>11598</v>
      </c>
      <c r="D3592" s="2" t="s">
        <v>204</v>
      </c>
      <c r="E3592" s="2">
        <v>106</v>
      </c>
      <c r="F3592" s="2">
        <v>1892.52</v>
      </c>
    </row>
    <row r="3593" spans="3:6" x14ac:dyDescent="0.25">
      <c r="C3593" s="2" t="s">
        <v>11599</v>
      </c>
      <c r="D3593" s="2" t="s">
        <v>204</v>
      </c>
      <c r="E3593" s="2">
        <v>156</v>
      </c>
      <c r="F3593" s="2">
        <v>2854.527</v>
      </c>
    </row>
    <row r="3594" spans="3:6" x14ac:dyDescent="0.25">
      <c r="C3594" s="2" t="s">
        <v>11600</v>
      </c>
      <c r="D3594" s="2" t="s">
        <v>216</v>
      </c>
      <c r="E3594" s="2">
        <v>19</v>
      </c>
      <c r="F3594" s="2">
        <v>274.4</v>
      </c>
    </row>
    <row r="3595" spans="3:6" x14ac:dyDescent="0.25">
      <c r="C3595" s="2" t="s">
        <v>11601</v>
      </c>
      <c r="D3595" s="2" t="s">
        <v>216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32</v>
      </c>
      <c r="C3597" s="2" t="s">
        <v>11602</v>
      </c>
      <c r="D3597" s="2" t="s">
        <v>20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11603</v>
      </c>
      <c r="D3598" s="2" t="s">
        <v>20</v>
      </c>
      <c r="E3598" s="2">
        <v>105</v>
      </c>
      <c r="F3598" s="2">
        <v>2036.68</v>
      </c>
    </row>
    <row r="3599" spans="3:6" x14ac:dyDescent="0.25">
      <c r="C3599" s="2" t="s">
        <v>11604</v>
      </c>
      <c r="D3599" s="2" t="s">
        <v>20</v>
      </c>
      <c r="E3599" s="2">
        <v>210</v>
      </c>
      <c r="F3599" s="2">
        <v>4024.019</v>
      </c>
    </row>
    <row r="3600" spans="3:6" x14ac:dyDescent="0.25">
      <c r="C3600" s="2" t="s">
        <v>11605</v>
      </c>
      <c r="D3600" s="2" t="s">
        <v>20</v>
      </c>
      <c r="E3600" s="2">
        <v>163</v>
      </c>
      <c r="F3600" s="2">
        <v>3053.5</v>
      </c>
    </row>
    <row r="3601" spans="3:6" x14ac:dyDescent="0.25">
      <c r="C3601" s="2" t="s">
        <v>11606</v>
      </c>
      <c r="D3601" s="2" t="s">
        <v>20</v>
      </c>
      <c r="E3601" s="2">
        <v>256</v>
      </c>
      <c r="F3601" s="2">
        <v>4012.297</v>
      </c>
    </row>
    <row r="3602" spans="3:6" x14ac:dyDescent="0.25">
      <c r="C3602" s="2" t="s">
        <v>11607</v>
      </c>
      <c r="D3602" s="2" t="s">
        <v>20</v>
      </c>
      <c r="E3602" s="2">
        <v>163</v>
      </c>
      <c r="F3602" s="2">
        <v>3041.319</v>
      </c>
    </row>
    <row r="3603" spans="3:6" x14ac:dyDescent="0.25">
      <c r="C3603" s="2" t="s">
        <v>11608</v>
      </c>
      <c r="D3603" s="2" t="s">
        <v>20</v>
      </c>
      <c r="E3603" s="2">
        <v>163</v>
      </c>
      <c r="F3603" s="2">
        <v>3145.517</v>
      </c>
    </row>
    <row r="3604" spans="3:6" x14ac:dyDescent="0.25">
      <c r="C3604" s="2" t="s">
        <v>11609</v>
      </c>
      <c r="D3604" s="2" t="s">
        <v>20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11610</v>
      </c>
      <c r="C3606" s="2" t="s">
        <v>11611</v>
      </c>
      <c r="D3606" s="2" t="s">
        <v>20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11612</v>
      </c>
      <c r="D3607" s="2" t="s">
        <v>20</v>
      </c>
      <c r="E3607" s="2">
        <v>89</v>
      </c>
      <c r="F3607" s="2">
        <v>1843.05</v>
      </c>
    </row>
    <row r="3608" spans="3:6" x14ac:dyDescent="0.25">
      <c r="C3608" s="2" t="s">
        <v>11613</v>
      </c>
      <c r="D3608" s="2" t="s">
        <v>20</v>
      </c>
      <c r="E3608" s="2">
        <v>163</v>
      </c>
      <c r="F3608" s="2">
        <v>3180.059</v>
      </c>
    </row>
    <row r="3609" spans="3:6" x14ac:dyDescent="0.25">
      <c r="C3609" s="2" t="s">
        <v>11614</v>
      </c>
      <c r="D3609" s="2" t="s">
        <v>20</v>
      </c>
      <c r="E3609" s="2">
        <v>163</v>
      </c>
      <c r="F3609" s="2">
        <v>3059.768</v>
      </c>
    </row>
    <row r="3610" spans="3:6" x14ac:dyDescent="0.25">
      <c r="C3610" s="2" t="s">
        <v>11615</v>
      </c>
      <c r="D3610" s="2" t="s">
        <v>20</v>
      </c>
      <c r="E3610" s="2">
        <v>268</v>
      </c>
      <c r="F3610" s="2">
        <v>5194.079</v>
      </c>
    </row>
    <row r="3611" spans="3:6" x14ac:dyDescent="0.25">
      <c r="C3611" s="2" t="s">
        <v>11616</v>
      </c>
      <c r="D3611" s="2" t="s">
        <v>20</v>
      </c>
      <c r="E3611" s="2">
        <v>158</v>
      </c>
      <c r="F3611" s="2">
        <v>2966.51</v>
      </c>
    </row>
    <row r="3612" spans="3:6" x14ac:dyDescent="0.25">
      <c r="C3612" s="2" t="s">
        <v>11617</v>
      </c>
      <c r="D3612" s="2" t="s">
        <v>20</v>
      </c>
      <c r="E3612" s="2">
        <v>268</v>
      </c>
      <c r="F3612" s="2">
        <v>5175.718</v>
      </c>
    </row>
    <row r="3613" spans="3:6" x14ac:dyDescent="0.25">
      <c r="C3613" s="2" t="s">
        <v>11618</v>
      </c>
      <c r="D3613" s="2" t="s">
        <v>20</v>
      </c>
      <c r="E3613" s="2">
        <v>73</v>
      </c>
      <c r="F3613" s="2">
        <v>1342.7</v>
      </c>
    </row>
    <row r="3614" spans="3:6" x14ac:dyDescent="0.25">
      <c r="C3614" s="2" t="s">
        <v>11619</v>
      </c>
      <c r="D3614" s="2" t="s">
        <v>20</v>
      </c>
      <c r="E3614" s="2">
        <v>163</v>
      </c>
      <c r="F3614" s="2">
        <v>3015.689</v>
      </c>
    </row>
    <row r="3615" spans="3:6" x14ac:dyDescent="0.25">
      <c r="C3615" s="2" t="s">
        <v>11620</v>
      </c>
      <c r="D3615" s="2" t="s">
        <v>20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2097</v>
      </c>
      <c r="C3617" s="2" t="s">
        <v>11621</v>
      </c>
      <c r="D3617" s="2" t="s">
        <v>27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11622</v>
      </c>
      <c r="D3618" s="2" t="s">
        <v>27</v>
      </c>
      <c r="E3618" s="2">
        <v>53</v>
      </c>
      <c r="F3618" s="2">
        <v>957.66</v>
      </c>
    </row>
    <row r="3619" spans="3:6" x14ac:dyDescent="0.25">
      <c r="C3619" s="2" t="s">
        <v>11623</v>
      </c>
      <c r="D3619" s="2" t="s">
        <v>27</v>
      </c>
      <c r="E3619" s="2">
        <v>47</v>
      </c>
      <c r="F3619" s="2">
        <v>903.6</v>
      </c>
    </row>
    <row r="3620" spans="3:6" x14ac:dyDescent="0.25">
      <c r="C3620" s="2" t="s">
        <v>11624</v>
      </c>
      <c r="D3620" s="2" t="s">
        <v>27</v>
      </c>
      <c r="E3620" s="2">
        <v>47</v>
      </c>
      <c r="F3620" s="2">
        <v>863.38</v>
      </c>
    </row>
    <row r="3621" spans="3:6" x14ac:dyDescent="0.25">
      <c r="C3621" s="2" t="s">
        <v>11625</v>
      </c>
      <c r="D3621" s="2" t="s">
        <v>27</v>
      </c>
      <c r="E3621" s="2">
        <v>13</v>
      </c>
      <c r="F3621" s="2">
        <v>276.05</v>
      </c>
    </row>
    <row r="3622" spans="3:6" x14ac:dyDescent="0.25">
      <c r="C3622" s="2" t="s">
        <v>11626</v>
      </c>
      <c r="D3622" s="2" t="s">
        <v>27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5633</v>
      </c>
      <c r="C3624" s="2" t="s">
        <v>11627</v>
      </c>
      <c r="D3624" s="2" t="s">
        <v>27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11628</v>
      </c>
      <c r="D3625" s="2" t="s">
        <v>27</v>
      </c>
      <c r="E3625" s="2">
        <v>87</v>
      </c>
      <c r="F3625" s="2">
        <v>1744.22</v>
      </c>
    </row>
    <row r="3626" spans="3:6" x14ac:dyDescent="0.25">
      <c r="C3626" s="2" t="s">
        <v>11629</v>
      </c>
      <c r="D3626" s="2" t="s">
        <v>27</v>
      </c>
      <c r="E3626" s="2">
        <v>7</v>
      </c>
      <c r="F3626" s="2">
        <v>160.93</v>
      </c>
    </row>
    <row r="3627" spans="3:6" x14ac:dyDescent="0.25">
      <c r="C3627" s="2" t="s">
        <v>11630</v>
      </c>
      <c r="D3627" s="2" t="s">
        <v>27</v>
      </c>
      <c r="E3627" s="2">
        <v>53</v>
      </c>
      <c r="F3627" s="2">
        <v>957.27</v>
      </c>
    </row>
    <row r="3628" spans="3:6" x14ac:dyDescent="0.25">
      <c r="C3628" s="2" t="s">
        <v>11631</v>
      </c>
      <c r="D3628" s="2" t="s">
        <v>27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172</v>
      </c>
      <c r="C3630" s="2" t="s">
        <v>11632</v>
      </c>
      <c r="D3630" s="2" t="s">
        <v>9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11633</v>
      </c>
      <c r="D3631" s="2" t="s">
        <v>9</v>
      </c>
      <c r="E3631" s="2">
        <v>124</v>
      </c>
      <c r="F3631" s="2">
        <v>2155.48</v>
      </c>
    </row>
    <row r="3632" spans="3:6" x14ac:dyDescent="0.25">
      <c r="C3632" s="2" t="s">
        <v>11634</v>
      </c>
      <c r="D3632" s="2" t="s">
        <v>9</v>
      </c>
      <c r="E3632" s="2">
        <v>134</v>
      </c>
      <c r="F3632" s="2">
        <v>2155.519</v>
      </c>
    </row>
    <row r="3633" spans="3:6" x14ac:dyDescent="0.25">
      <c r="C3633" s="2" t="s">
        <v>11635</v>
      </c>
      <c r="D3633" s="2" t="s">
        <v>9</v>
      </c>
      <c r="E3633" s="2">
        <v>57</v>
      </c>
      <c r="F3633" s="2">
        <v>1099.74</v>
      </c>
    </row>
    <row r="3634" spans="3:6" x14ac:dyDescent="0.25">
      <c r="C3634" s="2" t="s">
        <v>11636</v>
      </c>
      <c r="D3634" s="2" t="s">
        <v>9</v>
      </c>
      <c r="E3634" s="2">
        <v>66</v>
      </c>
      <c r="F3634" s="2">
        <v>1200.9</v>
      </c>
    </row>
    <row r="3635" spans="3:6" x14ac:dyDescent="0.25">
      <c r="C3635" s="2" t="s">
        <v>11637</v>
      </c>
      <c r="D3635" s="2" t="s">
        <v>9</v>
      </c>
      <c r="E3635" s="2">
        <v>141</v>
      </c>
      <c r="F3635" s="2">
        <v>2979.17</v>
      </c>
    </row>
    <row r="3636" spans="3:6" x14ac:dyDescent="0.25">
      <c r="C3636" s="2" t="s">
        <v>11638</v>
      </c>
      <c r="D3636" s="2" t="s">
        <v>9</v>
      </c>
      <c r="E3636" s="2">
        <v>141</v>
      </c>
      <c r="F3636" s="2">
        <v>2945.409</v>
      </c>
    </row>
    <row r="3637" spans="3:6" x14ac:dyDescent="0.25">
      <c r="C3637" s="2" t="s">
        <v>11639</v>
      </c>
      <c r="D3637" s="2" t="s">
        <v>9</v>
      </c>
      <c r="E3637" s="2">
        <v>143</v>
      </c>
      <c r="F3637" s="2">
        <v>2413.027</v>
      </c>
    </row>
    <row r="3638" spans="3:6" x14ac:dyDescent="0.25">
      <c r="C3638" s="2" t="s">
        <v>11640</v>
      </c>
      <c r="D3638" s="2" t="s">
        <v>9</v>
      </c>
      <c r="E3638" s="2">
        <v>141</v>
      </c>
      <c r="F3638" s="2">
        <v>2866.07</v>
      </c>
    </row>
    <row r="3639" spans="3:6" x14ac:dyDescent="0.25">
      <c r="C3639" s="2" t="s">
        <v>11641</v>
      </c>
      <c r="D3639" s="2" t="s">
        <v>9</v>
      </c>
      <c r="E3639" s="2">
        <v>102</v>
      </c>
      <c r="F3639" s="2">
        <v>2048.938</v>
      </c>
    </row>
    <row r="3640" spans="3:6" x14ac:dyDescent="0.25">
      <c r="C3640" s="2" t="s">
        <v>11642</v>
      </c>
      <c r="D3640" s="2" t="s">
        <v>9</v>
      </c>
      <c r="E3640" s="2">
        <v>45</v>
      </c>
      <c r="F3640" s="2">
        <v>190.44</v>
      </c>
    </row>
    <row r="3641" spans="3:6" x14ac:dyDescent="0.25">
      <c r="C3641" s="2" t="s">
        <v>11643</v>
      </c>
      <c r="D3641" s="2" t="s">
        <v>9</v>
      </c>
      <c r="E3641" s="2">
        <v>123</v>
      </c>
      <c r="F3641" s="2">
        <v>2465.31</v>
      </c>
    </row>
    <row r="3642" spans="3:6" x14ac:dyDescent="0.25">
      <c r="C3642" s="2" t="s">
        <v>11644</v>
      </c>
      <c r="D3642" s="2" t="s">
        <v>9</v>
      </c>
      <c r="E3642" s="2">
        <v>62</v>
      </c>
      <c r="F3642" s="2">
        <v>1115.37</v>
      </c>
    </row>
    <row r="3643" spans="3:6" x14ac:dyDescent="0.25">
      <c r="C3643" s="2" t="s">
        <v>11645</v>
      </c>
      <c r="D3643" s="2" t="s">
        <v>9</v>
      </c>
      <c r="E3643" s="2">
        <v>81</v>
      </c>
      <c r="F3643" s="2">
        <v>1420.229</v>
      </c>
    </row>
    <row r="3644" spans="3:6" x14ac:dyDescent="0.25">
      <c r="C3644" s="2" t="s">
        <v>11646</v>
      </c>
      <c r="D3644" s="2" t="s">
        <v>9</v>
      </c>
      <c r="E3644" s="2">
        <v>48</v>
      </c>
      <c r="F3644" s="2">
        <v>808.91</v>
      </c>
    </row>
    <row r="3645" spans="3:6" x14ac:dyDescent="0.25">
      <c r="C3645" s="2" t="s">
        <v>11647</v>
      </c>
      <c r="D3645" s="2" t="s">
        <v>9</v>
      </c>
      <c r="E3645" s="2">
        <v>93</v>
      </c>
      <c r="F3645" s="2">
        <v>1587.199</v>
      </c>
    </row>
    <row r="3646" spans="3:6" x14ac:dyDescent="0.25">
      <c r="C3646" s="2" t="s">
        <v>11648</v>
      </c>
      <c r="D3646" s="2" t="s">
        <v>9</v>
      </c>
      <c r="E3646" s="2">
        <v>141</v>
      </c>
      <c r="F3646" s="2">
        <v>2684.78</v>
      </c>
    </row>
    <row r="3647" spans="3:6" x14ac:dyDescent="0.25">
      <c r="C3647" s="2" t="s">
        <v>11649</v>
      </c>
      <c r="D3647" s="2" t="s">
        <v>9</v>
      </c>
      <c r="E3647" s="2">
        <v>45</v>
      </c>
      <c r="F3647" s="2">
        <v>188.45</v>
      </c>
    </row>
    <row r="3648" spans="3:6" x14ac:dyDescent="0.25">
      <c r="C3648" s="2" t="s">
        <v>11650</v>
      </c>
      <c r="D3648" s="2" t="s">
        <v>9</v>
      </c>
      <c r="E3648" s="2">
        <v>30</v>
      </c>
      <c r="F3648" s="2">
        <v>132.739</v>
      </c>
    </row>
    <row r="3649" spans="3:6" x14ac:dyDescent="0.25">
      <c r="C3649" s="2" t="s">
        <v>11651</v>
      </c>
      <c r="D3649" s="2" t="s">
        <v>9</v>
      </c>
      <c r="E3649" s="2">
        <v>141</v>
      </c>
      <c r="F3649" s="2">
        <v>2908.49</v>
      </c>
    </row>
    <row r="3650" spans="3:6" x14ac:dyDescent="0.25">
      <c r="C3650" s="2" t="s">
        <v>11652</v>
      </c>
      <c r="D3650" s="2" t="s">
        <v>9</v>
      </c>
      <c r="E3650" s="2">
        <v>141</v>
      </c>
      <c r="F3650" s="2">
        <v>2837.87</v>
      </c>
    </row>
    <row r="3651" spans="3:6" x14ac:dyDescent="0.25">
      <c r="C3651" s="2" t="s">
        <v>11653</v>
      </c>
      <c r="D3651" s="2" t="s">
        <v>9</v>
      </c>
      <c r="E3651" s="2">
        <v>102</v>
      </c>
      <c r="F3651" s="2">
        <v>2060.51</v>
      </c>
    </row>
    <row r="3652" spans="3:6" x14ac:dyDescent="0.25">
      <c r="C3652" s="2" t="s">
        <v>11654</v>
      </c>
      <c r="D3652" s="2" t="s">
        <v>9</v>
      </c>
      <c r="E3652" s="2">
        <v>141</v>
      </c>
      <c r="F3652" s="2">
        <v>2877.02</v>
      </c>
    </row>
    <row r="3653" spans="3:6" x14ac:dyDescent="0.25">
      <c r="C3653" s="2" t="s">
        <v>11655</v>
      </c>
      <c r="D3653" s="2" t="s">
        <v>9</v>
      </c>
      <c r="E3653" s="2">
        <v>102</v>
      </c>
      <c r="F3653" s="2">
        <v>1868.76</v>
      </c>
    </row>
    <row r="3654" spans="3:6" x14ac:dyDescent="0.25">
      <c r="C3654" s="2" t="s">
        <v>11656</v>
      </c>
      <c r="D3654" s="2" t="s">
        <v>9</v>
      </c>
      <c r="E3654" s="2">
        <v>71</v>
      </c>
      <c r="F3654" s="2">
        <v>1258.96</v>
      </c>
    </row>
    <row r="3655" spans="3:6" x14ac:dyDescent="0.25">
      <c r="C3655" s="2" t="s">
        <v>11657</v>
      </c>
      <c r="D3655" s="2" t="s">
        <v>9</v>
      </c>
      <c r="E3655" s="2">
        <v>31</v>
      </c>
      <c r="F3655" s="2">
        <v>542.349</v>
      </c>
    </row>
    <row r="3656" spans="3:6" x14ac:dyDescent="0.25">
      <c r="C3656" s="2" t="s">
        <v>11658</v>
      </c>
      <c r="D3656" s="2" t="s">
        <v>9</v>
      </c>
      <c r="E3656" s="2">
        <v>66</v>
      </c>
      <c r="F3656" s="2">
        <v>1223.68</v>
      </c>
    </row>
    <row r="3657" spans="3:6" x14ac:dyDescent="0.25">
      <c r="C3657" s="2" t="s">
        <v>11659</v>
      </c>
      <c r="D3657" s="2" t="s">
        <v>9</v>
      </c>
      <c r="E3657" s="2">
        <v>36</v>
      </c>
      <c r="F3657" s="2">
        <v>594.27</v>
      </c>
    </row>
    <row r="3658" spans="3:6" x14ac:dyDescent="0.25">
      <c r="C3658" s="2" t="s">
        <v>11660</v>
      </c>
      <c r="D3658" s="2" t="s">
        <v>9</v>
      </c>
      <c r="E3658" s="2">
        <v>72</v>
      </c>
      <c r="F3658" s="2">
        <v>1450.06</v>
      </c>
    </row>
    <row r="3659" spans="3:6" x14ac:dyDescent="0.25">
      <c r="C3659" s="2" t="s">
        <v>11661</v>
      </c>
      <c r="D3659" s="2" t="s">
        <v>9</v>
      </c>
      <c r="E3659" s="2">
        <v>42</v>
      </c>
      <c r="F3659" s="2">
        <v>816.13</v>
      </c>
    </row>
    <row r="3660" spans="3:6" x14ac:dyDescent="0.25">
      <c r="C3660" s="2" t="s">
        <v>11662</v>
      </c>
      <c r="D3660" s="2" t="s">
        <v>9</v>
      </c>
      <c r="E3660" s="2">
        <v>27</v>
      </c>
      <c r="F3660" s="2">
        <v>593.69</v>
      </c>
    </row>
    <row r="3661" spans="3:6" x14ac:dyDescent="0.25">
      <c r="C3661" s="2" t="s">
        <v>11663</v>
      </c>
      <c r="D3661" s="2" t="s">
        <v>9</v>
      </c>
      <c r="E3661" s="2">
        <v>52</v>
      </c>
      <c r="F3661" s="2">
        <v>930.879</v>
      </c>
    </row>
    <row r="3662" spans="3:6" x14ac:dyDescent="0.25">
      <c r="C3662" s="2" t="s">
        <v>11664</v>
      </c>
      <c r="D3662" s="2" t="s">
        <v>9</v>
      </c>
      <c r="E3662" s="2">
        <v>50</v>
      </c>
      <c r="F3662" s="2">
        <v>859.989</v>
      </c>
    </row>
    <row r="3663" spans="3:6" x14ac:dyDescent="0.25">
      <c r="C3663" s="2" t="s">
        <v>11665</v>
      </c>
      <c r="D3663" s="2" t="s">
        <v>9</v>
      </c>
      <c r="E3663" s="2">
        <v>100</v>
      </c>
      <c r="F3663" s="2">
        <v>1688.655</v>
      </c>
    </row>
    <row r="3664" spans="3:6" x14ac:dyDescent="0.25">
      <c r="C3664" s="2" t="s">
        <v>11666</v>
      </c>
      <c r="D3664" s="2" t="s">
        <v>9</v>
      </c>
      <c r="E3664" s="2">
        <v>41</v>
      </c>
      <c r="F3664" s="2">
        <v>839.57</v>
      </c>
    </row>
    <row r="3665" spans="3:6" x14ac:dyDescent="0.25">
      <c r="C3665" s="2" t="s">
        <v>11667</v>
      </c>
      <c r="D3665" s="2" t="s">
        <v>9</v>
      </c>
      <c r="E3665" s="2">
        <v>83</v>
      </c>
      <c r="F3665" s="2">
        <v>1551.019</v>
      </c>
    </row>
    <row r="3666" spans="3:6" x14ac:dyDescent="0.25">
      <c r="C3666" s="2" t="s">
        <v>11668</v>
      </c>
      <c r="D3666" s="2" t="s">
        <v>9</v>
      </c>
      <c r="E3666" s="2">
        <v>21</v>
      </c>
      <c r="F3666" s="2">
        <v>398.82</v>
      </c>
    </row>
    <row r="3667" spans="3:6" x14ac:dyDescent="0.25">
      <c r="C3667" s="2" t="s">
        <v>11669</v>
      </c>
      <c r="D3667" s="2" t="s">
        <v>9</v>
      </c>
      <c r="E3667" s="2">
        <v>6</v>
      </c>
      <c r="F3667" s="2">
        <v>124.72</v>
      </c>
    </row>
    <row r="3668" spans="3:6" x14ac:dyDescent="0.25">
      <c r="C3668" s="2" t="s">
        <v>11670</v>
      </c>
      <c r="D3668" s="2" t="s">
        <v>9</v>
      </c>
      <c r="E3668" s="2">
        <v>31</v>
      </c>
      <c r="F3668" s="2">
        <v>607.3</v>
      </c>
    </row>
    <row r="3669" spans="3:6" x14ac:dyDescent="0.25">
      <c r="C3669" s="2" t="s">
        <v>11671</v>
      </c>
      <c r="D3669" s="2" t="s">
        <v>9</v>
      </c>
      <c r="E3669" s="2">
        <v>75</v>
      </c>
      <c r="F3669" s="2">
        <v>1487.97</v>
      </c>
    </row>
    <row r="3670" spans="3:6" x14ac:dyDescent="0.25">
      <c r="C3670" s="2" t="s">
        <v>11672</v>
      </c>
      <c r="D3670" s="2" t="s">
        <v>9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183</v>
      </c>
      <c r="C3672" s="2" t="s">
        <v>11673</v>
      </c>
      <c r="D3672" s="2" t="s">
        <v>122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11674</v>
      </c>
      <c r="D3673" s="2" t="s">
        <v>122</v>
      </c>
      <c r="E3673" s="2">
        <v>141</v>
      </c>
      <c r="F3673" s="2">
        <v>2797.649</v>
      </c>
    </row>
    <row r="3674" spans="3:6" x14ac:dyDescent="0.25">
      <c r="C3674" s="2" t="s">
        <v>11675</v>
      </c>
      <c r="D3674" s="2" t="s">
        <v>122</v>
      </c>
      <c r="E3674" s="2">
        <v>141</v>
      </c>
      <c r="F3674" s="2">
        <v>2794.339</v>
      </c>
    </row>
    <row r="3675" spans="3:6" x14ac:dyDescent="0.25">
      <c r="C3675" s="2" t="s">
        <v>11676</v>
      </c>
      <c r="D3675" s="2" t="s">
        <v>122</v>
      </c>
      <c r="E3675" s="2">
        <v>102</v>
      </c>
      <c r="F3675" s="2">
        <v>2037.83</v>
      </c>
    </row>
    <row r="3676" spans="3:6" x14ac:dyDescent="0.25">
      <c r="C3676" s="2" t="s">
        <v>11677</v>
      </c>
      <c r="D3676" s="2" t="s">
        <v>122</v>
      </c>
      <c r="E3676" s="2">
        <v>102</v>
      </c>
      <c r="F3676" s="2">
        <v>2117.01</v>
      </c>
    </row>
    <row r="3677" spans="3:6" x14ac:dyDescent="0.25">
      <c r="C3677" s="2" t="s">
        <v>11678</v>
      </c>
      <c r="D3677" s="2" t="s">
        <v>122</v>
      </c>
      <c r="E3677" s="2">
        <v>95</v>
      </c>
      <c r="F3677" s="2">
        <v>1922.85</v>
      </c>
    </row>
    <row r="3678" spans="3:6" x14ac:dyDescent="0.25">
      <c r="C3678" s="2" t="s">
        <v>11679</v>
      </c>
      <c r="D3678" s="2" t="s">
        <v>122</v>
      </c>
      <c r="E3678" s="2">
        <v>40</v>
      </c>
      <c r="F3678" s="2">
        <v>801.79</v>
      </c>
    </row>
    <row r="3679" spans="3:6" x14ac:dyDescent="0.25">
      <c r="C3679" s="2" t="s">
        <v>11680</v>
      </c>
      <c r="D3679" s="2" t="s">
        <v>122</v>
      </c>
      <c r="E3679" s="2">
        <v>6</v>
      </c>
      <c r="F3679" s="2">
        <v>115.69</v>
      </c>
    </row>
    <row r="3680" spans="3:6" x14ac:dyDescent="0.25">
      <c r="C3680" s="2" t="s">
        <v>11681</v>
      </c>
      <c r="D3680" s="2" t="s">
        <v>122</v>
      </c>
      <c r="E3680" s="2">
        <v>75</v>
      </c>
      <c r="F3680" s="2">
        <v>1457.959</v>
      </c>
    </row>
    <row r="3681" spans="3:6" x14ac:dyDescent="0.25">
      <c r="C3681" s="2" t="s">
        <v>11682</v>
      </c>
      <c r="D3681" s="2" t="s">
        <v>122</v>
      </c>
      <c r="E3681" s="2">
        <v>49</v>
      </c>
      <c r="F3681" s="2">
        <v>937.64</v>
      </c>
    </row>
    <row r="3682" spans="3:6" x14ac:dyDescent="0.25">
      <c r="C3682" s="2" t="s">
        <v>11683</v>
      </c>
      <c r="D3682" s="2" t="s">
        <v>122</v>
      </c>
      <c r="E3682" s="2">
        <v>53</v>
      </c>
      <c r="F3682" s="2">
        <v>1008.649</v>
      </c>
    </row>
    <row r="3683" spans="3:6" x14ac:dyDescent="0.25">
      <c r="C3683" s="2" t="s">
        <v>11684</v>
      </c>
      <c r="D3683" s="2" t="s">
        <v>122</v>
      </c>
      <c r="E3683" s="2">
        <v>60</v>
      </c>
      <c r="F3683" s="2">
        <v>1038.03</v>
      </c>
    </row>
    <row r="3684" spans="3:6" x14ac:dyDescent="0.25">
      <c r="C3684" s="2" t="s">
        <v>11685</v>
      </c>
      <c r="D3684" s="2" t="s">
        <v>122</v>
      </c>
      <c r="E3684" s="2">
        <v>20</v>
      </c>
      <c r="F3684" s="2">
        <v>313.139</v>
      </c>
    </row>
    <row r="3685" spans="3:6" x14ac:dyDescent="0.25">
      <c r="C3685" s="2" t="s">
        <v>11686</v>
      </c>
      <c r="D3685" s="2" t="s">
        <v>122</v>
      </c>
      <c r="E3685" s="2">
        <v>20</v>
      </c>
      <c r="F3685" s="2">
        <v>411.14</v>
      </c>
    </row>
    <row r="3686" spans="3:6" x14ac:dyDescent="0.25">
      <c r="C3686" s="2" t="s">
        <v>11687</v>
      </c>
      <c r="D3686" s="2" t="s">
        <v>122</v>
      </c>
      <c r="E3686" s="2">
        <v>143</v>
      </c>
      <c r="F3686" s="2">
        <v>2174.134</v>
      </c>
    </row>
    <row r="3687" spans="3:6" x14ac:dyDescent="0.25">
      <c r="C3687" s="2" t="s">
        <v>11688</v>
      </c>
      <c r="D3687" s="2" t="s">
        <v>122</v>
      </c>
      <c r="E3687" s="2">
        <v>28</v>
      </c>
      <c r="F3687" s="2">
        <v>279.9</v>
      </c>
    </row>
    <row r="3688" spans="3:6" x14ac:dyDescent="0.25">
      <c r="C3688" s="2" t="s">
        <v>11689</v>
      </c>
      <c r="D3688" s="2" t="s">
        <v>122</v>
      </c>
      <c r="E3688" s="2">
        <v>13</v>
      </c>
      <c r="F3688" s="2">
        <v>222.5</v>
      </c>
    </row>
    <row r="3689" spans="3:6" x14ac:dyDescent="0.25">
      <c r="C3689" s="2" t="s">
        <v>11690</v>
      </c>
      <c r="D3689" s="2" t="s">
        <v>122</v>
      </c>
      <c r="E3689" s="2">
        <v>100</v>
      </c>
      <c r="F3689" s="2">
        <v>806.25</v>
      </c>
    </row>
    <row r="3690" spans="3:6" x14ac:dyDescent="0.25">
      <c r="C3690" s="2" t="s">
        <v>11691</v>
      </c>
      <c r="D3690" s="2" t="s">
        <v>122</v>
      </c>
      <c r="E3690" s="2">
        <v>121</v>
      </c>
      <c r="F3690" s="2">
        <v>2528.53</v>
      </c>
    </row>
    <row r="3691" spans="3:6" x14ac:dyDescent="0.25">
      <c r="C3691" s="2" t="s">
        <v>11692</v>
      </c>
      <c r="D3691" s="2" t="s">
        <v>122</v>
      </c>
      <c r="E3691" s="2">
        <v>121</v>
      </c>
      <c r="F3691" s="2">
        <v>2352.639</v>
      </c>
    </row>
    <row r="3692" spans="3:6" x14ac:dyDescent="0.25">
      <c r="C3692" s="2" t="s">
        <v>11693</v>
      </c>
      <c r="D3692" s="2" t="s">
        <v>122</v>
      </c>
      <c r="E3692" s="2">
        <v>121</v>
      </c>
      <c r="F3692" s="2">
        <v>2485.729</v>
      </c>
    </row>
    <row r="3693" spans="3:6" x14ac:dyDescent="0.25">
      <c r="C3693" s="2" t="s">
        <v>11694</v>
      </c>
      <c r="D3693" s="2" t="s">
        <v>122</v>
      </c>
      <c r="E3693" s="2">
        <v>61</v>
      </c>
      <c r="F3693" s="2">
        <v>1244.2</v>
      </c>
    </row>
    <row r="3694" spans="3:6" x14ac:dyDescent="0.25">
      <c r="C3694" s="2" t="s">
        <v>11695</v>
      </c>
      <c r="D3694" s="2" t="s">
        <v>122</v>
      </c>
      <c r="E3694" s="2">
        <v>80</v>
      </c>
      <c r="F3694" s="2">
        <v>1660.4</v>
      </c>
    </row>
    <row r="3695" spans="3:6" x14ac:dyDescent="0.25">
      <c r="C3695" s="2" t="s">
        <v>11696</v>
      </c>
      <c r="D3695" s="2" t="s">
        <v>122</v>
      </c>
      <c r="E3695" s="2">
        <v>121</v>
      </c>
      <c r="F3695" s="2">
        <v>2403.13</v>
      </c>
    </row>
    <row r="3696" spans="3:6" x14ac:dyDescent="0.25">
      <c r="C3696" s="2" t="s">
        <v>11697</v>
      </c>
      <c r="D3696" s="2" t="s">
        <v>122</v>
      </c>
      <c r="E3696" s="2">
        <v>100</v>
      </c>
      <c r="F3696" s="2">
        <v>1894.66</v>
      </c>
    </row>
    <row r="3697" spans="3:6" x14ac:dyDescent="0.25">
      <c r="C3697" s="2" t="s">
        <v>11698</v>
      </c>
      <c r="D3697" s="2" t="s">
        <v>122</v>
      </c>
      <c r="E3697" s="2">
        <v>34</v>
      </c>
      <c r="F3697" s="2">
        <v>683.249</v>
      </c>
    </row>
    <row r="3698" spans="3:6" x14ac:dyDescent="0.25">
      <c r="C3698" s="2" t="s">
        <v>11699</v>
      </c>
      <c r="D3698" s="2" t="s">
        <v>122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11700</v>
      </c>
      <c r="D3699" s="2" t="s">
        <v>122</v>
      </c>
      <c r="E3699" s="2">
        <v>38</v>
      </c>
      <c r="F3699" s="2">
        <v>175.03</v>
      </c>
    </row>
    <row r="3700" spans="3:6" x14ac:dyDescent="0.25">
      <c r="C3700" s="2" t="s">
        <v>11701</v>
      </c>
      <c r="D3700" s="2" t="s">
        <v>122</v>
      </c>
      <c r="E3700" s="2">
        <v>141</v>
      </c>
      <c r="F3700" s="2">
        <v>2868.92</v>
      </c>
    </row>
    <row r="3701" spans="3:6" x14ac:dyDescent="0.25">
      <c r="C3701" s="2" t="s">
        <v>11702</v>
      </c>
      <c r="D3701" s="2" t="s">
        <v>122</v>
      </c>
      <c r="E3701" s="2">
        <v>92</v>
      </c>
      <c r="F3701" s="2">
        <v>1848.46</v>
      </c>
    </row>
    <row r="3702" spans="3:6" x14ac:dyDescent="0.25">
      <c r="C3702" s="2" t="s">
        <v>11703</v>
      </c>
      <c r="D3702" s="2" t="s">
        <v>122</v>
      </c>
      <c r="E3702" s="2">
        <v>49</v>
      </c>
      <c r="F3702" s="2">
        <v>1015.89</v>
      </c>
    </row>
    <row r="3703" spans="3:6" x14ac:dyDescent="0.25">
      <c r="C3703" s="2" t="s">
        <v>11704</v>
      </c>
      <c r="D3703" s="2" t="s">
        <v>122</v>
      </c>
      <c r="E3703" s="2">
        <v>141</v>
      </c>
      <c r="F3703" s="2">
        <v>2879.46</v>
      </c>
    </row>
    <row r="3704" spans="3:6" x14ac:dyDescent="0.25">
      <c r="C3704" s="2" t="s">
        <v>11705</v>
      </c>
      <c r="D3704" s="2" t="s">
        <v>122</v>
      </c>
      <c r="E3704" s="2">
        <v>108</v>
      </c>
      <c r="F3704" s="2">
        <v>2141.929</v>
      </c>
    </row>
    <row r="3705" spans="3:6" x14ac:dyDescent="0.25">
      <c r="C3705" s="2" t="s">
        <v>11706</v>
      </c>
      <c r="D3705" s="2" t="s">
        <v>122</v>
      </c>
      <c r="E3705" s="2">
        <v>33</v>
      </c>
      <c r="F3705" s="2">
        <v>650.47</v>
      </c>
    </row>
    <row r="3706" spans="3:6" x14ac:dyDescent="0.25">
      <c r="C3706" s="2" t="s">
        <v>11707</v>
      </c>
      <c r="D3706" s="2" t="s">
        <v>122</v>
      </c>
      <c r="E3706" s="2">
        <v>64</v>
      </c>
      <c r="F3706" s="2">
        <v>1244.909</v>
      </c>
    </row>
    <row r="3707" spans="3:6" x14ac:dyDescent="0.25">
      <c r="C3707" s="2" t="s">
        <v>11708</v>
      </c>
      <c r="D3707" s="2" t="s">
        <v>122</v>
      </c>
      <c r="E3707" s="2">
        <v>77</v>
      </c>
      <c r="F3707" s="2">
        <v>1592.83</v>
      </c>
    </row>
    <row r="3708" spans="3:6" x14ac:dyDescent="0.25">
      <c r="C3708" s="2" t="s">
        <v>11709</v>
      </c>
      <c r="D3708" s="2" t="s">
        <v>122</v>
      </c>
      <c r="E3708" s="2">
        <v>20</v>
      </c>
      <c r="F3708" s="2">
        <v>411.26</v>
      </c>
    </row>
    <row r="3709" spans="3:6" x14ac:dyDescent="0.25">
      <c r="C3709" s="2" t="s">
        <v>11710</v>
      </c>
      <c r="D3709" s="2" t="s">
        <v>122</v>
      </c>
      <c r="E3709" s="2">
        <v>37</v>
      </c>
      <c r="F3709" s="2">
        <v>794.4</v>
      </c>
    </row>
    <row r="3710" spans="3:6" x14ac:dyDescent="0.25">
      <c r="C3710" s="2" t="s">
        <v>11711</v>
      </c>
      <c r="D3710" s="2" t="s">
        <v>122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398</v>
      </c>
      <c r="C3712" s="2" t="s">
        <v>11712</v>
      </c>
      <c r="D3712" s="2" t="s">
        <v>12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11713</v>
      </c>
      <c r="D3713" s="2" t="s">
        <v>12</v>
      </c>
      <c r="E3713" s="2">
        <v>156</v>
      </c>
      <c r="F3713" s="2">
        <v>3174.72</v>
      </c>
    </row>
    <row r="3714" spans="3:6" x14ac:dyDescent="0.25">
      <c r="C3714" s="2" t="s">
        <v>11714</v>
      </c>
      <c r="D3714" s="2" t="s">
        <v>12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10</v>
      </c>
      <c r="C3716" s="2" t="s">
        <v>11715</v>
      </c>
      <c r="D3716" s="2" t="s">
        <v>12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11716</v>
      </c>
      <c r="D3717" s="2" t="s">
        <v>12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438</v>
      </c>
      <c r="C3719" s="2" t="s">
        <v>11717</v>
      </c>
      <c r="D3719" s="2" t="s">
        <v>42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501</v>
      </c>
      <c r="C3722" s="2" t="s">
        <v>11718</v>
      </c>
      <c r="D3722" s="2" t="s">
        <v>204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2196</v>
      </c>
      <c r="C3724" s="2" t="s">
        <v>11719</v>
      </c>
      <c r="D3724" s="2" t="s">
        <v>9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11720</v>
      </c>
      <c r="D3725" s="2" t="s">
        <v>9</v>
      </c>
      <c r="E3725" s="2">
        <v>102</v>
      </c>
      <c r="F3725" s="2">
        <v>2127.1</v>
      </c>
    </row>
    <row r="3726" spans="3:6" x14ac:dyDescent="0.25">
      <c r="C3726" s="2" t="s">
        <v>11721</v>
      </c>
      <c r="D3726" s="2" t="s">
        <v>9</v>
      </c>
      <c r="E3726" s="2">
        <v>141</v>
      </c>
      <c r="F3726" s="2">
        <v>2958.82</v>
      </c>
    </row>
    <row r="3727" spans="3:6" x14ac:dyDescent="0.25">
      <c r="C3727" s="2" t="s">
        <v>11722</v>
      </c>
      <c r="D3727" s="2" t="s">
        <v>9</v>
      </c>
      <c r="E3727" s="2">
        <v>102</v>
      </c>
      <c r="F3727" s="2">
        <v>2086.77</v>
      </c>
    </row>
    <row r="3728" spans="3:6" x14ac:dyDescent="0.25">
      <c r="C3728" s="2" t="s">
        <v>11723</v>
      </c>
      <c r="D3728" s="2" t="s">
        <v>9</v>
      </c>
      <c r="E3728" s="2">
        <v>45</v>
      </c>
      <c r="F3728" s="2">
        <v>188.049</v>
      </c>
    </row>
    <row r="3729" spans="3:6" x14ac:dyDescent="0.25">
      <c r="C3729" s="2" t="s">
        <v>11724</v>
      </c>
      <c r="D3729" s="2" t="s">
        <v>9</v>
      </c>
      <c r="E3729" s="2">
        <v>102</v>
      </c>
      <c r="F3729" s="2">
        <v>2015.73</v>
      </c>
    </row>
    <row r="3730" spans="3:6" x14ac:dyDescent="0.25">
      <c r="C3730" s="2" t="s">
        <v>11725</v>
      </c>
      <c r="D3730" s="2" t="s">
        <v>9</v>
      </c>
      <c r="E3730" s="2">
        <v>123</v>
      </c>
      <c r="F3730" s="2">
        <v>2340.929</v>
      </c>
    </row>
    <row r="3731" spans="3:6" x14ac:dyDescent="0.25">
      <c r="C3731" s="2" t="s">
        <v>11726</v>
      </c>
      <c r="D3731" s="2" t="s">
        <v>9</v>
      </c>
      <c r="E3731" s="2">
        <v>141</v>
      </c>
      <c r="F3731" s="2">
        <v>2798.559</v>
      </c>
    </row>
    <row r="3732" spans="3:6" x14ac:dyDescent="0.25">
      <c r="C3732" s="2" t="s">
        <v>11727</v>
      </c>
      <c r="D3732" s="2" t="s">
        <v>9</v>
      </c>
      <c r="E3732" s="2">
        <v>141</v>
      </c>
      <c r="F3732" s="2">
        <v>2763.82</v>
      </c>
    </row>
    <row r="3733" spans="3:6" x14ac:dyDescent="0.25">
      <c r="C3733" s="2" t="s">
        <v>11728</v>
      </c>
      <c r="D3733" s="2" t="s">
        <v>9</v>
      </c>
      <c r="E3733" s="2">
        <v>56</v>
      </c>
      <c r="F3733" s="2">
        <v>235.759</v>
      </c>
    </row>
    <row r="3734" spans="3:6" x14ac:dyDescent="0.25">
      <c r="C3734" s="2" t="s">
        <v>11729</v>
      </c>
      <c r="D3734" s="2" t="s">
        <v>9</v>
      </c>
      <c r="E3734" s="2">
        <v>123</v>
      </c>
      <c r="F3734" s="2">
        <v>2208.188</v>
      </c>
    </row>
    <row r="3735" spans="3:6" x14ac:dyDescent="0.25">
      <c r="C3735" s="2" t="s">
        <v>11730</v>
      </c>
      <c r="D3735" s="2" t="s">
        <v>9</v>
      </c>
      <c r="E3735" s="2">
        <v>134</v>
      </c>
      <c r="F3735" s="2">
        <v>2357.24</v>
      </c>
    </row>
    <row r="3736" spans="3:6" x14ac:dyDescent="0.25">
      <c r="C3736" s="2" t="s">
        <v>11731</v>
      </c>
      <c r="D3736" s="2" t="s">
        <v>9</v>
      </c>
      <c r="E3736" s="2">
        <v>145</v>
      </c>
      <c r="F3736" s="2">
        <v>2617.8</v>
      </c>
    </row>
    <row r="3737" spans="3:6" x14ac:dyDescent="0.25">
      <c r="C3737" s="2" t="s">
        <v>11732</v>
      </c>
      <c r="D3737" s="2" t="s">
        <v>9</v>
      </c>
      <c r="E3737" s="2">
        <v>123</v>
      </c>
      <c r="F3737" s="2">
        <v>2420.619</v>
      </c>
    </row>
    <row r="3738" spans="3:6" x14ac:dyDescent="0.25">
      <c r="C3738" s="2" t="s">
        <v>11733</v>
      </c>
      <c r="D3738" s="2" t="s">
        <v>9</v>
      </c>
      <c r="E3738" s="2">
        <v>123</v>
      </c>
      <c r="F3738" s="2">
        <v>2590.33</v>
      </c>
    </row>
    <row r="3739" spans="3:6" x14ac:dyDescent="0.25">
      <c r="C3739" s="2" t="s">
        <v>11734</v>
      </c>
      <c r="D3739" s="2" t="s">
        <v>9</v>
      </c>
      <c r="E3739" s="2">
        <v>141</v>
      </c>
      <c r="F3739" s="2">
        <v>2485.639</v>
      </c>
    </row>
    <row r="3740" spans="3:6" x14ac:dyDescent="0.25">
      <c r="C3740" s="2" t="s">
        <v>11735</v>
      </c>
      <c r="D3740" s="2" t="s">
        <v>9</v>
      </c>
      <c r="E3740" s="2">
        <v>125</v>
      </c>
      <c r="F3740" s="2">
        <v>2286.36</v>
      </c>
    </row>
    <row r="3741" spans="3:6" x14ac:dyDescent="0.25">
      <c r="C3741" s="2" t="s">
        <v>11736</v>
      </c>
      <c r="D3741" s="2" t="s">
        <v>9</v>
      </c>
      <c r="E3741" s="2">
        <v>16</v>
      </c>
      <c r="F3741" s="2">
        <v>331.09</v>
      </c>
    </row>
    <row r="3742" spans="3:6" x14ac:dyDescent="0.25">
      <c r="C3742" s="2" t="s">
        <v>11737</v>
      </c>
      <c r="D3742" s="2" t="s">
        <v>9</v>
      </c>
      <c r="E3742" s="2">
        <v>52</v>
      </c>
      <c r="F3742" s="2">
        <v>939.7</v>
      </c>
    </row>
    <row r="3743" spans="3:6" x14ac:dyDescent="0.25">
      <c r="C3743" s="2" t="s">
        <v>11738</v>
      </c>
      <c r="D3743" s="2" t="s">
        <v>9</v>
      </c>
      <c r="E3743" s="2">
        <v>50</v>
      </c>
      <c r="F3743" s="2">
        <v>827.62</v>
      </c>
    </row>
    <row r="3744" spans="3:6" x14ac:dyDescent="0.25">
      <c r="C3744" s="2" t="s">
        <v>11739</v>
      </c>
      <c r="D3744" s="2" t="s">
        <v>9</v>
      </c>
      <c r="E3744" s="2">
        <v>102</v>
      </c>
      <c r="F3744" s="2">
        <v>2067.58</v>
      </c>
    </row>
    <row r="3745" spans="3:6" x14ac:dyDescent="0.25">
      <c r="C3745" s="2" t="s">
        <v>11740</v>
      </c>
      <c r="D3745" s="2" t="s">
        <v>9</v>
      </c>
      <c r="E3745" s="2">
        <v>75</v>
      </c>
      <c r="F3745" s="2">
        <v>1515.13</v>
      </c>
    </row>
    <row r="3746" spans="3:6" x14ac:dyDescent="0.25">
      <c r="C3746" s="2" t="s">
        <v>11741</v>
      </c>
      <c r="D3746" s="2" t="s">
        <v>9</v>
      </c>
      <c r="E3746" s="2">
        <v>17</v>
      </c>
      <c r="F3746" s="2">
        <v>352.12</v>
      </c>
    </row>
    <row r="3747" spans="3:6" x14ac:dyDescent="0.25">
      <c r="C3747" s="2" t="s">
        <v>11742</v>
      </c>
      <c r="D3747" s="2" t="s">
        <v>9</v>
      </c>
      <c r="E3747" s="2">
        <v>72</v>
      </c>
      <c r="F3747" s="2">
        <v>1422.095</v>
      </c>
    </row>
    <row r="3748" spans="3:6" x14ac:dyDescent="0.25">
      <c r="C3748" s="2" t="s">
        <v>11743</v>
      </c>
      <c r="D3748" s="2" t="s">
        <v>9</v>
      </c>
      <c r="E3748" s="2">
        <v>31</v>
      </c>
      <c r="F3748" s="2">
        <v>353.93</v>
      </c>
    </row>
    <row r="3749" spans="3:6" x14ac:dyDescent="0.25">
      <c r="C3749" s="2" t="s">
        <v>11744</v>
      </c>
      <c r="D3749" s="2" t="s">
        <v>9</v>
      </c>
      <c r="E3749" s="2">
        <v>21</v>
      </c>
      <c r="F3749" s="2">
        <v>427.66</v>
      </c>
    </row>
    <row r="3750" spans="3:6" x14ac:dyDescent="0.25">
      <c r="C3750" s="2" t="s">
        <v>11745</v>
      </c>
      <c r="D3750" s="2" t="s">
        <v>9</v>
      </c>
      <c r="E3750" s="2">
        <v>141</v>
      </c>
      <c r="F3750" s="2">
        <v>2886.28</v>
      </c>
    </row>
    <row r="3751" spans="3:6" x14ac:dyDescent="0.25">
      <c r="C3751" s="2" t="s">
        <v>11746</v>
      </c>
      <c r="D3751" s="2" t="s">
        <v>9</v>
      </c>
      <c r="E3751" s="2">
        <v>61</v>
      </c>
      <c r="F3751" s="2">
        <v>1281.84</v>
      </c>
    </row>
    <row r="3752" spans="3:6" x14ac:dyDescent="0.25">
      <c r="C3752" s="2" t="s">
        <v>11747</v>
      </c>
      <c r="D3752" s="2" t="s">
        <v>9</v>
      </c>
      <c r="E3752" s="2">
        <v>23</v>
      </c>
      <c r="F3752" s="2">
        <v>480.83</v>
      </c>
    </row>
    <row r="3753" spans="3:6" x14ac:dyDescent="0.25">
      <c r="C3753" s="2" t="s">
        <v>11748</v>
      </c>
      <c r="D3753" s="2" t="s">
        <v>9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120</v>
      </c>
      <c r="C3755" s="2" t="s">
        <v>11749</v>
      </c>
      <c r="D3755" s="2" t="s">
        <v>122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11750</v>
      </c>
      <c r="D3756" s="2" t="s">
        <v>122</v>
      </c>
      <c r="E3756" s="2">
        <v>121</v>
      </c>
      <c r="F3756" s="2">
        <v>2415.63</v>
      </c>
    </row>
    <row r="3757" spans="3:6" x14ac:dyDescent="0.25">
      <c r="C3757" s="2" t="s">
        <v>11751</v>
      </c>
      <c r="D3757" s="2" t="s">
        <v>122</v>
      </c>
      <c r="E3757" s="2">
        <v>121</v>
      </c>
      <c r="F3757" s="2">
        <v>2387.84</v>
      </c>
    </row>
    <row r="3758" spans="3:6" x14ac:dyDescent="0.25">
      <c r="C3758" s="2" t="s">
        <v>11752</v>
      </c>
      <c r="D3758" s="2" t="s">
        <v>122</v>
      </c>
      <c r="E3758" s="2">
        <v>121</v>
      </c>
      <c r="F3758" s="2">
        <v>2437.179</v>
      </c>
    </row>
    <row r="3759" spans="3:6" x14ac:dyDescent="0.25">
      <c r="C3759" s="2" t="s">
        <v>11753</v>
      </c>
      <c r="D3759" s="2" t="s">
        <v>122</v>
      </c>
      <c r="E3759" s="2">
        <v>18</v>
      </c>
      <c r="F3759" s="2">
        <v>340.11</v>
      </c>
    </row>
    <row r="3760" spans="3:6" x14ac:dyDescent="0.25">
      <c r="C3760" s="2" t="s">
        <v>11754</v>
      </c>
      <c r="D3760" s="2" t="s">
        <v>122</v>
      </c>
      <c r="E3760" s="2">
        <v>22</v>
      </c>
      <c r="F3760" s="2">
        <v>409.59</v>
      </c>
    </row>
    <row r="3761" spans="3:6" x14ac:dyDescent="0.25">
      <c r="C3761" s="2" t="s">
        <v>11755</v>
      </c>
      <c r="D3761" s="2" t="s">
        <v>122</v>
      </c>
      <c r="E3761" s="2">
        <v>33</v>
      </c>
      <c r="F3761" s="2">
        <v>599.58</v>
      </c>
    </row>
    <row r="3762" spans="3:6" x14ac:dyDescent="0.25">
      <c r="C3762" s="2" t="s">
        <v>11756</v>
      </c>
      <c r="D3762" s="2" t="s">
        <v>122</v>
      </c>
      <c r="E3762" s="2">
        <v>61</v>
      </c>
      <c r="F3762" s="2">
        <v>1139.12</v>
      </c>
    </row>
    <row r="3763" spans="3:6" x14ac:dyDescent="0.25">
      <c r="C3763" s="2" t="s">
        <v>11757</v>
      </c>
      <c r="D3763" s="2" t="s">
        <v>122</v>
      </c>
      <c r="E3763" s="2">
        <v>102</v>
      </c>
      <c r="F3763" s="2">
        <v>1939.54</v>
      </c>
    </row>
    <row r="3764" spans="3:6" x14ac:dyDescent="0.25">
      <c r="C3764" s="2" t="s">
        <v>11758</v>
      </c>
      <c r="D3764" s="2" t="s">
        <v>122</v>
      </c>
      <c r="E3764" s="2">
        <v>102</v>
      </c>
      <c r="F3764" s="2">
        <v>2002.68</v>
      </c>
    </row>
    <row r="3765" spans="3:6" x14ac:dyDescent="0.25">
      <c r="C3765" s="2" t="s">
        <v>11759</v>
      </c>
      <c r="D3765" s="2" t="s">
        <v>122</v>
      </c>
      <c r="E3765" s="2">
        <v>141</v>
      </c>
      <c r="F3765" s="2">
        <v>2791.649</v>
      </c>
    </row>
    <row r="3766" spans="3:6" x14ac:dyDescent="0.25">
      <c r="C3766" s="2" t="s">
        <v>11760</v>
      </c>
      <c r="D3766" s="2" t="s">
        <v>122</v>
      </c>
      <c r="E3766" s="2">
        <v>75</v>
      </c>
      <c r="F3766" s="2">
        <v>1450.069</v>
      </c>
    </row>
    <row r="3767" spans="3:6" x14ac:dyDescent="0.25">
      <c r="C3767" s="2" t="s">
        <v>11761</v>
      </c>
      <c r="D3767" s="2" t="s">
        <v>122</v>
      </c>
      <c r="E3767" s="2">
        <v>60</v>
      </c>
      <c r="F3767" s="2">
        <v>255.62</v>
      </c>
    </row>
    <row r="3768" spans="3:6" x14ac:dyDescent="0.25">
      <c r="C3768" s="2" t="s">
        <v>11762</v>
      </c>
      <c r="D3768" s="2" t="s">
        <v>122</v>
      </c>
      <c r="E3768" s="2">
        <v>79</v>
      </c>
      <c r="F3768" s="2">
        <v>1562.57</v>
      </c>
    </row>
    <row r="3769" spans="3:6" x14ac:dyDescent="0.25">
      <c r="C3769" s="2" t="s">
        <v>11763</v>
      </c>
      <c r="D3769" s="2" t="s">
        <v>122</v>
      </c>
      <c r="E3769" s="2">
        <v>23</v>
      </c>
      <c r="F3769" s="2">
        <v>475.6</v>
      </c>
    </row>
    <row r="3770" spans="3:6" x14ac:dyDescent="0.25">
      <c r="C3770" s="2" t="s">
        <v>11764</v>
      </c>
      <c r="D3770" s="2" t="s">
        <v>122</v>
      </c>
      <c r="E3770" s="2">
        <v>67</v>
      </c>
      <c r="F3770" s="2">
        <v>1241.549</v>
      </c>
    </row>
    <row r="3771" spans="3:6" x14ac:dyDescent="0.25">
      <c r="C3771" s="2" t="s">
        <v>11765</v>
      </c>
      <c r="D3771" s="2" t="s">
        <v>122</v>
      </c>
      <c r="E3771" s="2">
        <v>28</v>
      </c>
      <c r="F3771" s="2">
        <v>520.3</v>
      </c>
    </row>
    <row r="3772" spans="3:6" x14ac:dyDescent="0.25">
      <c r="C3772" s="2" t="s">
        <v>11766</v>
      </c>
      <c r="D3772" s="2" t="s">
        <v>122</v>
      </c>
      <c r="E3772" s="2">
        <v>31</v>
      </c>
      <c r="F3772" s="2">
        <v>630.93</v>
      </c>
    </row>
    <row r="3773" spans="3:6" x14ac:dyDescent="0.25">
      <c r="C3773" s="2" t="s">
        <v>11767</v>
      </c>
      <c r="D3773" s="2" t="s">
        <v>122</v>
      </c>
      <c r="E3773" s="2">
        <v>15</v>
      </c>
      <c r="F3773" s="2">
        <v>301.31</v>
      </c>
    </row>
    <row r="3774" spans="3:6" x14ac:dyDescent="0.25">
      <c r="C3774" s="2" t="s">
        <v>11768</v>
      </c>
      <c r="D3774" s="2" t="s">
        <v>122</v>
      </c>
      <c r="E3774" s="2">
        <v>47</v>
      </c>
      <c r="F3774" s="2">
        <v>864.259</v>
      </c>
    </row>
    <row r="3775" spans="3:6" x14ac:dyDescent="0.25">
      <c r="C3775" s="2" t="s">
        <v>11769</v>
      </c>
      <c r="D3775" s="2" t="s">
        <v>122</v>
      </c>
      <c r="E3775" s="2">
        <v>94</v>
      </c>
      <c r="F3775" s="2">
        <v>1891.67</v>
      </c>
    </row>
    <row r="3776" spans="3:6" x14ac:dyDescent="0.25">
      <c r="C3776" s="2" t="s">
        <v>11770</v>
      </c>
      <c r="D3776" s="2" t="s">
        <v>122</v>
      </c>
      <c r="E3776" s="2">
        <v>40</v>
      </c>
      <c r="F3776" s="2">
        <v>796.88</v>
      </c>
    </row>
    <row r="3777" spans="3:6" x14ac:dyDescent="0.25">
      <c r="C3777" s="2" t="s">
        <v>11771</v>
      </c>
      <c r="D3777" s="2" t="s">
        <v>122</v>
      </c>
      <c r="E3777" s="2">
        <v>40</v>
      </c>
      <c r="F3777" s="2">
        <v>760.55</v>
      </c>
    </row>
    <row r="3778" spans="3:6" x14ac:dyDescent="0.25">
      <c r="C3778" s="2" t="s">
        <v>11772</v>
      </c>
      <c r="D3778" s="2" t="s">
        <v>122</v>
      </c>
      <c r="E3778" s="2">
        <v>61</v>
      </c>
      <c r="F3778" s="2">
        <v>1170.27</v>
      </c>
    </row>
    <row r="3779" spans="3:6" x14ac:dyDescent="0.25">
      <c r="C3779" s="2" t="s">
        <v>11773</v>
      </c>
      <c r="D3779" s="2" t="s">
        <v>122</v>
      </c>
      <c r="E3779" s="2">
        <v>50</v>
      </c>
      <c r="F3779" s="2">
        <v>887.578</v>
      </c>
    </row>
    <row r="3780" spans="3:6" x14ac:dyDescent="0.25">
      <c r="C3780" s="2" t="s">
        <v>11774</v>
      </c>
      <c r="D3780" s="2" t="s">
        <v>122</v>
      </c>
      <c r="E3780" s="2">
        <v>50</v>
      </c>
      <c r="F3780" s="2">
        <v>918.11</v>
      </c>
    </row>
    <row r="3781" spans="3:6" x14ac:dyDescent="0.25">
      <c r="C3781" s="2" t="s">
        <v>11775</v>
      </c>
      <c r="D3781" s="2" t="s">
        <v>122</v>
      </c>
      <c r="E3781" s="2">
        <v>41</v>
      </c>
      <c r="F3781" s="2">
        <v>800.19</v>
      </c>
    </row>
    <row r="3782" spans="3:6" x14ac:dyDescent="0.25">
      <c r="C3782" s="2" t="s">
        <v>11776</v>
      </c>
      <c r="D3782" s="2" t="s">
        <v>122</v>
      </c>
      <c r="E3782" s="2">
        <v>100</v>
      </c>
      <c r="F3782" s="2">
        <v>2026.19</v>
      </c>
    </row>
    <row r="3783" spans="3:6" x14ac:dyDescent="0.25">
      <c r="C3783" s="2" t="s">
        <v>11777</v>
      </c>
      <c r="D3783" s="2" t="s">
        <v>122</v>
      </c>
      <c r="E3783" s="2">
        <v>41</v>
      </c>
      <c r="F3783" s="2">
        <v>765.169</v>
      </c>
    </row>
    <row r="3784" spans="3:6" x14ac:dyDescent="0.25">
      <c r="C3784" s="2" t="s">
        <v>11778</v>
      </c>
      <c r="D3784" s="2" t="s">
        <v>122</v>
      </c>
      <c r="E3784" s="2">
        <v>69</v>
      </c>
      <c r="F3784" s="2">
        <v>1402.26</v>
      </c>
    </row>
    <row r="3785" spans="3:6" x14ac:dyDescent="0.25">
      <c r="C3785" s="2" t="s">
        <v>11779</v>
      </c>
      <c r="D3785" s="2" t="s">
        <v>122</v>
      </c>
      <c r="E3785" s="2">
        <v>32</v>
      </c>
      <c r="F3785" s="2">
        <v>629.14</v>
      </c>
    </row>
    <row r="3786" spans="3:6" x14ac:dyDescent="0.25">
      <c r="C3786" s="2" t="s">
        <v>11780</v>
      </c>
      <c r="D3786" s="2" t="s">
        <v>122</v>
      </c>
      <c r="E3786" s="2">
        <v>40</v>
      </c>
      <c r="F3786" s="2">
        <v>805.26</v>
      </c>
    </row>
    <row r="3787" spans="3:6" x14ac:dyDescent="0.25">
      <c r="C3787" s="2" t="s">
        <v>11781</v>
      </c>
      <c r="D3787" s="2" t="s">
        <v>122</v>
      </c>
      <c r="E3787" s="2">
        <v>48</v>
      </c>
      <c r="F3787" s="2">
        <v>942.76</v>
      </c>
    </row>
    <row r="3788" spans="3:6" x14ac:dyDescent="0.25">
      <c r="C3788" s="2" t="s">
        <v>11782</v>
      </c>
      <c r="D3788" s="2" t="s">
        <v>122</v>
      </c>
      <c r="E3788" s="2">
        <v>54</v>
      </c>
      <c r="F3788" s="2">
        <v>1027.85</v>
      </c>
    </row>
    <row r="3789" spans="3:6" x14ac:dyDescent="0.25">
      <c r="C3789" s="2" t="s">
        <v>11783</v>
      </c>
      <c r="D3789" s="2" t="s">
        <v>122</v>
      </c>
      <c r="E3789" s="2">
        <v>39</v>
      </c>
      <c r="F3789" s="2">
        <v>763.03</v>
      </c>
    </row>
    <row r="3790" spans="3:6" x14ac:dyDescent="0.25">
      <c r="C3790" s="2" t="s">
        <v>11784</v>
      </c>
      <c r="D3790" s="2" t="s">
        <v>122</v>
      </c>
      <c r="E3790" s="2">
        <v>39</v>
      </c>
      <c r="F3790" s="2">
        <v>742.29</v>
      </c>
    </row>
    <row r="3791" spans="3:6" x14ac:dyDescent="0.25">
      <c r="C3791" s="2" t="s">
        <v>11785</v>
      </c>
      <c r="D3791" s="2" t="s">
        <v>122</v>
      </c>
      <c r="E3791" s="2">
        <v>29</v>
      </c>
      <c r="F3791" s="2">
        <v>556.86</v>
      </c>
    </row>
    <row r="3792" spans="3:6" x14ac:dyDescent="0.25">
      <c r="C3792" s="2" t="s">
        <v>11786</v>
      </c>
      <c r="D3792" s="2" t="s">
        <v>122</v>
      </c>
      <c r="E3792" s="2">
        <v>73</v>
      </c>
      <c r="F3792" s="2">
        <v>1448.949</v>
      </c>
    </row>
    <row r="3793" spans="3:6" x14ac:dyDescent="0.25">
      <c r="C3793" s="2" t="s">
        <v>11787</v>
      </c>
      <c r="D3793" s="2" t="s">
        <v>122</v>
      </c>
      <c r="E3793" s="2">
        <v>96</v>
      </c>
      <c r="F3793" s="2">
        <v>1897.1</v>
      </c>
    </row>
    <row r="3794" spans="3:6" x14ac:dyDescent="0.25">
      <c r="C3794" s="2" t="s">
        <v>11788</v>
      </c>
      <c r="D3794" s="2" t="s">
        <v>122</v>
      </c>
      <c r="E3794" s="2">
        <v>23</v>
      </c>
      <c r="F3794" s="2">
        <v>453.73</v>
      </c>
    </row>
    <row r="3795" spans="3:6" x14ac:dyDescent="0.25">
      <c r="C3795" s="2" t="s">
        <v>11789</v>
      </c>
      <c r="D3795" s="2" t="s">
        <v>122</v>
      </c>
      <c r="E3795" s="2">
        <v>10</v>
      </c>
      <c r="F3795" s="2">
        <v>195.51</v>
      </c>
    </row>
    <row r="3796" spans="3:6" x14ac:dyDescent="0.25">
      <c r="C3796" s="2" t="s">
        <v>11790</v>
      </c>
      <c r="D3796" s="2" t="s">
        <v>122</v>
      </c>
      <c r="E3796" s="2">
        <v>12</v>
      </c>
      <c r="F3796" s="2">
        <v>232.52</v>
      </c>
    </row>
    <row r="3797" spans="3:6" x14ac:dyDescent="0.25">
      <c r="C3797" s="2" t="s">
        <v>11791</v>
      </c>
      <c r="D3797" s="2" t="s">
        <v>122</v>
      </c>
      <c r="E3797" s="2">
        <v>115</v>
      </c>
      <c r="F3797" s="2">
        <v>2225.899</v>
      </c>
    </row>
    <row r="3798" spans="3:6" x14ac:dyDescent="0.25">
      <c r="C3798" s="2" t="s">
        <v>11792</v>
      </c>
      <c r="D3798" s="2" t="s">
        <v>122</v>
      </c>
      <c r="E3798" s="2">
        <v>26</v>
      </c>
      <c r="F3798" s="2">
        <v>513.06</v>
      </c>
    </row>
    <row r="3799" spans="3:6" x14ac:dyDescent="0.25">
      <c r="C3799" s="2" t="s">
        <v>11793</v>
      </c>
      <c r="D3799" s="2" t="s">
        <v>122</v>
      </c>
      <c r="E3799" s="2">
        <v>44</v>
      </c>
      <c r="F3799" s="2">
        <v>897.09</v>
      </c>
    </row>
    <row r="3800" spans="3:6" x14ac:dyDescent="0.25">
      <c r="C3800" s="2" t="s">
        <v>11794</v>
      </c>
      <c r="D3800" s="2" t="s">
        <v>122</v>
      </c>
      <c r="E3800" s="2">
        <v>43</v>
      </c>
      <c r="F3800" s="2">
        <v>862.619</v>
      </c>
    </row>
    <row r="3801" spans="3:6" x14ac:dyDescent="0.25">
      <c r="C3801" s="2" t="s">
        <v>11795</v>
      </c>
      <c r="D3801" s="2" t="s">
        <v>122</v>
      </c>
      <c r="E3801" s="2">
        <v>34</v>
      </c>
      <c r="F3801" s="2">
        <v>673.79</v>
      </c>
    </row>
    <row r="3802" spans="3:6" x14ac:dyDescent="0.25">
      <c r="C3802" s="2" t="s">
        <v>11796</v>
      </c>
      <c r="D3802" s="2" t="s">
        <v>122</v>
      </c>
      <c r="E3802" s="2">
        <v>20</v>
      </c>
      <c r="F3802" s="2">
        <v>370.96</v>
      </c>
    </row>
    <row r="3803" spans="3:6" x14ac:dyDescent="0.25">
      <c r="C3803" s="2" t="s">
        <v>11797</v>
      </c>
      <c r="D3803" s="2" t="s">
        <v>122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90</v>
      </c>
      <c r="C3805" s="2" t="s">
        <v>11798</v>
      </c>
      <c r="D3805" s="2" t="s">
        <v>42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11799</v>
      </c>
      <c r="D3806" s="2" t="s">
        <v>42</v>
      </c>
      <c r="E3806" s="2">
        <v>123</v>
      </c>
      <c r="F3806" s="2">
        <v>5715</v>
      </c>
    </row>
    <row r="3807" spans="3:6" x14ac:dyDescent="0.25">
      <c r="C3807" s="2" t="s">
        <v>11800</v>
      </c>
      <c r="D3807" s="2" t="s">
        <v>42</v>
      </c>
      <c r="E3807" s="2">
        <v>99</v>
      </c>
      <c r="F3807" s="2">
        <v>4755</v>
      </c>
    </row>
    <row r="3808" spans="3:6" x14ac:dyDescent="0.25">
      <c r="C3808" s="2" t="s">
        <v>11801</v>
      </c>
      <c r="D3808" s="2" t="s">
        <v>42</v>
      </c>
      <c r="E3808" s="2">
        <v>24</v>
      </c>
      <c r="F3808" s="2">
        <v>841</v>
      </c>
    </row>
    <row r="3809" spans="3:6" x14ac:dyDescent="0.25">
      <c r="C3809" s="2" t="s">
        <v>11802</v>
      </c>
      <c r="D3809" s="2" t="s">
        <v>42</v>
      </c>
      <c r="E3809" s="2">
        <v>40</v>
      </c>
      <c r="F3809" s="2">
        <v>1599</v>
      </c>
    </row>
    <row r="3810" spans="3:6" x14ac:dyDescent="0.25">
      <c r="C3810" s="2" t="s">
        <v>11803</v>
      </c>
      <c r="D3810" s="2" t="s">
        <v>42</v>
      </c>
      <c r="E3810" s="2">
        <v>75</v>
      </c>
      <c r="F3810" s="2">
        <v>1623</v>
      </c>
    </row>
    <row r="3811" spans="3:6" x14ac:dyDescent="0.25">
      <c r="C3811" s="2" t="s">
        <v>11804</v>
      </c>
      <c r="D3811" s="2" t="s">
        <v>42</v>
      </c>
      <c r="E3811" s="2">
        <v>124</v>
      </c>
      <c r="F3811" s="2">
        <v>6477</v>
      </c>
    </row>
    <row r="3812" spans="3:6" x14ac:dyDescent="0.25">
      <c r="C3812" s="2" t="s">
        <v>11805</v>
      </c>
      <c r="D3812" s="2" t="s">
        <v>42</v>
      </c>
      <c r="E3812" s="2">
        <v>18</v>
      </c>
      <c r="F3812" s="2">
        <v>601</v>
      </c>
    </row>
    <row r="3813" spans="3:6" x14ac:dyDescent="0.25">
      <c r="C3813" s="2" t="s">
        <v>11806</v>
      </c>
      <c r="D3813" s="2" t="s">
        <v>42</v>
      </c>
      <c r="E3813" s="2">
        <v>119</v>
      </c>
      <c r="F3813" s="2">
        <v>3787</v>
      </c>
    </row>
    <row r="3814" spans="3:6" x14ac:dyDescent="0.25">
      <c r="C3814" s="2" t="s">
        <v>11807</v>
      </c>
      <c r="D3814" s="2" t="s">
        <v>42</v>
      </c>
      <c r="E3814" s="2">
        <v>22</v>
      </c>
      <c r="F3814" s="2">
        <v>1024</v>
      </c>
    </row>
    <row r="3815" spans="3:6" x14ac:dyDescent="0.25">
      <c r="C3815" s="2" t="s">
        <v>11808</v>
      </c>
      <c r="D3815" s="2" t="s">
        <v>42</v>
      </c>
      <c r="E3815" s="2">
        <v>50</v>
      </c>
      <c r="F3815" s="2">
        <v>813</v>
      </c>
    </row>
    <row r="3816" spans="3:6" x14ac:dyDescent="0.25">
      <c r="C3816" s="2" t="s">
        <v>11809</v>
      </c>
      <c r="D3816" s="2" t="s">
        <v>42</v>
      </c>
      <c r="E3816" s="2">
        <v>141</v>
      </c>
      <c r="F3816" s="2">
        <v>8857</v>
      </c>
    </row>
    <row r="3817" spans="3:6" x14ac:dyDescent="0.25">
      <c r="C3817" s="2" t="s">
        <v>11810</v>
      </c>
      <c r="D3817" s="2" t="s">
        <v>42</v>
      </c>
      <c r="E3817" s="2">
        <v>97</v>
      </c>
      <c r="F3817" s="2">
        <v>5486</v>
      </c>
    </row>
    <row r="3818" spans="3:6" x14ac:dyDescent="0.25">
      <c r="C3818" s="2" t="s">
        <v>11811</v>
      </c>
      <c r="D3818" s="2" t="s">
        <v>42</v>
      </c>
      <c r="E3818" s="2">
        <v>30</v>
      </c>
      <c r="F3818" s="2">
        <v>1117</v>
      </c>
    </row>
    <row r="3819" spans="3:6" x14ac:dyDescent="0.25">
      <c r="C3819" s="2" t="s">
        <v>11812</v>
      </c>
      <c r="D3819" s="2" t="s">
        <v>42</v>
      </c>
      <c r="E3819" s="2">
        <v>14</v>
      </c>
      <c r="F3819" s="2">
        <v>5712</v>
      </c>
    </row>
    <row r="3820" spans="3:6" x14ac:dyDescent="0.25">
      <c r="C3820" s="2" t="s">
        <v>11813</v>
      </c>
      <c r="D3820" s="2" t="s">
        <v>42</v>
      </c>
      <c r="E3820" s="2">
        <v>37</v>
      </c>
      <c r="F3820" s="2">
        <v>1571</v>
      </c>
    </row>
    <row r="3821" spans="3:6" x14ac:dyDescent="0.25">
      <c r="C3821" s="2" t="s">
        <v>11814</v>
      </c>
      <c r="D3821" s="2" t="s">
        <v>42</v>
      </c>
      <c r="E3821" s="2">
        <v>20</v>
      </c>
      <c r="F3821" s="2">
        <v>1598</v>
      </c>
    </row>
    <row r="3822" spans="3:6" x14ac:dyDescent="0.25">
      <c r="C3822" s="2" t="s">
        <v>11815</v>
      </c>
      <c r="D3822" s="2" t="s">
        <v>42</v>
      </c>
      <c r="E3822" s="2">
        <v>84</v>
      </c>
      <c r="F3822" s="2">
        <v>3774</v>
      </c>
    </row>
    <row r="3823" spans="3:6" x14ac:dyDescent="0.25">
      <c r="C3823" s="2" t="s">
        <v>11816</v>
      </c>
      <c r="D3823" s="2" t="s">
        <v>42</v>
      </c>
      <c r="E3823" s="2">
        <v>37</v>
      </c>
      <c r="F3823" s="2">
        <v>1841</v>
      </c>
    </row>
    <row r="3824" spans="3:6" x14ac:dyDescent="0.25">
      <c r="C3824" s="2" t="s">
        <v>11817</v>
      </c>
      <c r="D3824" s="2" t="s">
        <v>42</v>
      </c>
      <c r="E3824" s="2">
        <v>118</v>
      </c>
      <c r="F3824" s="2">
        <v>1450</v>
      </c>
    </row>
    <row r="3825" spans="3:6" x14ac:dyDescent="0.25">
      <c r="C3825" s="2" t="s">
        <v>11818</v>
      </c>
      <c r="D3825" s="2" t="s">
        <v>42</v>
      </c>
      <c r="E3825" s="2">
        <v>45</v>
      </c>
      <c r="F3825" s="2">
        <v>703</v>
      </c>
    </row>
    <row r="3826" spans="3:6" x14ac:dyDescent="0.25">
      <c r="C3826" s="2" t="s">
        <v>11819</v>
      </c>
      <c r="D3826" s="2" t="s">
        <v>42</v>
      </c>
      <c r="E3826" s="2">
        <v>141</v>
      </c>
      <c r="F3826" s="2">
        <v>4759</v>
      </c>
    </row>
    <row r="3827" spans="3:6" x14ac:dyDescent="0.25">
      <c r="C3827" s="2" t="s">
        <v>11820</v>
      </c>
      <c r="D3827" s="2" t="s">
        <v>42</v>
      </c>
      <c r="E3827" s="2">
        <v>118</v>
      </c>
      <c r="F3827" s="2">
        <v>1089</v>
      </c>
    </row>
    <row r="3828" spans="3:6" x14ac:dyDescent="0.25">
      <c r="C3828" s="2" t="s">
        <v>11821</v>
      </c>
      <c r="D3828" s="2" t="s">
        <v>42</v>
      </c>
      <c r="E3828" s="2">
        <v>141</v>
      </c>
      <c r="F3828" s="2">
        <v>6290</v>
      </c>
    </row>
    <row r="3829" spans="3:6" x14ac:dyDescent="0.25">
      <c r="C3829" s="2" t="s">
        <v>11822</v>
      </c>
      <c r="D3829" s="2" t="s">
        <v>42</v>
      </c>
      <c r="E3829" s="2">
        <v>141</v>
      </c>
      <c r="F3829" s="2">
        <v>7507</v>
      </c>
    </row>
    <row r="3830" spans="3:6" x14ac:dyDescent="0.25">
      <c r="C3830" s="2" t="s">
        <v>11823</v>
      </c>
      <c r="D3830" s="2" t="s">
        <v>42</v>
      </c>
      <c r="E3830" s="2">
        <v>60</v>
      </c>
      <c r="F3830" s="2">
        <v>748</v>
      </c>
    </row>
    <row r="3831" spans="3:6" x14ac:dyDescent="0.25">
      <c r="C3831" s="2" t="s">
        <v>11824</v>
      </c>
      <c r="D3831" s="2" t="s">
        <v>42</v>
      </c>
      <c r="E3831" s="2">
        <v>94</v>
      </c>
      <c r="F3831" s="2">
        <v>4331</v>
      </c>
    </row>
    <row r="3832" spans="3:6" x14ac:dyDescent="0.25">
      <c r="C3832" s="2" t="s">
        <v>11825</v>
      </c>
      <c r="D3832" s="2" t="s">
        <v>42</v>
      </c>
      <c r="E3832" s="2">
        <v>37</v>
      </c>
      <c r="F3832" s="2">
        <v>1574</v>
      </c>
    </row>
    <row r="3833" spans="3:6" x14ac:dyDescent="0.25">
      <c r="C3833" s="2" t="s">
        <v>11826</v>
      </c>
      <c r="D3833" s="2" t="s">
        <v>42</v>
      </c>
      <c r="E3833" s="2">
        <v>13</v>
      </c>
      <c r="F3833" s="2">
        <v>2076</v>
      </c>
    </row>
    <row r="3834" spans="3:6" x14ac:dyDescent="0.25">
      <c r="C3834" s="2" t="s">
        <v>11827</v>
      </c>
      <c r="D3834" s="2" t="s">
        <v>42</v>
      </c>
      <c r="E3834" s="2">
        <v>45</v>
      </c>
      <c r="F3834" s="2">
        <v>747</v>
      </c>
    </row>
    <row r="3835" spans="3:6" x14ac:dyDescent="0.25">
      <c r="C3835" s="2" t="s">
        <v>11828</v>
      </c>
      <c r="D3835" s="2" t="s">
        <v>42</v>
      </c>
      <c r="E3835" s="2">
        <v>141</v>
      </c>
      <c r="F3835" s="2">
        <v>9069</v>
      </c>
    </row>
    <row r="3836" spans="3:6" x14ac:dyDescent="0.25">
      <c r="C3836" s="2" t="s">
        <v>11829</v>
      </c>
      <c r="D3836" s="2" t="s">
        <v>42</v>
      </c>
      <c r="E3836" s="2">
        <v>30</v>
      </c>
      <c r="F3836" s="2">
        <v>1650</v>
      </c>
    </row>
    <row r="3837" spans="3:6" x14ac:dyDescent="0.25">
      <c r="C3837" s="2" t="s">
        <v>11830</v>
      </c>
      <c r="D3837" s="2" t="s">
        <v>42</v>
      </c>
      <c r="E3837" s="2">
        <v>111</v>
      </c>
      <c r="F3837" s="2">
        <v>12276</v>
      </c>
    </row>
    <row r="3838" spans="3:6" x14ac:dyDescent="0.25">
      <c r="C3838" s="2" t="s">
        <v>11831</v>
      </c>
      <c r="D3838" s="2" t="s">
        <v>42</v>
      </c>
      <c r="E3838" s="2">
        <v>14</v>
      </c>
      <c r="F3838" s="2">
        <v>228</v>
      </c>
    </row>
    <row r="3839" spans="3:6" x14ac:dyDescent="0.25">
      <c r="C3839" s="2" t="s">
        <v>11832</v>
      </c>
      <c r="D3839" s="2" t="s">
        <v>42</v>
      </c>
      <c r="E3839" s="2">
        <v>12</v>
      </c>
      <c r="F3839" s="2">
        <v>436</v>
      </c>
    </row>
    <row r="3840" spans="3:6" x14ac:dyDescent="0.25">
      <c r="C3840" s="2" t="s">
        <v>11833</v>
      </c>
      <c r="D3840" s="2" t="s">
        <v>42</v>
      </c>
      <c r="E3840" s="2">
        <v>36</v>
      </c>
      <c r="F3840" s="2">
        <v>1868</v>
      </c>
    </row>
    <row r="3841" spans="3:6" x14ac:dyDescent="0.25">
      <c r="C3841" s="2" t="s">
        <v>11834</v>
      </c>
      <c r="D3841" s="2" t="s">
        <v>42</v>
      </c>
      <c r="E3841" s="2">
        <v>30</v>
      </c>
      <c r="F3841" s="2">
        <v>976</v>
      </c>
    </row>
    <row r="3842" spans="3:6" x14ac:dyDescent="0.25">
      <c r="C3842" s="2" t="s">
        <v>11835</v>
      </c>
      <c r="D3842" s="2" t="s">
        <v>42</v>
      </c>
      <c r="E3842" s="2">
        <v>6</v>
      </c>
      <c r="F3842" s="2">
        <v>370</v>
      </c>
    </row>
    <row r="3843" spans="3:6" x14ac:dyDescent="0.25">
      <c r="C3843" s="2" t="s">
        <v>11836</v>
      </c>
      <c r="D3843" s="2" t="s">
        <v>42</v>
      </c>
      <c r="E3843" s="2">
        <v>5</v>
      </c>
      <c r="F3843" s="2">
        <v>238</v>
      </c>
    </row>
    <row r="3844" spans="3:6" x14ac:dyDescent="0.25">
      <c r="C3844" s="2" t="s">
        <v>11837</v>
      </c>
      <c r="D3844" s="2" t="s">
        <v>42</v>
      </c>
      <c r="E3844" s="2">
        <v>4</v>
      </c>
      <c r="F3844" s="2">
        <v>252</v>
      </c>
    </row>
    <row r="3845" spans="3:6" x14ac:dyDescent="0.25">
      <c r="C3845" s="2" t="s">
        <v>11838</v>
      </c>
      <c r="D3845" s="2" t="s">
        <v>42</v>
      </c>
      <c r="E3845" s="2">
        <v>34</v>
      </c>
      <c r="F3845" s="2">
        <v>1693</v>
      </c>
    </row>
    <row r="3846" spans="3:6" x14ac:dyDescent="0.25">
      <c r="C3846" s="2" t="s">
        <v>11839</v>
      </c>
      <c r="D3846" s="2" t="s">
        <v>42</v>
      </c>
      <c r="E3846" s="2">
        <v>100</v>
      </c>
      <c r="F3846" s="2">
        <v>2882</v>
      </c>
    </row>
    <row r="3847" spans="3:6" x14ac:dyDescent="0.25">
      <c r="C3847" s="2" t="s">
        <v>11840</v>
      </c>
      <c r="D3847" s="2" t="s">
        <v>42</v>
      </c>
      <c r="E3847" s="2">
        <v>100</v>
      </c>
      <c r="F3847" s="2">
        <v>3221</v>
      </c>
    </row>
    <row r="3848" spans="3:6" x14ac:dyDescent="0.25">
      <c r="C3848" s="2" t="s">
        <v>11841</v>
      </c>
      <c r="D3848" s="2" t="s">
        <v>42</v>
      </c>
      <c r="E3848" s="2">
        <v>100</v>
      </c>
      <c r="F3848" s="2">
        <v>4652</v>
      </c>
    </row>
    <row r="3849" spans="3:6" x14ac:dyDescent="0.25">
      <c r="C3849" s="2" t="s">
        <v>11842</v>
      </c>
      <c r="D3849" s="2" t="s">
        <v>42</v>
      </c>
      <c r="E3849" s="2">
        <v>68</v>
      </c>
      <c r="F3849" s="2">
        <v>4275</v>
      </c>
    </row>
    <row r="3850" spans="3:6" x14ac:dyDescent="0.25">
      <c r="C3850" s="2" t="s">
        <v>11843</v>
      </c>
      <c r="D3850" s="2" t="s">
        <v>42</v>
      </c>
      <c r="E3850" s="2">
        <v>16</v>
      </c>
      <c r="F3850" s="2">
        <v>196</v>
      </c>
    </row>
    <row r="3851" spans="3:6" x14ac:dyDescent="0.25">
      <c r="C3851" s="2" t="s">
        <v>11844</v>
      </c>
      <c r="D3851" s="2" t="s">
        <v>42</v>
      </c>
      <c r="E3851" s="2">
        <v>61</v>
      </c>
      <c r="F3851" s="2">
        <v>6406</v>
      </c>
    </row>
    <row r="3852" spans="3:6" x14ac:dyDescent="0.25">
      <c r="C3852" s="2" t="s">
        <v>11845</v>
      </c>
      <c r="D3852" s="2" t="s">
        <v>42</v>
      </c>
      <c r="E3852" s="2">
        <v>38</v>
      </c>
      <c r="F3852" s="2">
        <v>1875</v>
      </c>
    </row>
    <row r="3853" spans="3:6" x14ac:dyDescent="0.25">
      <c r="C3853" s="2" t="s">
        <v>11846</v>
      </c>
      <c r="D3853" s="2" t="s">
        <v>42</v>
      </c>
      <c r="E3853" s="2">
        <v>3</v>
      </c>
      <c r="F3853" s="2">
        <v>486</v>
      </c>
    </row>
    <row r="3854" spans="3:6" x14ac:dyDescent="0.25">
      <c r="C3854" s="2" t="s">
        <v>11847</v>
      </c>
      <c r="D3854" s="2" t="s">
        <v>42</v>
      </c>
      <c r="E3854" s="2">
        <v>65</v>
      </c>
      <c r="F3854" s="2">
        <v>2725</v>
      </c>
    </row>
    <row r="3855" spans="3:6" x14ac:dyDescent="0.25">
      <c r="C3855" s="2" t="s">
        <v>11848</v>
      </c>
      <c r="D3855" s="2" t="s">
        <v>42</v>
      </c>
      <c r="E3855" s="2">
        <v>35</v>
      </c>
      <c r="F3855" s="2">
        <v>1923</v>
      </c>
    </row>
    <row r="3856" spans="3:6" x14ac:dyDescent="0.25">
      <c r="C3856" s="2" t="s">
        <v>11849</v>
      </c>
      <c r="D3856" s="2" t="s">
        <v>42</v>
      </c>
      <c r="E3856" s="2">
        <v>52</v>
      </c>
      <c r="F3856" s="2">
        <v>3139</v>
      </c>
    </row>
    <row r="3857" spans="3:6" x14ac:dyDescent="0.25">
      <c r="C3857" s="2" t="s">
        <v>11850</v>
      </c>
      <c r="D3857" s="2" t="s">
        <v>42</v>
      </c>
      <c r="E3857" s="2">
        <v>62</v>
      </c>
      <c r="F3857" s="2">
        <v>2197</v>
      </c>
    </row>
    <row r="3858" spans="3:6" x14ac:dyDescent="0.25">
      <c r="C3858" s="2" t="s">
        <v>11851</v>
      </c>
      <c r="D3858" s="2" t="s">
        <v>42</v>
      </c>
      <c r="E3858" s="2">
        <v>10</v>
      </c>
      <c r="F3858" s="2">
        <v>641</v>
      </c>
    </row>
    <row r="3859" spans="3:6" x14ac:dyDescent="0.25">
      <c r="C3859" s="2" t="s">
        <v>11852</v>
      </c>
      <c r="D3859" s="2" t="s">
        <v>42</v>
      </c>
      <c r="E3859" s="2">
        <v>38</v>
      </c>
      <c r="F3859" s="2">
        <v>458</v>
      </c>
    </row>
    <row r="3860" spans="3:6" x14ac:dyDescent="0.25">
      <c r="C3860" s="2" t="s">
        <v>11853</v>
      </c>
      <c r="D3860" s="2" t="s">
        <v>42</v>
      </c>
      <c r="E3860" s="2">
        <v>5</v>
      </c>
      <c r="F3860" s="2">
        <v>54</v>
      </c>
    </row>
    <row r="3861" spans="3:5" x14ac:dyDescent="0.25">
      <c r="C3861" s="2" t="s">
        <v>11854</v>
      </c>
      <c r="D3861" s="2" t="s">
        <v>42</v>
      </c>
      <c r="E3861" s="2">
        <v>61</v>
      </c>
    </row>
    <row r="3862" spans="3:5" x14ac:dyDescent="0.25">
      <c r="C3862" s="2" t="s">
        <v>11855</v>
      </c>
      <c r="D3862" s="2" t="s">
        <v>42</v>
      </c>
      <c r="E3862" s="2">
        <v>41</v>
      </c>
    </row>
    <row r="3864" spans="1:7" x14ac:dyDescent="0.25">
      <c r="A3864" s="1">
        <v>46202</v>
      </c>
      <c r="B3864" s="2" t="s">
        <v>375</v>
      </c>
      <c r="C3864" s="2" t="s">
        <v>11856</v>
      </c>
      <c r="D3864" s="2" t="s">
        <v>204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11857</v>
      </c>
      <c r="D3865" s="2" t="s">
        <v>204</v>
      </c>
      <c r="E3865" s="2">
        <v>163</v>
      </c>
      <c r="F3865" s="2">
        <v>3129.68</v>
      </c>
    </row>
    <row r="3866" spans="3:6" x14ac:dyDescent="0.25">
      <c r="C3866" s="2" t="s">
        <v>11858</v>
      </c>
      <c r="D3866" s="2" t="s">
        <v>204</v>
      </c>
      <c r="E3866" s="2">
        <v>163</v>
      </c>
      <c r="F3866" s="2">
        <v>3201.97</v>
      </c>
    </row>
    <row r="3867" spans="3:6" x14ac:dyDescent="0.25">
      <c r="C3867" s="2" t="s">
        <v>11859</v>
      </c>
      <c r="D3867" s="2" t="s">
        <v>204</v>
      </c>
      <c r="E3867" s="2">
        <v>58</v>
      </c>
      <c r="F3867" s="2">
        <v>1077</v>
      </c>
    </row>
    <row r="3868" spans="3:6" x14ac:dyDescent="0.25">
      <c r="C3868" s="2" t="s">
        <v>11860</v>
      </c>
      <c r="D3868" s="2" t="s">
        <v>204</v>
      </c>
      <c r="E3868" s="2">
        <v>47</v>
      </c>
      <c r="F3868" s="2">
        <v>976.13</v>
      </c>
    </row>
    <row r="3869" spans="3:6" x14ac:dyDescent="0.25">
      <c r="C3869" s="2" t="s">
        <v>11861</v>
      </c>
      <c r="D3869" s="2" t="s">
        <v>204</v>
      </c>
      <c r="E3869" s="2">
        <v>105</v>
      </c>
      <c r="F3869" s="2">
        <v>2108.43</v>
      </c>
    </row>
    <row r="3870" spans="3:6" x14ac:dyDescent="0.25">
      <c r="C3870" s="2" t="s">
        <v>11862</v>
      </c>
      <c r="D3870" s="2" t="s">
        <v>204</v>
      </c>
      <c r="E3870" s="2">
        <v>105</v>
      </c>
      <c r="F3870" s="2">
        <v>2097.05</v>
      </c>
    </row>
    <row r="3871" spans="3:6" x14ac:dyDescent="0.25">
      <c r="C3871" s="2" t="s">
        <v>11863</v>
      </c>
      <c r="D3871" s="2" t="s">
        <v>204</v>
      </c>
      <c r="E3871" s="2">
        <v>239</v>
      </c>
      <c r="F3871" s="2">
        <v>799.56</v>
      </c>
    </row>
    <row r="3872" spans="3:6" x14ac:dyDescent="0.25">
      <c r="C3872" s="2" t="s">
        <v>11864</v>
      </c>
      <c r="D3872" s="2" t="s">
        <v>214</v>
      </c>
      <c r="E3872" s="2">
        <v>100</v>
      </c>
      <c r="F3872" s="2">
        <v>1898.32</v>
      </c>
    </row>
    <row r="3873" spans="3:6" x14ac:dyDescent="0.25">
      <c r="C3873" s="2" t="s">
        <v>11865</v>
      </c>
      <c r="D3873" s="2" t="s">
        <v>214</v>
      </c>
      <c r="E3873" s="2">
        <v>56</v>
      </c>
      <c r="F3873" s="2">
        <v>1131.618</v>
      </c>
    </row>
    <row r="3874" spans="3:6" x14ac:dyDescent="0.25">
      <c r="C3874" s="2" t="s">
        <v>11866</v>
      </c>
      <c r="D3874" s="2" t="s">
        <v>214</v>
      </c>
      <c r="E3874" s="2">
        <v>56</v>
      </c>
      <c r="F3874" s="2">
        <v>1140.019</v>
      </c>
    </row>
    <row r="3875" spans="3:6" x14ac:dyDescent="0.25">
      <c r="C3875" s="2" t="s">
        <v>11867</v>
      </c>
      <c r="D3875" s="2" t="s">
        <v>214</v>
      </c>
      <c r="E3875" s="2">
        <v>100</v>
      </c>
      <c r="F3875" s="2">
        <v>1874.229</v>
      </c>
    </row>
    <row r="3876" spans="3:6" x14ac:dyDescent="0.25">
      <c r="C3876" s="2" t="s">
        <v>11868</v>
      </c>
      <c r="D3876" s="2" t="s">
        <v>216</v>
      </c>
      <c r="E3876" s="2">
        <v>134</v>
      </c>
      <c r="F3876" s="2">
        <v>2708.65</v>
      </c>
    </row>
    <row r="3877" spans="3:6" x14ac:dyDescent="0.25">
      <c r="C3877" s="2" t="s">
        <v>11869</v>
      </c>
      <c r="D3877" s="2" t="s">
        <v>216</v>
      </c>
      <c r="E3877" s="2">
        <v>134</v>
      </c>
      <c r="F3877" s="2">
        <v>2587.97</v>
      </c>
    </row>
    <row r="3878" spans="3:6" x14ac:dyDescent="0.25">
      <c r="C3878" s="2" t="s">
        <v>11870</v>
      </c>
      <c r="D3878" s="2" t="s">
        <v>216</v>
      </c>
      <c r="E3878" s="2">
        <v>134</v>
      </c>
      <c r="F3878" s="2">
        <v>2644.289</v>
      </c>
    </row>
    <row r="3879" spans="3:6" x14ac:dyDescent="0.25">
      <c r="C3879" s="2" t="s">
        <v>11871</v>
      </c>
      <c r="D3879" s="2" t="s">
        <v>216</v>
      </c>
      <c r="E3879" s="2">
        <v>134</v>
      </c>
      <c r="F3879" s="2">
        <v>2678.889</v>
      </c>
    </row>
    <row r="3880" spans="3:6" x14ac:dyDescent="0.25">
      <c r="C3880" s="2" t="s">
        <v>11872</v>
      </c>
      <c r="D3880" s="2" t="s">
        <v>216</v>
      </c>
      <c r="E3880" s="2">
        <v>134</v>
      </c>
      <c r="F3880" s="2">
        <v>2534.679</v>
      </c>
    </row>
    <row r="3881" spans="3:6" x14ac:dyDescent="0.25">
      <c r="C3881" s="2" t="s">
        <v>11873</v>
      </c>
      <c r="D3881" s="2" t="s">
        <v>216</v>
      </c>
      <c r="E3881" s="2">
        <v>163</v>
      </c>
      <c r="F3881" s="2">
        <v>3141.44</v>
      </c>
    </row>
    <row r="3882" spans="3:6" x14ac:dyDescent="0.25">
      <c r="C3882" s="2" t="s">
        <v>11874</v>
      </c>
      <c r="D3882" s="2" t="s">
        <v>216</v>
      </c>
      <c r="E3882" s="2">
        <v>40</v>
      </c>
      <c r="F3882" s="2">
        <v>779.5</v>
      </c>
    </row>
    <row r="3883" spans="3:6" x14ac:dyDescent="0.25">
      <c r="C3883" s="2" t="s">
        <v>11875</v>
      </c>
      <c r="D3883" s="2" t="s">
        <v>236</v>
      </c>
      <c r="E3883" s="2">
        <v>56</v>
      </c>
      <c r="F3883" s="2">
        <v>1094.04</v>
      </c>
    </row>
    <row r="3884" spans="3:6" x14ac:dyDescent="0.25">
      <c r="C3884" s="2" t="s">
        <v>11876</v>
      </c>
      <c r="D3884" s="2" t="s">
        <v>236</v>
      </c>
      <c r="E3884" s="2">
        <v>49</v>
      </c>
      <c r="F3884" s="2">
        <v>926.589</v>
      </c>
    </row>
    <row r="3885" spans="3:6" x14ac:dyDescent="0.25">
      <c r="C3885" s="2" t="s">
        <v>11877</v>
      </c>
      <c r="D3885" s="2" t="s">
        <v>236</v>
      </c>
      <c r="E3885" s="2">
        <v>50</v>
      </c>
      <c r="F3885" s="2">
        <v>928.169</v>
      </c>
    </row>
    <row r="3886" spans="3:6" x14ac:dyDescent="0.25">
      <c r="C3886" s="2" t="s">
        <v>11878</v>
      </c>
      <c r="D3886" s="2" t="s">
        <v>236</v>
      </c>
      <c r="E3886" s="2">
        <v>50</v>
      </c>
      <c r="F3886" s="2">
        <v>970.58</v>
      </c>
    </row>
    <row r="3887" spans="3:6" x14ac:dyDescent="0.25">
      <c r="C3887" s="2" t="s">
        <v>11879</v>
      </c>
      <c r="D3887" s="2" t="s">
        <v>236</v>
      </c>
      <c r="E3887" s="2">
        <v>34</v>
      </c>
      <c r="F3887" s="2">
        <v>637.65</v>
      </c>
    </row>
    <row r="3888" spans="3:6" x14ac:dyDescent="0.25">
      <c r="C3888" s="2" t="s">
        <v>11880</v>
      </c>
      <c r="D3888" s="2" t="s">
        <v>347</v>
      </c>
      <c r="E3888" s="2">
        <v>56</v>
      </c>
      <c r="F3888" s="2">
        <v>1054.26</v>
      </c>
    </row>
    <row r="3889" spans="3:6" x14ac:dyDescent="0.25">
      <c r="C3889" s="2" t="s">
        <v>11881</v>
      </c>
      <c r="D3889" s="2" t="s">
        <v>347</v>
      </c>
      <c r="E3889" s="2">
        <v>50</v>
      </c>
      <c r="F3889" s="2">
        <v>972.94</v>
      </c>
    </row>
    <row r="3890" spans="3:6" x14ac:dyDescent="0.25">
      <c r="C3890" s="2" t="s">
        <v>11882</v>
      </c>
      <c r="D3890" s="2" t="s">
        <v>347</v>
      </c>
      <c r="E3890" s="2">
        <v>50</v>
      </c>
      <c r="F3890" s="2">
        <v>951.34</v>
      </c>
    </row>
    <row r="3891" spans="3:6" x14ac:dyDescent="0.25">
      <c r="C3891" s="2" t="s">
        <v>11883</v>
      </c>
      <c r="D3891" s="2" t="s">
        <v>347</v>
      </c>
      <c r="E3891" s="2">
        <v>50</v>
      </c>
      <c r="F3891" s="2">
        <v>965.24</v>
      </c>
    </row>
    <row r="3892" spans="3:6" x14ac:dyDescent="0.25">
      <c r="C3892" s="2" t="s">
        <v>11884</v>
      </c>
      <c r="D3892" s="2" t="s">
        <v>347</v>
      </c>
      <c r="E3892" s="2">
        <v>50</v>
      </c>
      <c r="F3892" s="2">
        <v>914.57</v>
      </c>
    </row>
    <row r="3893" spans="3:6" x14ac:dyDescent="0.25">
      <c r="C3893" s="2" t="s">
        <v>11885</v>
      </c>
      <c r="D3893" s="2" t="s">
        <v>347</v>
      </c>
      <c r="E3893" s="2">
        <v>56</v>
      </c>
      <c r="F3893" s="2">
        <v>1084.4</v>
      </c>
    </row>
    <row r="3894" spans="3:6" x14ac:dyDescent="0.25">
      <c r="C3894" s="2" t="s">
        <v>11886</v>
      </c>
      <c r="D3894" s="2" t="s">
        <v>347</v>
      </c>
      <c r="E3894" s="2">
        <v>46</v>
      </c>
      <c r="F3894" s="2">
        <v>849.13</v>
      </c>
    </row>
    <row r="3895" spans="3:6" x14ac:dyDescent="0.25">
      <c r="C3895" s="2" t="s">
        <v>11887</v>
      </c>
      <c r="D3895" s="2" t="s">
        <v>347</v>
      </c>
      <c r="E3895" s="2">
        <v>40</v>
      </c>
      <c r="F3895" s="2">
        <v>759.25</v>
      </c>
    </row>
    <row r="3896" spans="3:6" x14ac:dyDescent="0.25">
      <c r="C3896" s="2" t="s">
        <v>11888</v>
      </c>
      <c r="D3896" s="2" t="s">
        <v>347</v>
      </c>
      <c r="E3896" s="2">
        <v>19</v>
      </c>
      <c r="F3896" s="2">
        <v>363.51</v>
      </c>
    </row>
    <row r="3898" spans="2:6" x14ac:dyDescent="0.25">
      <c r="B3898" s="2" t="s">
        <v>342</v>
      </c>
      <c r="C3898" s="2" t="s">
        <v>11889</v>
      </c>
      <c r="D3898" s="2" t="s">
        <v>342</v>
      </c>
      <c r="E3898" s="2">
        <v>156</v>
      </c>
      <c r="F3898" s="2">
        <v>3113.22</v>
      </c>
    </row>
    <row r="3899" spans="3:6" x14ac:dyDescent="0.25">
      <c r="C3899" s="2" t="s">
        <v>11890</v>
      </c>
      <c r="D3899" s="2" t="s">
        <v>342</v>
      </c>
      <c r="E3899" s="2">
        <v>157</v>
      </c>
      <c r="F3899" s="2">
        <v>3095.099</v>
      </c>
    </row>
    <row r="3901" spans="3:6" x14ac:dyDescent="0.25">
      <c r="C3901" s="2" t="s">
        <v>11891</v>
      </c>
      <c r="D3901" s="2" t="s">
        <v>214</v>
      </c>
      <c r="E3901" s="2">
        <v>1</v>
      </c>
      <c r="F3901" s="2">
        <v>8.9</v>
      </c>
    </row>
    <row r="3902" spans="3:6" x14ac:dyDescent="0.25">
      <c r="C3902" s="2" t="s">
        <v>11892</v>
      </c>
      <c r="D3902" s="2" t="s">
        <v>214</v>
      </c>
      <c r="E3902" s="2">
        <v>155</v>
      </c>
      <c r="F3902" s="2">
        <v>2861.408</v>
      </c>
    </row>
    <row r="3903" spans="3:6" x14ac:dyDescent="0.25">
      <c r="C3903" s="2" t="s">
        <v>11893</v>
      </c>
      <c r="D3903" s="2" t="s">
        <v>204</v>
      </c>
      <c r="E3903" s="2">
        <v>105</v>
      </c>
      <c r="F3903" s="2">
        <v>1824.88</v>
      </c>
    </row>
    <row r="3904" spans="3:6" x14ac:dyDescent="0.25">
      <c r="C3904" s="2" t="s">
        <v>11894</v>
      </c>
      <c r="D3904" s="2" t="s">
        <v>216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10</v>
      </c>
      <c r="C3906" s="2" t="s">
        <v>11895</v>
      </c>
      <c r="D3906" s="2" t="s">
        <v>12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11896</v>
      </c>
      <c r="D3907" s="2" t="s">
        <v>12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11897</v>
      </c>
      <c r="C3909" s="2" t="s">
        <v>11898</v>
      </c>
      <c r="D3909" s="2" t="s">
        <v>20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11899</v>
      </c>
      <c r="D3910" s="2" t="s">
        <v>20</v>
      </c>
      <c r="E3910" s="2">
        <v>268</v>
      </c>
      <c r="F3910" s="2">
        <v>5203.439</v>
      </c>
    </row>
    <row r="3911" spans="3:6" x14ac:dyDescent="0.25">
      <c r="C3911" s="2" t="s">
        <v>11900</v>
      </c>
      <c r="D3911" s="2" t="s">
        <v>20</v>
      </c>
      <c r="E3911" s="2">
        <v>103</v>
      </c>
      <c r="F3911" s="2">
        <v>2036.848</v>
      </c>
    </row>
    <row r="3912" spans="3:6" x14ac:dyDescent="0.25">
      <c r="C3912" s="2" t="s">
        <v>11901</v>
      </c>
      <c r="D3912" s="2" t="s">
        <v>20</v>
      </c>
      <c r="E3912" s="2">
        <v>325</v>
      </c>
      <c r="F3912" s="2">
        <v>6103.98</v>
      </c>
    </row>
    <row r="3913" spans="3:6" x14ac:dyDescent="0.25">
      <c r="C3913" s="2" t="s">
        <v>11902</v>
      </c>
      <c r="D3913" s="2" t="s">
        <v>20</v>
      </c>
      <c r="E3913" s="2">
        <v>161</v>
      </c>
      <c r="F3913" s="2">
        <v>2987.87</v>
      </c>
    </row>
    <row r="3914" spans="3:6" x14ac:dyDescent="0.25">
      <c r="C3914" s="2" t="s">
        <v>11903</v>
      </c>
      <c r="D3914" s="2" t="s">
        <v>20</v>
      </c>
      <c r="E3914" s="2">
        <v>268</v>
      </c>
      <c r="F3914" s="2">
        <v>5142.117</v>
      </c>
    </row>
    <row r="3915" spans="3:6" x14ac:dyDescent="0.25">
      <c r="C3915" s="2" t="s">
        <v>11904</v>
      </c>
      <c r="D3915" s="2" t="s">
        <v>20</v>
      </c>
      <c r="E3915" s="2">
        <v>163</v>
      </c>
      <c r="F3915" s="2">
        <v>3083.188</v>
      </c>
    </row>
    <row r="3916" spans="3:6" x14ac:dyDescent="0.25">
      <c r="C3916" s="2" t="s">
        <v>11905</v>
      </c>
      <c r="D3916" s="2" t="s">
        <v>20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380</v>
      </c>
      <c r="C3918" s="2" t="s">
        <v>11906</v>
      </c>
      <c r="D3918" s="2" t="s">
        <v>20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11907</v>
      </c>
      <c r="D3919" s="2" t="s">
        <v>20</v>
      </c>
      <c r="E3919" s="2">
        <v>149</v>
      </c>
      <c r="F3919" s="2">
        <v>2834.34</v>
      </c>
    </row>
    <row r="3920" spans="3:6" x14ac:dyDescent="0.25">
      <c r="C3920" s="2" t="s">
        <v>11908</v>
      </c>
      <c r="D3920" s="2" t="s">
        <v>20</v>
      </c>
      <c r="E3920" s="2">
        <v>148</v>
      </c>
      <c r="F3920" s="2">
        <v>2763.71</v>
      </c>
    </row>
    <row r="3921" spans="3:6" x14ac:dyDescent="0.25">
      <c r="C3921" s="2" t="s">
        <v>11909</v>
      </c>
      <c r="D3921" s="2" t="s">
        <v>20</v>
      </c>
      <c r="E3921" s="2">
        <v>149</v>
      </c>
      <c r="F3921" s="2">
        <v>2868.959</v>
      </c>
    </row>
    <row r="3922" spans="3:6" x14ac:dyDescent="0.25">
      <c r="C3922" s="2" t="s">
        <v>11910</v>
      </c>
      <c r="D3922" s="2" t="s">
        <v>20</v>
      </c>
      <c r="E3922" s="2">
        <v>149</v>
      </c>
      <c r="F3922" s="2">
        <v>2789.27</v>
      </c>
    </row>
    <row r="3923" spans="3:6" x14ac:dyDescent="0.25">
      <c r="C3923" s="2" t="s">
        <v>11911</v>
      </c>
      <c r="D3923" s="2" t="s">
        <v>20</v>
      </c>
      <c r="E3923" s="2">
        <v>64</v>
      </c>
      <c r="F3923" s="2">
        <v>1458.565</v>
      </c>
    </row>
    <row r="3924" spans="3:6" x14ac:dyDescent="0.25">
      <c r="C3924" s="2" t="s">
        <v>11912</v>
      </c>
      <c r="D3924" s="2" t="s">
        <v>20</v>
      </c>
      <c r="E3924" s="2">
        <v>102</v>
      </c>
      <c r="F3924" s="2">
        <v>1975</v>
      </c>
    </row>
    <row r="3925" spans="3:6" x14ac:dyDescent="0.25">
      <c r="C3925" s="2" t="s">
        <v>11913</v>
      </c>
      <c r="D3925" s="2" t="s">
        <v>20</v>
      </c>
      <c r="E3925" s="2">
        <v>149</v>
      </c>
      <c r="F3925" s="2">
        <v>2760.51</v>
      </c>
    </row>
    <row r="3926" spans="3:6" x14ac:dyDescent="0.25">
      <c r="C3926" s="2" t="s">
        <v>11914</v>
      </c>
      <c r="D3926" s="2" t="s">
        <v>20</v>
      </c>
      <c r="E3926" s="2">
        <v>102</v>
      </c>
      <c r="F3926" s="2">
        <v>1992.63</v>
      </c>
    </row>
    <row r="3927" spans="3:6" x14ac:dyDescent="0.25">
      <c r="C3927" s="2" t="s">
        <v>11915</v>
      </c>
      <c r="D3927" s="2" t="s">
        <v>20</v>
      </c>
      <c r="E3927" s="2">
        <v>102</v>
      </c>
      <c r="F3927" s="2">
        <v>2113.89</v>
      </c>
    </row>
    <row r="3928" spans="3:6" x14ac:dyDescent="0.25">
      <c r="C3928" s="2" t="s">
        <v>11916</v>
      </c>
      <c r="D3928" s="2" t="s">
        <v>20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324</v>
      </c>
      <c r="C3930" s="2" t="s">
        <v>11917</v>
      </c>
      <c r="D3930" s="2" t="s">
        <v>27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11918</v>
      </c>
      <c r="D3931" s="2" t="s">
        <v>27</v>
      </c>
      <c r="E3931" s="2">
        <v>58</v>
      </c>
      <c r="F3931" s="2">
        <v>1064.19</v>
      </c>
    </row>
    <row r="3932" spans="3:6" x14ac:dyDescent="0.25">
      <c r="C3932" s="2" t="s">
        <v>11919</v>
      </c>
      <c r="D3932" s="2" t="s">
        <v>27</v>
      </c>
      <c r="E3932" s="2">
        <v>25</v>
      </c>
      <c r="F3932" s="2">
        <v>404.239</v>
      </c>
    </row>
    <row r="3933" spans="3:6" x14ac:dyDescent="0.25">
      <c r="C3933" s="2" t="s">
        <v>11920</v>
      </c>
      <c r="D3933" s="2" t="s">
        <v>27</v>
      </c>
      <c r="E3933" s="2">
        <v>93</v>
      </c>
      <c r="F3933" s="2">
        <v>1837.939</v>
      </c>
    </row>
    <row r="3934" spans="3:6" x14ac:dyDescent="0.25">
      <c r="C3934" s="2" t="s">
        <v>11921</v>
      </c>
      <c r="D3934" s="2" t="s">
        <v>27</v>
      </c>
      <c r="E3934" s="2">
        <v>92</v>
      </c>
      <c r="F3934" s="2">
        <v>1775.386</v>
      </c>
    </row>
    <row r="3935" spans="3:6" x14ac:dyDescent="0.25">
      <c r="C3935" s="2" t="s">
        <v>11922</v>
      </c>
      <c r="D3935" s="2" t="s">
        <v>27</v>
      </c>
      <c r="E3935" s="2">
        <v>5</v>
      </c>
      <c r="F3935" s="2">
        <v>103.6</v>
      </c>
    </row>
    <row r="3936" spans="3:6" x14ac:dyDescent="0.25">
      <c r="C3936" s="2" t="s">
        <v>11923</v>
      </c>
      <c r="D3936" s="2" t="s">
        <v>27</v>
      </c>
      <c r="E3936" s="2">
        <v>38</v>
      </c>
      <c r="F3936" s="2">
        <v>646.04</v>
      </c>
    </row>
    <row r="3937" spans="3:6" x14ac:dyDescent="0.25">
      <c r="C3937" s="2" t="s">
        <v>11924</v>
      </c>
      <c r="D3937" s="2" t="s">
        <v>27</v>
      </c>
      <c r="E3937" s="2">
        <v>41</v>
      </c>
      <c r="F3937" s="2">
        <v>759.869</v>
      </c>
    </row>
    <row r="3938" spans="3:6" x14ac:dyDescent="0.25">
      <c r="C3938" s="2" t="s">
        <v>11925</v>
      </c>
      <c r="D3938" s="2" t="s">
        <v>27</v>
      </c>
      <c r="E3938" s="2">
        <v>41</v>
      </c>
      <c r="F3938" s="2">
        <v>822.56</v>
      </c>
    </row>
    <row r="3939" spans="3:6" x14ac:dyDescent="0.25">
      <c r="C3939" s="2" t="s">
        <v>11926</v>
      </c>
      <c r="D3939" s="2" t="s">
        <v>27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10</v>
      </c>
      <c r="C3941" s="2" t="s">
        <v>11927</v>
      </c>
      <c r="D3941" s="2" t="s">
        <v>12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11928</v>
      </c>
      <c r="D3942" s="2" t="s">
        <v>12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1101</v>
      </c>
      <c r="C3944" s="2" t="s">
        <v>11929</v>
      </c>
      <c r="D3944" s="2" t="s">
        <v>20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11930</v>
      </c>
      <c r="D3945" s="2" t="s">
        <v>20</v>
      </c>
      <c r="E3945" s="2">
        <v>163</v>
      </c>
      <c r="F3945" s="2">
        <v>3144.189</v>
      </c>
    </row>
    <row r="3946" spans="3:6" x14ac:dyDescent="0.25">
      <c r="C3946" s="2" t="s">
        <v>11931</v>
      </c>
      <c r="D3946" s="2" t="s">
        <v>20</v>
      </c>
      <c r="E3946" s="2">
        <v>105</v>
      </c>
      <c r="F3946" s="2">
        <v>2106.08</v>
      </c>
    </row>
    <row r="3947" spans="3:6" x14ac:dyDescent="0.25">
      <c r="C3947" s="2" t="s">
        <v>11932</v>
      </c>
      <c r="D3947" s="2" t="s">
        <v>20</v>
      </c>
      <c r="E3947" s="2">
        <v>105</v>
      </c>
      <c r="F3947" s="2">
        <v>1992.04</v>
      </c>
    </row>
    <row r="3948" spans="3:6" x14ac:dyDescent="0.25">
      <c r="C3948" s="2" t="s">
        <v>11933</v>
      </c>
      <c r="D3948" s="2" t="s">
        <v>20</v>
      </c>
      <c r="E3948" s="2">
        <v>105</v>
      </c>
      <c r="F3948" s="2">
        <v>2151.92</v>
      </c>
    </row>
    <row r="3949" spans="3:6" x14ac:dyDescent="0.25">
      <c r="C3949" s="2" t="s">
        <v>11934</v>
      </c>
      <c r="D3949" s="2" t="s">
        <v>20</v>
      </c>
      <c r="E3949" s="2">
        <v>105</v>
      </c>
      <c r="F3949" s="2">
        <v>2056.49</v>
      </c>
    </row>
    <row r="3950" spans="3:6" x14ac:dyDescent="0.25">
      <c r="C3950" s="2" t="s">
        <v>11935</v>
      </c>
      <c r="D3950" s="2" t="s">
        <v>20</v>
      </c>
      <c r="E3950" s="2">
        <v>102</v>
      </c>
      <c r="F3950" s="2">
        <v>2029.81</v>
      </c>
    </row>
    <row r="3951" spans="3:6" x14ac:dyDescent="0.25">
      <c r="C3951" s="2" t="s">
        <v>11936</v>
      </c>
      <c r="D3951" s="2" t="s">
        <v>20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2037</v>
      </c>
      <c r="C3960" s="12">
        <f>COUNTA(C3:C3959)</f>
        <v>3690</v>
      </c>
      <c r="E3960" s="11" t="s">
        <v>2038</v>
      </c>
      <c r="F3960" s="13">
        <f>SUM(F3:F3959)</f>
        <v>6297652.424999994</v>
      </c>
      <c r="G3960" s="1" t="s">
        <v>2039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120</v>
      </c>
      <c r="C6" s="2" t="s">
        <v>5278</v>
      </c>
      <c r="D6" s="2" t="s">
        <v>42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5279</v>
      </c>
      <c r="D7" s="2" t="s">
        <v>42</v>
      </c>
      <c r="E7" s="2">
        <v>141</v>
      </c>
      <c r="F7" s="2">
        <v>3009.81</v>
      </c>
    </row>
    <row r="8" spans="3:6" x14ac:dyDescent="0.25">
      <c r="C8" s="2" t="s">
        <v>5280</v>
      </c>
      <c r="D8" s="2" t="s">
        <v>42</v>
      </c>
      <c r="E8" s="2">
        <v>141</v>
      </c>
      <c r="F8" s="2">
        <v>2824.96</v>
      </c>
    </row>
    <row r="9" spans="3:6" x14ac:dyDescent="0.25">
      <c r="C9" s="2" t="s">
        <v>5281</v>
      </c>
      <c r="D9" s="2" t="s">
        <v>42</v>
      </c>
      <c r="E9" s="2">
        <v>141</v>
      </c>
      <c r="F9" s="2">
        <v>2753.779</v>
      </c>
    </row>
    <row r="10" spans="3:6" x14ac:dyDescent="0.25">
      <c r="C10" s="2" t="s">
        <v>5282</v>
      </c>
      <c r="D10" s="2" t="s">
        <v>42</v>
      </c>
      <c r="E10" s="2">
        <v>141</v>
      </c>
      <c r="F10" s="2">
        <v>2777.179</v>
      </c>
    </row>
    <row r="11" spans="3:6" x14ac:dyDescent="0.25">
      <c r="C11" s="2" t="s">
        <v>5283</v>
      </c>
      <c r="D11" s="2" t="s">
        <v>42</v>
      </c>
      <c r="E11" s="2">
        <v>141</v>
      </c>
      <c r="F11" s="2">
        <v>2938.459</v>
      </c>
    </row>
    <row r="12" spans="3:6" x14ac:dyDescent="0.25">
      <c r="C12" s="2" t="s">
        <v>5284</v>
      </c>
      <c r="D12" s="2" t="s">
        <v>42</v>
      </c>
      <c r="E12" s="2">
        <v>67</v>
      </c>
      <c r="F12" s="2">
        <v>1474.27</v>
      </c>
    </row>
    <row r="13" spans="3:6" x14ac:dyDescent="0.25">
      <c r="C13" s="2" t="s">
        <v>5285</v>
      </c>
      <c r="D13" s="2" t="s">
        <v>42</v>
      </c>
      <c r="E13" s="2">
        <v>126</v>
      </c>
      <c r="F13" s="2">
        <v>1741.877</v>
      </c>
    </row>
    <row r="14" spans="3:6" x14ac:dyDescent="0.25">
      <c r="C14" s="2" t="s">
        <v>5286</v>
      </c>
      <c r="D14" s="2" t="s">
        <v>42</v>
      </c>
      <c r="E14" s="2">
        <v>54</v>
      </c>
      <c r="F14" s="2">
        <v>1098.02</v>
      </c>
    </row>
    <row r="15" spans="3:6" x14ac:dyDescent="0.25">
      <c r="C15" s="2" t="s">
        <v>5287</v>
      </c>
      <c r="D15" s="2" t="s">
        <v>42</v>
      </c>
      <c r="E15" s="2">
        <v>87</v>
      </c>
      <c r="F15" s="2">
        <v>1694.86</v>
      </c>
    </row>
    <row r="16" spans="3:6" x14ac:dyDescent="0.25">
      <c r="C16" s="2" t="s">
        <v>5288</v>
      </c>
      <c r="D16" s="2" t="s">
        <v>42</v>
      </c>
      <c r="E16" s="2">
        <v>56</v>
      </c>
      <c r="F16" s="2">
        <v>1145.75</v>
      </c>
    </row>
    <row r="17" spans="3:6" x14ac:dyDescent="0.25">
      <c r="C17" s="2" t="s">
        <v>5289</v>
      </c>
      <c r="D17" s="2" t="s">
        <v>42</v>
      </c>
      <c r="E17" s="2">
        <v>63</v>
      </c>
      <c r="F17" s="2">
        <v>1113.89</v>
      </c>
    </row>
    <row r="18" spans="3:6" x14ac:dyDescent="0.25">
      <c r="C18" s="2" t="s">
        <v>5290</v>
      </c>
      <c r="D18" s="2" t="s">
        <v>42</v>
      </c>
      <c r="E18" s="2">
        <v>78</v>
      </c>
      <c r="F18" s="2">
        <v>1501.129</v>
      </c>
    </row>
    <row r="19" spans="3:6" x14ac:dyDescent="0.25">
      <c r="C19" s="2" t="s">
        <v>5291</v>
      </c>
      <c r="D19" s="2" t="s">
        <v>42</v>
      </c>
      <c r="E19" s="2">
        <v>60</v>
      </c>
      <c r="F19" s="2">
        <v>1325.34</v>
      </c>
    </row>
    <row r="20" spans="3:6" x14ac:dyDescent="0.25">
      <c r="C20" s="2" t="s">
        <v>5292</v>
      </c>
      <c r="D20" s="2" t="s">
        <v>42</v>
      </c>
      <c r="E20" s="2">
        <v>81</v>
      </c>
      <c r="F20" s="2">
        <v>1641.1</v>
      </c>
    </row>
    <row r="21" spans="3:6" x14ac:dyDescent="0.25">
      <c r="C21" s="2" t="s">
        <v>5293</v>
      </c>
      <c r="D21" s="2" t="s">
        <v>42</v>
      </c>
      <c r="E21" s="2">
        <v>141</v>
      </c>
      <c r="F21" s="2">
        <v>2859.29</v>
      </c>
    </row>
    <row r="22" spans="3:6" x14ac:dyDescent="0.25">
      <c r="C22" s="2" t="s">
        <v>5294</v>
      </c>
      <c r="D22" s="2" t="s">
        <v>42</v>
      </c>
      <c r="E22" s="2">
        <v>110</v>
      </c>
      <c r="F22" s="2">
        <v>1602.298</v>
      </c>
    </row>
    <row r="23" spans="3:6" x14ac:dyDescent="0.25">
      <c r="C23" s="2" t="s">
        <v>5295</v>
      </c>
      <c r="D23" s="2" t="s">
        <v>42</v>
      </c>
      <c r="E23" s="2">
        <v>60</v>
      </c>
      <c r="F23" s="2">
        <v>298.39</v>
      </c>
    </row>
    <row r="24" spans="3:6" x14ac:dyDescent="0.25">
      <c r="C24" s="2" t="s">
        <v>5296</v>
      </c>
      <c r="D24" s="2" t="s">
        <v>42</v>
      </c>
      <c r="E24" s="2">
        <v>65</v>
      </c>
      <c r="F24" s="2">
        <v>1340.88</v>
      </c>
    </row>
    <row r="25" spans="3:6" x14ac:dyDescent="0.25">
      <c r="C25" s="2" t="s">
        <v>5297</v>
      </c>
      <c r="D25" s="2" t="s">
        <v>42</v>
      </c>
      <c r="E25" s="2">
        <v>10</v>
      </c>
      <c r="F25" s="2">
        <v>209.67</v>
      </c>
    </row>
    <row r="26" spans="3:6" x14ac:dyDescent="0.25">
      <c r="C26" s="2" t="s">
        <v>5298</v>
      </c>
      <c r="D26" s="2" t="s">
        <v>42</v>
      </c>
      <c r="E26" s="2">
        <v>27</v>
      </c>
      <c r="F26" s="2">
        <v>521.892</v>
      </c>
    </row>
    <row r="27" spans="3:6" x14ac:dyDescent="0.25">
      <c r="C27" s="2" t="s">
        <v>5299</v>
      </c>
      <c r="D27" s="2" t="s">
        <v>42</v>
      </c>
      <c r="E27" s="2">
        <v>107</v>
      </c>
      <c r="F27" s="2">
        <v>2086.44</v>
      </c>
    </row>
    <row r="28" spans="3:6" x14ac:dyDescent="0.25">
      <c r="C28" s="2" t="s">
        <v>5300</v>
      </c>
      <c r="D28" s="2" t="s">
        <v>42</v>
      </c>
      <c r="E28" s="2">
        <v>60</v>
      </c>
      <c r="F28" s="2">
        <v>282.24</v>
      </c>
    </row>
    <row r="29" spans="3:6" x14ac:dyDescent="0.25">
      <c r="C29" s="2" t="s">
        <v>5301</v>
      </c>
      <c r="D29" s="2" t="s">
        <v>42</v>
      </c>
      <c r="E29" s="2">
        <v>40</v>
      </c>
      <c r="F29" s="2">
        <v>773.17</v>
      </c>
    </row>
    <row r="30" spans="3:6" x14ac:dyDescent="0.25">
      <c r="C30" s="2" t="s">
        <v>5302</v>
      </c>
      <c r="D30" s="2" t="s">
        <v>42</v>
      </c>
      <c r="E30" s="2">
        <v>37</v>
      </c>
      <c r="F30" s="2">
        <v>723.81</v>
      </c>
    </row>
    <row r="31" spans="3:6" x14ac:dyDescent="0.25">
      <c r="C31" s="2" t="s">
        <v>5303</v>
      </c>
      <c r="D31" s="2" t="s">
        <v>42</v>
      </c>
      <c r="E31" s="2">
        <v>46</v>
      </c>
      <c r="F31" s="2">
        <v>931.49</v>
      </c>
    </row>
    <row r="32" spans="3:6" x14ac:dyDescent="0.25">
      <c r="C32" s="2" t="s">
        <v>5304</v>
      </c>
      <c r="D32" s="2" t="s">
        <v>42</v>
      </c>
      <c r="E32" s="2">
        <v>122</v>
      </c>
      <c r="F32" s="2">
        <v>2661.01</v>
      </c>
    </row>
    <row r="33" spans="3:6" x14ac:dyDescent="0.25">
      <c r="C33" s="2" t="s">
        <v>5305</v>
      </c>
      <c r="D33" s="2" t="s">
        <v>42</v>
      </c>
      <c r="E33" s="2">
        <v>19</v>
      </c>
      <c r="F33" s="2">
        <v>348.459</v>
      </c>
    </row>
    <row r="34" spans="3:6" x14ac:dyDescent="0.25">
      <c r="C34" s="2" t="s">
        <v>5306</v>
      </c>
      <c r="D34" s="2" t="s">
        <v>42</v>
      </c>
      <c r="E34" s="2">
        <v>50</v>
      </c>
      <c r="F34" s="2">
        <v>237.34</v>
      </c>
    </row>
    <row r="35" spans="3:6" x14ac:dyDescent="0.25">
      <c r="C35" s="2" t="s">
        <v>5307</v>
      </c>
      <c r="D35" s="2" t="s">
        <v>42</v>
      </c>
      <c r="E35" s="2">
        <v>82</v>
      </c>
      <c r="F35" s="2">
        <v>1623.78</v>
      </c>
    </row>
    <row r="36" spans="3:6" x14ac:dyDescent="0.25">
      <c r="C36" s="2" t="s">
        <v>5308</v>
      </c>
      <c r="D36" s="2" t="s">
        <v>42</v>
      </c>
      <c r="E36" s="2">
        <v>102</v>
      </c>
      <c r="F36" s="2">
        <v>2117.5</v>
      </c>
    </row>
    <row r="37" spans="3:6" x14ac:dyDescent="0.25">
      <c r="C37" s="2" t="s">
        <v>5309</v>
      </c>
      <c r="D37" s="2" t="s">
        <v>42</v>
      </c>
      <c r="E37" s="2">
        <v>18</v>
      </c>
      <c r="F37" s="2">
        <v>343.439</v>
      </c>
    </row>
    <row r="38" spans="3:6" x14ac:dyDescent="0.25">
      <c r="C38" s="2" t="s">
        <v>5310</v>
      </c>
      <c r="D38" s="2" t="s">
        <v>42</v>
      </c>
      <c r="E38" s="2">
        <v>58</v>
      </c>
      <c r="F38" s="2">
        <v>1276.032</v>
      </c>
    </row>
    <row r="39" spans="3:6" x14ac:dyDescent="0.25">
      <c r="C39" s="2" t="s">
        <v>5311</v>
      </c>
      <c r="D39" s="2" t="s">
        <v>42</v>
      </c>
      <c r="E39" s="2">
        <v>20</v>
      </c>
      <c r="F39" s="2">
        <v>402.51</v>
      </c>
    </row>
    <row r="40" spans="3:6" x14ac:dyDescent="0.25">
      <c r="C40" s="2" t="s">
        <v>5312</v>
      </c>
      <c r="D40" s="2" t="s">
        <v>42</v>
      </c>
      <c r="E40" s="2">
        <v>80</v>
      </c>
      <c r="F40" s="2">
        <v>1565.69</v>
      </c>
    </row>
    <row r="41" spans="3:6" x14ac:dyDescent="0.25">
      <c r="C41" s="2" t="s">
        <v>5313</v>
      </c>
      <c r="D41" s="2" t="s">
        <v>42</v>
      </c>
      <c r="E41" s="2">
        <v>83</v>
      </c>
      <c r="F41" s="2">
        <v>1592.89</v>
      </c>
    </row>
    <row r="42" spans="3:6" x14ac:dyDescent="0.25">
      <c r="C42" s="2" t="s">
        <v>5314</v>
      </c>
      <c r="D42" s="2" t="s">
        <v>42</v>
      </c>
      <c r="E42" s="2">
        <v>38</v>
      </c>
      <c r="F42" s="2">
        <v>710.76</v>
      </c>
    </row>
    <row r="43" spans="3:6" x14ac:dyDescent="0.25">
      <c r="C43" s="2" t="s">
        <v>5315</v>
      </c>
      <c r="D43" s="2" t="s">
        <v>42</v>
      </c>
      <c r="E43" s="2">
        <v>57</v>
      </c>
      <c r="F43" s="2">
        <v>1053.478</v>
      </c>
    </row>
    <row r="44" spans="3:6" x14ac:dyDescent="0.25">
      <c r="C44" s="2" t="s">
        <v>5316</v>
      </c>
      <c r="D44" s="2" t="s">
        <v>42</v>
      </c>
      <c r="E44" s="2">
        <v>21</v>
      </c>
      <c r="F44" s="2">
        <v>383.32</v>
      </c>
    </row>
    <row r="45" spans="3:6" x14ac:dyDescent="0.25">
      <c r="C45" s="2" t="s">
        <v>5317</v>
      </c>
      <c r="D45" s="2" t="s">
        <v>42</v>
      </c>
      <c r="E45" s="2">
        <v>29</v>
      </c>
      <c r="F45" s="2">
        <v>543.89</v>
      </c>
    </row>
    <row r="46" spans="3:6" x14ac:dyDescent="0.25">
      <c r="C46" s="2" t="s">
        <v>5318</v>
      </c>
      <c r="D46" s="2" t="s">
        <v>42</v>
      </c>
      <c r="E46" s="2">
        <v>63</v>
      </c>
      <c r="F46" s="2">
        <v>1029.43</v>
      </c>
    </row>
    <row r="47" spans="3:6" x14ac:dyDescent="0.25">
      <c r="C47" s="2" t="s">
        <v>5319</v>
      </c>
      <c r="D47" s="2" t="s">
        <v>42</v>
      </c>
      <c r="E47" s="2">
        <v>112</v>
      </c>
      <c r="F47" s="2">
        <v>1852.33</v>
      </c>
    </row>
    <row r="48" spans="3:6" x14ac:dyDescent="0.25">
      <c r="C48" s="2" t="s">
        <v>5320</v>
      </c>
      <c r="D48" s="2" t="s">
        <v>42</v>
      </c>
      <c r="E48" s="2">
        <v>17</v>
      </c>
      <c r="F48" s="2">
        <v>355.45</v>
      </c>
    </row>
    <row r="49" spans="3:6" x14ac:dyDescent="0.25">
      <c r="C49" s="2" t="s">
        <v>5321</v>
      </c>
      <c r="D49" s="2" t="s">
        <v>42</v>
      </c>
      <c r="E49" s="2">
        <v>20</v>
      </c>
      <c r="F49" s="2">
        <v>426.35</v>
      </c>
    </row>
    <row r="50" spans="3:6" x14ac:dyDescent="0.25">
      <c r="C50" s="2" t="s">
        <v>5322</v>
      </c>
      <c r="D50" s="2" t="s">
        <v>42</v>
      </c>
      <c r="E50" s="2">
        <v>99</v>
      </c>
      <c r="F50" s="2">
        <v>2009.94</v>
      </c>
    </row>
    <row r="51" spans="3:6" x14ac:dyDescent="0.25">
      <c r="C51" s="2" t="s">
        <v>5323</v>
      </c>
      <c r="D51" s="2" t="s">
        <v>42</v>
      </c>
      <c r="E51" s="2">
        <v>35</v>
      </c>
      <c r="F51" s="2">
        <v>728.43</v>
      </c>
    </row>
    <row r="52" spans="3:6" x14ac:dyDescent="0.25">
      <c r="C52" s="2" t="s">
        <v>5324</v>
      </c>
      <c r="D52" s="2" t="s">
        <v>42</v>
      </c>
      <c r="E52" s="2">
        <v>59</v>
      </c>
      <c r="F52" s="2">
        <v>1159.19</v>
      </c>
    </row>
    <row r="53" spans="3:6" x14ac:dyDescent="0.25">
      <c r="C53" s="2" t="s">
        <v>5325</v>
      </c>
      <c r="D53" s="2" t="s">
        <v>42</v>
      </c>
      <c r="E53" s="2">
        <v>65</v>
      </c>
      <c r="F53" s="2">
        <v>1236.018</v>
      </c>
    </row>
    <row r="54" spans="3:6" x14ac:dyDescent="0.25">
      <c r="C54" s="2" t="s">
        <v>5326</v>
      </c>
      <c r="D54" s="2" t="s">
        <v>42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10</v>
      </c>
      <c r="C56" s="2" t="s">
        <v>5327</v>
      </c>
      <c r="D56" s="2" t="s">
        <v>12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5328</v>
      </c>
      <c r="D57" s="2" t="s">
        <v>12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212</v>
      </c>
      <c r="C59" s="2" t="s">
        <v>5329</v>
      </c>
      <c r="D59" s="2" t="s">
        <v>216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5330</v>
      </c>
      <c r="D60" s="2" t="s">
        <v>216</v>
      </c>
      <c r="E60" s="2">
        <v>36</v>
      </c>
      <c r="F60" s="2">
        <v>697.34</v>
      </c>
    </row>
    <row r="61" spans="3:6" x14ac:dyDescent="0.25">
      <c r="C61" s="2" t="s">
        <v>5331</v>
      </c>
      <c r="D61" s="2" t="s">
        <v>204</v>
      </c>
      <c r="E61" s="2">
        <v>163</v>
      </c>
      <c r="F61" s="2">
        <v>3122.089</v>
      </c>
    </row>
    <row r="62" spans="3:6" x14ac:dyDescent="0.25">
      <c r="C62" s="2" t="s">
        <v>5332</v>
      </c>
      <c r="D62" s="2" t="s">
        <v>204</v>
      </c>
      <c r="E62" s="2">
        <v>240</v>
      </c>
      <c r="F62" s="2">
        <v>681.248</v>
      </c>
    </row>
    <row r="63" spans="3:6" x14ac:dyDescent="0.25">
      <c r="C63" s="2" t="s">
        <v>5333</v>
      </c>
      <c r="D63" s="2" t="s">
        <v>236</v>
      </c>
      <c r="E63" s="2">
        <v>45</v>
      </c>
      <c r="F63" s="2">
        <v>850.63</v>
      </c>
    </row>
    <row r="64" spans="3:6" x14ac:dyDescent="0.25">
      <c r="C64" s="2" t="s">
        <v>5334</v>
      </c>
      <c r="D64" s="2" t="s">
        <v>236</v>
      </c>
      <c r="E64" s="2">
        <v>60</v>
      </c>
      <c r="F64" s="2">
        <v>1128.84</v>
      </c>
    </row>
    <row r="65" spans="3:6" x14ac:dyDescent="0.25">
      <c r="C65" s="2" t="s">
        <v>5335</v>
      </c>
      <c r="D65" s="2" t="s">
        <v>204</v>
      </c>
      <c r="E65" s="2">
        <v>163</v>
      </c>
      <c r="F65" s="2">
        <v>2797.41</v>
      </c>
    </row>
    <row r="66" spans="3:6" x14ac:dyDescent="0.25">
      <c r="C66" s="2" t="s">
        <v>5336</v>
      </c>
      <c r="D66" s="2" t="s">
        <v>204</v>
      </c>
      <c r="E66" s="2">
        <v>163</v>
      </c>
      <c r="F66" s="2">
        <v>3112.46</v>
      </c>
    </row>
    <row r="67" spans="3:6" x14ac:dyDescent="0.25">
      <c r="C67" s="2" t="s">
        <v>5337</v>
      </c>
      <c r="D67" s="2" t="s">
        <v>204</v>
      </c>
      <c r="E67" s="2">
        <v>163</v>
      </c>
      <c r="F67" s="2">
        <v>3151.358</v>
      </c>
    </row>
    <row r="68" spans="3:6" x14ac:dyDescent="0.25">
      <c r="C68" s="2" t="s">
        <v>5338</v>
      </c>
      <c r="D68" s="2" t="s">
        <v>204</v>
      </c>
      <c r="E68" s="2">
        <v>95</v>
      </c>
      <c r="F68" s="2">
        <v>1256.83</v>
      </c>
    </row>
    <row r="69" spans="3:6" x14ac:dyDescent="0.25">
      <c r="C69" s="2" t="s">
        <v>5339</v>
      </c>
      <c r="D69" s="2" t="s">
        <v>204</v>
      </c>
      <c r="E69" s="2">
        <v>134</v>
      </c>
      <c r="F69" s="2">
        <v>2473.27</v>
      </c>
    </row>
    <row r="70" spans="3:6" x14ac:dyDescent="0.25">
      <c r="C70" s="2" t="s">
        <v>5340</v>
      </c>
      <c r="D70" s="2" t="s">
        <v>204</v>
      </c>
      <c r="E70" s="2">
        <v>163</v>
      </c>
      <c r="F70" s="2">
        <v>3224.33</v>
      </c>
    </row>
    <row r="71" spans="3:6" x14ac:dyDescent="0.25">
      <c r="C71" s="2" t="s">
        <v>5341</v>
      </c>
      <c r="D71" s="2" t="s">
        <v>204</v>
      </c>
      <c r="E71" s="2">
        <v>163</v>
      </c>
      <c r="F71" s="2">
        <v>3138.809</v>
      </c>
    </row>
    <row r="72" spans="3:6" x14ac:dyDescent="0.25">
      <c r="C72" s="2" t="s">
        <v>5342</v>
      </c>
      <c r="D72" s="2" t="s">
        <v>214</v>
      </c>
      <c r="E72" s="2">
        <v>56</v>
      </c>
      <c r="F72" s="2">
        <v>1126.99</v>
      </c>
    </row>
    <row r="73" spans="3:6" x14ac:dyDescent="0.25">
      <c r="C73" s="2" t="s">
        <v>5343</v>
      </c>
      <c r="D73" s="2" t="s">
        <v>214</v>
      </c>
      <c r="E73" s="2">
        <v>100</v>
      </c>
      <c r="F73" s="2">
        <v>2027.27</v>
      </c>
    </row>
    <row r="74" spans="3:6" x14ac:dyDescent="0.25">
      <c r="C74" s="2" t="s">
        <v>5344</v>
      </c>
      <c r="D74" s="2" t="s">
        <v>216</v>
      </c>
      <c r="E74" s="2">
        <v>105</v>
      </c>
      <c r="F74" s="2">
        <v>2023.83</v>
      </c>
    </row>
    <row r="75" spans="3:6" x14ac:dyDescent="0.25">
      <c r="C75" s="2" t="s">
        <v>5345</v>
      </c>
      <c r="D75" s="2" t="s">
        <v>216</v>
      </c>
      <c r="E75" s="2">
        <v>105</v>
      </c>
      <c r="F75" s="2">
        <v>2160.81</v>
      </c>
    </row>
    <row r="76" spans="3:6" x14ac:dyDescent="0.25">
      <c r="C76" s="2" t="s">
        <v>5346</v>
      </c>
      <c r="D76" s="2" t="s">
        <v>204</v>
      </c>
      <c r="E76" s="2">
        <v>105</v>
      </c>
      <c r="F76" s="2">
        <v>1796.94</v>
      </c>
    </row>
    <row r="77" spans="3:6" x14ac:dyDescent="0.25">
      <c r="C77" s="2" t="s">
        <v>5347</v>
      </c>
      <c r="D77" s="2" t="s">
        <v>204</v>
      </c>
      <c r="E77" s="2">
        <v>163</v>
      </c>
      <c r="F77" s="2">
        <v>3182.959</v>
      </c>
    </row>
    <row r="78" spans="3:6" x14ac:dyDescent="0.25">
      <c r="C78" s="2" t="s">
        <v>5348</v>
      </c>
      <c r="D78" s="2" t="s">
        <v>204</v>
      </c>
      <c r="E78" s="2">
        <v>163</v>
      </c>
      <c r="F78" s="2">
        <v>3088.799</v>
      </c>
    </row>
    <row r="79" spans="3:6" x14ac:dyDescent="0.25">
      <c r="C79" s="2" t="s">
        <v>5349</v>
      </c>
      <c r="D79" s="2" t="s">
        <v>204</v>
      </c>
      <c r="E79" s="2">
        <v>163</v>
      </c>
      <c r="F79" s="2">
        <v>3175.499</v>
      </c>
    </row>
    <row r="80" spans="3:6" x14ac:dyDescent="0.25">
      <c r="C80" s="2" t="s">
        <v>5350</v>
      </c>
      <c r="D80" s="2" t="s">
        <v>204</v>
      </c>
      <c r="E80" s="2">
        <v>163</v>
      </c>
      <c r="F80" s="2">
        <v>3061.75</v>
      </c>
    </row>
    <row r="81" spans="3:6" x14ac:dyDescent="0.25">
      <c r="C81" s="2" t="s">
        <v>5351</v>
      </c>
      <c r="D81" s="2" t="s">
        <v>204</v>
      </c>
      <c r="E81" s="2">
        <v>163</v>
      </c>
      <c r="F81" s="2">
        <v>3112.329</v>
      </c>
    </row>
    <row r="82" spans="3:6" x14ac:dyDescent="0.25">
      <c r="C82" s="2" t="s">
        <v>5352</v>
      </c>
      <c r="D82" s="2" t="s">
        <v>216</v>
      </c>
      <c r="E82" s="2">
        <v>134</v>
      </c>
      <c r="F82" s="2">
        <v>2606.938</v>
      </c>
    </row>
    <row r="83" spans="3:6" x14ac:dyDescent="0.25">
      <c r="C83" s="2" t="s">
        <v>5353</v>
      </c>
      <c r="D83" s="2" t="s">
        <v>216</v>
      </c>
      <c r="E83" s="2">
        <v>134</v>
      </c>
      <c r="F83" s="2">
        <v>2717.379</v>
      </c>
    </row>
    <row r="84" spans="3:6" x14ac:dyDescent="0.25">
      <c r="C84" s="2" t="s">
        <v>5354</v>
      </c>
      <c r="D84" s="2" t="s">
        <v>216</v>
      </c>
      <c r="E84" s="2">
        <v>134</v>
      </c>
      <c r="F84" s="2">
        <v>2690.26</v>
      </c>
    </row>
    <row r="85" spans="3:6" x14ac:dyDescent="0.25">
      <c r="C85" s="2" t="s">
        <v>5355</v>
      </c>
      <c r="D85" s="2" t="s">
        <v>216</v>
      </c>
      <c r="E85" s="2">
        <v>134</v>
      </c>
      <c r="F85" s="2">
        <v>2682.19</v>
      </c>
    </row>
    <row r="86" spans="3:6" x14ac:dyDescent="0.25">
      <c r="C86" s="2" t="s">
        <v>5356</v>
      </c>
      <c r="D86" s="2" t="s">
        <v>216</v>
      </c>
      <c r="E86" s="2">
        <v>134</v>
      </c>
      <c r="F86" s="2">
        <v>2669</v>
      </c>
    </row>
    <row r="87" spans="3:6" x14ac:dyDescent="0.25">
      <c r="C87" s="2" t="s">
        <v>5357</v>
      </c>
      <c r="D87" s="2" t="s">
        <v>216</v>
      </c>
      <c r="E87" s="2">
        <v>134</v>
      </c>
      <c r="F87" s="2">
        <v>2615</v>
      </c>
    </row>
    <row r="88" spans="3:6" x14ac:dyDescent="0.25">
      <c r="C88" s="2" t="s">
        <v>5358</v>
      </c>
      <c r="D88" s="2" t="s">
        <v>204</v>
      </c>
      <c r="E88" s="2">
        <v>29</v>
      </c>
      <c r="F88" s="2">
        <v>527.55</v>
      </c>
    </row>
    <row r="90" spans="2:6" x14ac:dyDescent="0.25">
      <c r="B90" s="2" t="s">
        <v>2077</v>
      </c>
      <c r="C90" s="2" t="s">
        <v>5359</v>
      </c>
      <c r="D90" s="2" t="s">
        <v>216</v>
      </c>
      <c r="E90" s="2">
        <v>156</v>
      </c>
      <c r="F90" s="2">
        <v>2839</v>
      </c>
    </row>
    <row r="91" spans="3:6" x14ac:dyDescent="0.25">
      <c r="C91" s="2" t="s">
        <v>5360</v>
      </c>
      <c r="D91" s="2" t="s">
        <v>216</v>
      </c>
      <c r="E91" s="2">
        <v>158</v>
      </c>
      <c r="F91" s="2">
        <v>2834</v>
      </c>
    </row>
    <row r="92" spans="3:6" x14ac:dyDescent="0.25">
      <c r="C92" s="2" t="s">
        <v>5361</v>
      </c>
      <c r="D92" s="2" t="s">
        <v>297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335</v>
      </c>
      <c r="C94" s="2" t="s">
        <v>5362</v>
      </c>
      <c r="D94" s="2" t="s">
        <v>20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172</v>
      </c>
      <c r="C96" s="2" t="s">
        <v>5363</v>
      </c>
      <c r="D96" s="2" t="s">
        <v>122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5364</v>
      </c>
      <c r="D97" s="2" t="s">
        <v>122</v>
      </c>
      <c r="E97" s="2">
        <v>97</v>
      </c>
      <c r="F97" s="2">
        <v>1877.959</v>
      </c>
    </row>
    <row r="98" spans="3:6" x14ac:dyDescent="0.25">
      <c r="C98" s="2" t="s">
        <v>5365</v>
      </c>
      <c r="D98" s="2" t="s">
        <v>122</v>
      </c>
      <c r="E98" s="2">
        <v>141</v>
      </c>
      <c r="F98" s="2">
        <v>2722.4</v>
      </c>
    </row>
    <row r="99" spans="3:6" x14ac:dyDescent="0.25">
      <c r="C99" s="2" t="s">
        <v>5366</v>
      </c>
      <c r="D99" s="2" t="s">
        <v>122</v>
      </c>
      <c r="E99" s="2">
        <v>3</v>
      </c>
      <c r="F99" s="2">
        <v>32.86</v>
      </c>
    </row>
    <row r="100" spans="3:6" x14ac:dyDescent="0.25">
      <c r="C100" s="2" t="s">
        <v>5367</v>
      </c>
      <c r="D100" s="2" t="s">
        <v>122</v>
      </c>
      <c r="E100" s="2">
        <v>23</v>
      </c>
      <c r="F100" s="2">
        <v>435.529</v>
      </c>
    </row>
    <row r="101" spans="3:6" x14ac:dyDescent="0.25">
      <c r="C101" s="2" t="s">
        <v>5368</v>
      </c>
      <c r="D101" s="2" t="s">
        <v>122</v>
      </c>
      <c r="E101" s="2">
        <v>18</v>
      </c>
      <c r="F101" s="2">
        <v>345.3</v>
      </c>
    </row>
    <row r="102" spans="3:6" x14ac:dyDescent="0.25">
      <c r="C102" s="2" t="s">
        <v>5369</v>
      </c>
      <c r="D102" s="2" t="s">
        <v>122</v>
      </c>
      <c r="E102" s="2">
        <v>16</v>
      </c>
      <c r="F102" s="2">
        <v>282.98</v>
      </c>
    </row>
    <row r="103" spans="3:6" x14ac:dyDescent="0.25">
      <c r="C103" s="2" t="s">
        <v>5370</v>
      </c>
      <c r="D103" s="2" t="s">
        <v>122</v>
      </c>
      <c r="E103" s="2">
        <v>42</v>
      </c>
      <c r="F103" s="2">
        <v>817.56</v>
      </c>
    </row>
    <row r="104" spans="3:6" x14ac:dyDescent="0.25">
      <c r="C104" s="2" t="s">
        <v>5371</v>
      </c>
      <c r="D104" s="2" t="s">
        <v>122</v>
      </c>
      <c r="E104" s="2">
        <v>141</v>
      </c>
      <c r="F104" s="2">
        <v>2663.07</v>
      </c>
    </row>
    <row r="105" spans="3:6" x14ac:dyDescent="0.25">
      <c r="C105" s="2" t="s">
        <v>5372</v>
      </c>
      <c r="D105" s="2" t="s">
        <v>122</v>
      </c>
      <c r="E105" s="2">
        <v>141</v>
      </c>
      <c r="F105" s="2">
        <v>2739.88</v>
      </c>
    </row>
    <row r="106" spans="3:6" x14ac:dyDescent="0.25">
      <c r="C106" s="2" t="s">
        <v>5373</v>
      </c>
      <c r="D106" s="2" t="s">
        <v>122</v>
      </c>
      <c r="E106" s="2">
        <v>141</v>
      </c>
      <c r="F106" s="2">
        <v>2711.639</v>
      </c>
    </row>
    <row r="107" spans="3:6" x14ac:dyDescent="0.25">
      <c r="C107" s="2" t="s">
        <v>5374</v>
      </c>
      <c r="D107" s="2" t="s">
        <v>122</v>
      </c>
      <c r="E107" s="2">
        <v>103</v>
      </c>
      <c r="F107" s="2">
        <v>1962.168</v>
      </c>
    </row>
    <row r="108" spans="3:6" x14ac:dyDescent="0.25">
      <c r="C108" s="2" t="s">
        <v>5375</v>
      </c>
      <c r="D108" s="2" t="s">
        <v>122</v>
      </c>
      <c r="E108" s="2">
        <v>39</v>
      </c>
      <c r="F108" s="2">
        <v>748.339</v>
      </c>
    </row>
    <row r="109" spans="3:6" x14ac:dyDescent="0.25">
      <c r="C109" s="2" t="s">
        <v>5376</v>
      </c>
      <c r="D109" s="2" t="s">
        <v>122</v>
      </c>
      <c r="E109" s="2">
        <v>31</v>
      </c>
      <c r="F109" s="2">
        <v>600.08</v>
      </c>
    </row>
    <row r="110" spans="3:6" x14ac:dyDescent="0.25">
      <c r="C110" s="2" t="s">
        <v>5377</v>
      </c>
      <c r="D110" s="2" t="s">
        <v>122</v>
      </c>
      <c r="E110" s="2">
        <v>51</v>
      </c>
      <c r="F110" s="2">
        <v>980.23</v>
      </c>
    </row>
    <row r="111" spans="3:6" x14ac:dyDescent="0.25">
      <c r="C111" s="2" t="s">
        <v>5378</v>
      </c>
      <c r="D111" s="2" t="s">
        <v>122</v>
      </c>
      <c r="E111" s="2">
        <v>102</v>
      </c>
      <c r="F111" s="2">
        <v>2080.42</v>
      </c>
    </row>
    <row r="112" spans="3:6" x14ac:dyDescent="0.25">
      <c r="C112" s="2" t="s">
        <v>5379</v>
      </c>
      <c r="D112" s="2" t="s">
        <v>122</v>
      </c>
      <c r="E112" s="2">
        <v>141</v>
      </c>
      <c r="F112" s="2">
        <v>2683.39</v>
      </c>
    </row>
    <row r="113" spans="3:6" x14ac:dyDescent="0.25">
      <c r="C113" s="2" t="s">
        <v>5380</v>
      </c>
      <c r="D113" s="2" t="s">
        <v>122</v>
      </c>
      <c r="E113" s="2">
        <v>23</v>
      </c>
      <c r="F113" s="2">
        <v>452.959</v>
      </c>
    </row>
    <row r="114" spans="3:6" x14ac:dyDescent="0.25">
      <c r="C114" s="2" t="s">
        <v>5381</v>
      </c>
      <c r="D114" s="2" t="s">
        <v>122</v>
      </c>
      <c r="E114" s="2">
        <v>98</v>
      </c>
      <c r="F114" s="2">
        <v>1881.43</v>
      </c>
    </row>
    <row r="115" spans="3:6" x14ac:dyDescent="0.25">
      <c r="C115" s="2" t="s">
        <v>5382</v>
      </c>
      <c r="D115" s="2" t="s">
        <v>122</v>
      </c>
      <c r="E115" s="2">
        <v>76</v>
      </c>
      <c r="F115" s="2">
        <v>1488.39</v>
      </c>
    </row>
    <row r="116" spans="3:6" x14ac:dyDescent="0.25">
      <c r="C116" s="2" t="s">
        <v>5383</v>
      </c>
      <c r="D116" s="2" t="s">
        <v>122</v>
      </c>
      <c r="E116" s="2">
        <v>14</v>
      </c>
      <c r="F116" s="2">
        <v>273.089</v>
      </c>
    </row>
    <row r="117" spans="3:6" x14ac:dyDescent="0.25">
      <c r="C117" s="2" t="s">
        <v>5384</v>
      </c>
      <c r="D117" s="2" t="s">
        <v>122</v>
      </c>
      <c r="E117" s="2">
        <v>31</v>
      </c>
      <c r="F117" s="2">
        <v>584.67</v>
      </c>
    </row>
    <row r="118" spans="3:6" x14ac:dyDescent="0.25">
      <c r="C118" s="2" t="s">
        <v>5385</v>
      </c>
      <c r="D118" s="2" t="s">
        <v>122</v>
      </c>
      <c r="E118" s="2">
        <v>69</v>
      </c>
      <c r="F118" s="2">
        <v>1223.49</v>
      </c>
    </row>
    <row r="119" spans="3:6" x14ac:dyDescent="0.25">
      <c r="C119" s="2" t="s">
        <v>5386</v>
      </c>
      <c r="D119" s="2" t="s">
        <v>122</v>
      </c>
      <c r="E119" s="2">
        <v>16</v>
      </c>
      <c r="F119" s="2">
        <v>313.25</v>
      </c>
    </row>
    <row r="120" spans="3:6" x14ac:dyDescent="0.25">
      <c r="C120" s="2" t="s">
        <v>5387</v>
      </c>
      <c r="D120" s="2" t="s">
        <v>122</v>
      </c>
      <c r="E120" s="2">
        <v>1</v>
      </c>
      <c r="F120" s="2">
        <v>8.4</v>
      </c>
    </row>
    <row r="121" spans="3:6" x14ac:dyDescent="0.25">
      <c r="C121" s="2" t="s">
        <v>5388</v>
      </c>
      <c r="D121" s="2" t="s">
        <v>122</v>
      </c>
      <c r="E121" s="2">
        <v>28</v>
      </c>
      <c r="F121" s="2">
        <v>544.76</v>
      </c>
    </row>
    <row r="122" spans="3:6" x14ac:dyDescent="0.25">
      <c r="C122" s="2" t="s">
        <v>5389</v>
      </c>
      <c r="D122" s="2" t="s">
        <v>122</v>
      </c>
      <c r="E122" s="2">
        <v>8</v>
      </c>
      <c r="F122" s="2">
        <v>158.39</v>
      </c>
    </row>
    <row r="123" spans="3:6" x14ac:dyDescent="0.25">
      <c r="C123" s="2" t="s">
        <v>5390</v>
      </c>
      <c r="D123" s="2" t="s">
        <v>122</v>
      </c>
      <c r="E123" s="2">
        <v>7</v>
      </c>
      <c r="F123" s="2">
        <v>126.45</v>
      </c>
    </row>
    <row r="124" spans="3:6" x14ac:dyDescent="0.25">
      <c r="C124" s="2" t="s">
        <v>5391</v>
      </c>
      <c r="D124" s="2" t="s">
        <v>122</v>
      </c>
      <c r="E124" s="2">
        <v>68</v>
      </c>
      <c r="F124" s="2">
        <v>1322</v>
      </c>
    </row>
    <row r="125" spans="3:6" x14ac:dyDescent="0.25">
      <c r="C125" s="2" t="s">
        <v>5392</v>
      </c>
      <c r="D125" s="2" t="s">
        <v>122</v>
      </c>
      <c r="E125" s="2">
        <v>10</v>
      </c>
      <c r="F125" s="2">
        <v>195.27</v>
      </c>
    </row>
    <row r="126" spans="3:6" x14ac:dyDescent="0.25">
      <c r="C126" s="2" t="s">
        <v>5393</v>
      </c>
      <c r="D126" s="2" t="s">
        <v>122</v>
      </c>
      <c r="E126" s="2">
        <v>20</v>
      </c>
      <c r="F126" s="2">
        <v>344.93</v>
      </c>
    </row>
    <row r="127" spans="3:6" x14ac:dyDescent="0.25">
      <c r="C127" s="2" t="s">
        <v>5394</v>
      </c>
      <c r="D127" s="2" t="s">
        <v>122</v>
      </c>
      <c r="E127" s="2">
        <v>32</v>
      </c>
      <c r="F127" s="2">
        <v>558.72</v>
      </c>
    </row>
    <row r="128" spans="3:6" x14ac:dyDescent="0.25">
      <c r="C128" s="2" t="s">
        <v>5395</v>
      </c>
      <c r="D128" s="2" t="s">
        <v>122</v>
      </c>
      <c r="E128" s="2">
        <v>40</v>
      </c>
      <c r="F128" s="2">
        <v>689.41</v>
      </c>
    </row>
    <row r="129" spans="3:6" x14ac:dyDescent="0.25">
      <c r="C129" s="2" t="s">
        <v>5396</v>
      </c>
      <c r="D129" s="2" t="s">
        <v>122</v>
      </c>
      <c r="E129" s="2">
        <v>33</v>
      </c>
      <c r="F129" s="2">
        <v>141.07</v>
      </c>
    </row>
    <row r="130" spans="3:6" x14ac:dyDescent="0.25">
      <c r="C130" s="2" t="s">
        <v>5397</v>
      </c>
      <c r="D130" s="2" t="s">
        <v>122</v>
      </c>
      <c r="E130" s="2">
        <v>84</v>
      </c>
      <c r="F130" s="2">
        <v>1637.6</v>
      </c>
    </row>
    <row r="131" spans="3:6" x14ac:dyDescent="0.25">
      <c r="C131" s="2" t="s">
        <v>5398</v>
      </c>
      <c r="D131" s="2" t="s">
        <v>122</v>
      </c>
      <c r="E131" s="2">
        <v>18</v>
      </c>
      <c r="F131" s="2">
        <v>331.72</v>
      </c>
    </row>
    <row r="132" spans="3:6" x14ac:dyDescent="0.25">
      <c r="C132" s="2" t="s">
        <v>5399</v>
      </c>
      <c r="D132" s="2" t="s">
        <v>122</v>
      </c>
      <c r="E132" s="2">
        <v>141</v>
      </c>
      <c r="F132" s="2">
        <v>2631.999</v>
      </c>
    </row>
    <row r="133" spans="3:6" x14ac:dyDescent="0.25">
      <c r="C133" s="2" t="s">
        <v>5400</v>
      </c>
      <c r="D133" s="2" t="s">
        <v>122</v>
      </c>
      <c r="E133" s="2">
        <v>141</v>
      </c>
      <c r="F133" s="2">
        <v>2824.8</v>
      </c>
    </row>
    <row r="134" spans="3:6" x14ac:dyDescent="0.25">
      <c r="C134" s="2" t="s">
        <v>5401</v>
      </c>
      <c r="D134" s="2" t="s">
        <v>122</v>
      </c>
      <c r="E134" s="2">
        <v>141</v>
      </c>
      <c r="F134" s="2">
        <v>2768.74</v>
      </c>
    </row>
    <row r="135" spans="3:6" x14ac:dyDescent="0.25">
      <c r="C135" s="2" t="s">
        <v>5402</v>
      </c>
      <c r="D135" s="2" t="s">
        <v>122</v>
      </c>
      <c r="E135" s="2">
        <v>48</v>
      </c>
      <c r="F135" s="2">
        <v>910.02</v>
      </c>
    </row>
    <row r="136" spans="3:6" x14ac:dyDescent="0.25">
      <c r="C136" s="2" t="s">
        <v>5403</v>
      </c>
      <c r="D136" s="2" t="s">
        <v>122</v>
      </c>
      <c r="E136" s="2">
        <v>93</v>
      </c>
      <c r="F136" s="2">
        <v>1783.12</v>
      </c>
    </row>
    <row r="137" spans="3:6" x14ac:dyDescent="0.25">
      <c r="C137" s="2" t="s">
        <v>5404</v>
      </c>
      <c r="D137" s="2" t="s">
        <v>122</v>
      </c>
      <c r="E137" s="2">
        <v>46</v>
      </c>
      <c r="F137" s="2">
        <v>850.71</v>
      </c>
    </row>
    <row r="138" spans="3:6" x14ac:dyDescent="0.25">
      <c r="C138" s="2" t="s">
        <v>5405</v>
      </c>
      <c r="D138" s="2" t="s">
        <v>122</v>
      </c>
      <c r="E138" s="2">
        <v>30</v>
      </c>
      <c r="F138" s="2">
        <v>590.72</v>
      </c>
    </row>
    <row r="139" spans="3:6" x14ac:dyDescent="0.25">
      <c r="C139" s="2" t="s">
        <v>5406</v>
      </c>
      <c r="D139" s="2" t="s">
        <v>122</v>
      </c>
      <c r="E139" s="2">
        <v>65</v>
      </c>
      <c r="F139" s="2">
        <v>1289.62</v>
      </c>
    </row>
    <row r="140" spans="3:6" x14ac:dyDescent="0.25">
      <c r="C140" s="2" t="s">
        <v>5407</v>
      </c>
      <c r="D140" s="2" t="s">
        <v>122</v>
      </c>
      <c r="E140" s="2">
        <v>131</v>
      </c>
      <c r="F140" s="2">
        <v>2497.188</v>
      </c>
    </row>
    <row r="141" spans="3:6" x14ac:dyDescent="0.25">
      <c r="C141" s="2" t="s">
        <v>5408</v>
      </c>
      <c r="D141" s="2" t="s">
        <v>122</v>
      </c>
      <c r="E141" s="2">
        <v>10</v>
      </c>
      <c r="F141" s="2">
        <v>178.72</v>
      </c>
    </row>
    <row r="142" spans="3:6" x14ac:dyDescent="0.25">
      <c r="C142" s="2" t="s">
        <v>5409</v>
      </c>
      <c r="D142" s="2" t="s">
        <v>122</v>
      </c>
      <c r="E142" s="2">
        <v>22</v>
      </c>
      <c r="F142" s="2">
        <v>431.97</v>
      </c>
    </row>
    <row r="143" spans="3:6" x14ac:dyDescent="0.25">
      <c r="C143" s="2" t="s">
        <v>5410</v>
      </c>
      <c r="D143" s="2" t="s">
        <v>122</v>
      </c>
      <c r="E143" s="2">
        <v>9</v>
      </c>
      <c r="F143" s="2">
        <v>155.84</v>
      </c>
    </row>
    <row r="144" spans="3:6" x14ac:dyDescent="0.25">
      <c r="C144" s="2" t="s">
        <v>5411</v>
      </c>
      <c r="D144" s="2" t="s">
        <v>122</v>
      </c>
      <c r="E144" s="2">
        <v>51</v>
      </c>
      <c r="F144" s="2">
        <v>1039.63</v>
      </c>
    </row>
    <row r="145" spans="3:6" x14ac:dyDescent="0.25">
      <c r="C145" s="2" t="s">
        <v>5412</v>
      </c>
      <c r="D145" s="2" t="s">
        <v>122</v>
      </c>
      <c r="E145" s="2">
        <v>40</v>
      </c>
      <c r="F145" s="2">
        <v>804.96</v>
      </c>
    </row>
    <row r="146" spans="3:6" x14ac:dyDescent="0.25">
      <c r="C146" s="2" t="s">
        <v>5413</v>
      </c>
      <c r="D146" s="2" t="s">
        <v>122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1101</v>
      </c>
      <c r="C148" s="2" t="s">
        <v>5414</v>
      </c>
      <c r="D148" s="2" t="s">
        <v>20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5415</v>
      </c>
      <c r="D149" s="2" t="s">
        <v>20</v>
      </c>
      <c r="E149" s="2">
        <v>326</v>
      </c>
      <c r="F149" s="2">
        <v>6216.899</v>
      </c>
    </row>
    <row r="150" spans="3:6" x14ac:dyDescent="0.25">
      <c r="C150" s="2" t="s">
        <v>5416</v>
      </c>
      <c r="D150" s="2" t="s">
        <v>20</v>
      </c>
      <c r="E150" s="2">
        <v>163</v>
      </c>
      <c r="F150" s="2">
        <v>3065.828</v>
      </c>
    </row>
    <row r="151" spans="3:6" x14ac:dyDescent="0.25">
      <c r="C151" s="2" t="s">
        <v>5417</v>
      </c>
      <c r="D151" s="2" t="s">
        <v>20</v>
      </c>
      <c r="E151" s="2">
        <v>210</v>
      </c>
      <c r="F151" s="2">
        <v>4078.608</v>
      </c>
    </row>
    <row r="152" spans="3:6" x14ac:dyDescent="0.25">
      <c r="C152" s="2" t="s">
        <v>5418</v>
      </c>
      <c r="D152" s="2" t="s">
        <v>20</v>
      </c>
      <c r="E152" s="2">
        <v>163</v>
      </c>
      <c r="F152" s="2">
        <v>3092.56</v>
      </c>
    </row>
    <row r="153" spans="3:6" x14ac:dyDescent="0.25">
      <c r="C153" s="2" t="s">
        <v>5419</v>
      </c>
      <c r="D153" s="2" t="s">
        <v>20</v>
      </c>
      <c r="E153" s="2">
        <v>25</v>
      </c>
      <c r="F153" s="2">
        <v>594.16</v>
      </c>
    </row>
    <row r="154" spans="3:6" x14ac:dyDescent="0.25">
      <c r="C154" s="2" t="s">
        <v>5420</v>
      </c>
      <c r="D154" s="2" t="s">
        <v>20</v>
      </c>
      <c r="E154" s="2">
        <v>195</v>
      </c>
      <c r="F154" s="2">
        <v>3923.95</v>
      </c>
    </row>
    <row r="155" spans="3:6" x14ac:dyDescent="0.25">
      <c r="C155" s="2" t="s">
        <v>5421</v>
      </c>
      <c r="D155" s="2" t="s">
        <v>20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5422</v>
      </c>
      <c r="C157" s="2" t="s">
        <v>5423</v>
      </c>
      <c r="D157" s="2" t="s">
        <v>20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5424</v>
      </c>
      <c r="D158" s="2" t="s">
        <v>20</v>
      </c>
      <c r="E158" s="2">
        <v>60</v>
      </c>
      <c r="F158" s="2">
        <v>1070.017</v>
      </c>
    </row>
    <row r="159" spans="3:6" x14ac:dyDescent="0.25">
      <c r="C159" s="2" t="s">
        <v>5425</v>
      </c>
      <c r="D159" s="2" t="s">
        <v>20</v>
      </c>
      <c r="E159" s="2">
        <v>163</v>
      </c>
      <c r="F159" s="2">
        <v>3122.08</v>
      </c>
    </row>
    <row r="160" spans="3:6" x14ac:dyDescent="0.25">
      <c r="C160" s="2" t="s">
        <v>5426</v>
      </c>
      <c r="D160" s="2" t="s">
        <v>20</v>
      </c>
      <c r="E160" s="2">
        <v>52</v>
      </c>
      <c r="F160" s="2">
        <v>979.37</v>
      </c>
    </row>
    <row r="161" spans="3:6" x14ac:dyDescent="0.25">
      <c r="C161" s="2" t="s">
        <v>5427</v>
      </c>
      <c r="D161" s="2" t="s">
        <v>20</v>
      </c>
      <c r="E161" s="2">
        <v>326</v>
      </c>
      <c r="F161" s="2">
        <v>6131.868</v>
      </c>
    </row>
    <row r="162" spans="3:6" x14ac:dyDescent="0.25">
      <c r="C162" s="2" t="s">
        <v>5428</v>
      </c>
      <c r="D162" s="2" t="s">
        <v>20</v>
      </c>
      <c r="E162" s="2">
        <v>105</v>
      </c>
      <c r="F162" s="2">
        <v>2051.359</v>
      </c>
    </row>
    <row r="163" spans="3:6" x14ac:dyDescent="0.25">
      <c r="C163" s="2" t="s">
        <v>5429</v>
      </c>
      <c r="D163" s="2" t="s">
        <v>20</v>
      </c>
      <c r="E163" s="2">
        <v>163</v>
      </c>
      <c r="F163" s="2">
        <v>3240.24</v>
      </c>
    </row>
    <row r="164" spans="3:6" x14ac:dyDescent="0.25">
      <c r="C164" s="2" t="s">
        <v>5430</v>
      </c>
      <c r="D164" s="2" t="s">
        <v>20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2097</v>
      </c>
      <c r="C166" s="2" t="s">
        <v>5431</v>
      </c>
      <c r="D166" s="2" t="s">
        <v>27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5432</v>
      </c>
      <c r="D167" s="2" t="s">
        <v>27</v>
      </c>
      <c r="E167" s="2">
        <v>41</v>
      </c>
      <c r="F167" s="2">
        <v>816.61</v>
      </c>
    </row>
    <row r="168" spans="3:6" x14ac:dyDescent="0.25">
      <c r="C168" s="2" t="s">
        <v>5433</v>
      </c>
      <c r="D168" s="2" t="s">
        <v>27</v>
      </c>
      <c r="E168" s="2">
        <v>34</v>
      </c>
      <c r="F168" s="2">
        <v>585.36</v>
      </c>
    </row>
    <row r="169" spans="3:6" x14ac:dyDescent="0.25">
      <c r="C169" s="2" t="s">
        <v>5434</v>
      </c>
      <c r="D169" s="2" t="s">
        <v>27</v>
      </c>
      <c r="E169" s="2">
        <v>16</v>
      </c>
      <c r="F169" s="2">
        <v>287.19</v>
      </c>
    </row>
    <row r="170" spans="3:6" x14ac:dyDescent="0.25">
      <c r="C170" s="2" t="s">
        <v>5435</v>
      </c>
      <c r="D170" s="2" t="s">
        <v>27</v>
      </c>
      <c r="E170" s="2">
        <v>16</v>
      </c>
      <c r="F170" s="2">
        <v>292.14</v>
      </c>
    </row>
    <row r="171" spans="3:6" x14ac:dyDescent="0.25">
      <c r="C171" s="2" t="s">
        <v>5436</v>
      </c>
      <c r="D171" s="2" t="s">
        <v>27</v>
      </c>
      <c r="E171" s="2">
        <v>23</v>
      </c>
      <c r="F171" s="2">
        <v>406.02</v>
      </c>
    </row>
    <row r="172" spans="3:6" x14ac:dyDescent="0.25">
      <c r="C172" s="2" t="s">
        <v>5437</v>
      </c>
      <c r="D172" s="2" t="s">
        <v>27</v>
      </c>
      <c r="E172" s="2">
        <v>47</v>
      </c>
      <c r="F172" s="2">
        <v>933.97</v>
      </c>
    </row>
    <row r="173" spans="3:6" x14ac:dyDescent="0.25">
      <c r="C173" s="2" t="s">
        <v>5438</v>
      </c>
      <c r="D173" s="2" t="s">
        <v>27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120</v>
      </c>
      <c r="C175" s="2" t="s">
        <v>5439</v>
      </c>
      <c r="D175" s="2" t="s">
        <v>122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5440</v>
      </c>
      <c r="D176" s="2" t="s">
        <v>122</v>
      </c>
      <c r="E176" s="2">
        <v>41</v>
      </c>
      <c r="F176" s="2">
        <v>804.69</v>
      </c>
    </row>
    <row r="177" spans="3:6" x14ac:dyDescent="0.25">
      <c r="C177" s="2" t="s">
        <v>5441</v>
      </c>
      <c r="D177" s="2" t="s">
        <v>122</v>
      </c>
      <c r="E177" s="2">
        <v>80</v>
      </c>
      <c r="F177" s="2">
        <v>1562.95</v>
      </c>
    </row>
    <row r="178" spans="3:6" x14ac:dyDescent="0.25">
      <c r="C178" s="2" t="s">
        <v>5442</v>
      </c>
      <c r="D178" s="2" t="s">
        <v>122</v>
      </c>
      <c r="E178" s="2">
        <v>41</v>
      </c>
      <c r="F178" s="2">
        <v>834.55</v>
      </c>
    </row>
    <row r="179" spans="3:6" x14ac:dyDescent="0.25">
      <c r="C179" s="2" t="s">
        <v>5443</v>
      </c>
      <c r="D179" s="2" t="s">
        <v>122</v>
      </c>
      <c r="E179" s="2">
        <v>60</v>
      </c>
      <c r="F179" s="2">
        <v>1183.61</v>
      </c>
    </row>
    <row r="180" spans="3:6" x14ac:dyDescent="0.25">
      <c r="C180" s="2" t="s">
        <v>5444</v>
      </c>
      <c r="D180" s="2" t="s">
        <v>122</v>
      </c>
      <c r="E180" s="2">
        <v>40</v>
      </c>
      <c r="F180" s="2">
        <v>785.74</v>
      </c>
    </row>
    <row r="181" spans="3:6" x14ac:dyDescent="0.25">
      <c r="C181" s="2" t="s">
        <v>5445</v>
      </c>
      <c r="D181" s="2" t="s">
        <v>122</v>
      </c>
      <c r="E181" s="2">
        <v>21</v>
      </c>
      <c r="F181" s="2">
        <v>391.158</v>
      </c>
    </row>
    <row r="182" spans="3:6" x14ac:dyDescent="0.25">
      <c r="C182" s="2" t="s">
        <v>5446</v>
      </c>
      <c r="D182" s="2" t="s">
        <v>122</v>
      </c>
      <c r="E182" s="2">
        <v>40</v>
      </c>
      <c r="F182" s="2">
        <v>768.149</v>
      </c>
    </row>
    <row r="183" spans="3:6" x14ac:dyDescent="0.25">
      <c r="C183" s="2" t="s">
        <v>5447</v>
      </c>
      <c r="D183" s="2" t="s">
        <v>122</v>
      </c>
      <c r="E183" s="2">
        <v>18</v>
      </c>
      <c r="F183" s="2">
        <v>378.18</v>
      </c>
    </row>
    <row r="184" spans="3:6" x14ac:dyDescent="0.25">
      <c r="C184" s="2" t="s">
        <v>5448</v>
      </c>
      <c r="D184" s="2" t="s">
        <v>122</v>
      </c>
      <c r="E184" s="2">
        <v>63</v>
      </c>
      <c r="F184" s="2">
        <v>964.95</v>
      </c>
    </row>
    <row r="185" spans="3:6" x14ac:dyDescent="0.25">
      <c r="C185" s="2" t="s">
        <v>5449</v>
      </c>
      <c r="D185" s="2" t="s">
        <v>122</v>
      </c>
      <c r="E185" s="2">
        <v>50</v>
      </c>
      <c r="F185" s="2">
        <v>445.242</v>
      </c>
    </row>
    <row r="186" spans="3:6" x14ac:dyDescent="0.25">
      <c r="C186" s="2" t="s">
        <v>5450</v>
      </c>
      <c r="D186" s="2" t="s">
        <v>122</v>
      </c>
      <c r="E186" s="2">
        <v>91</v>
      </c>
      <c r="F186" s="2">
        <v>1732.42</v>
      </c>
    </row>
    <row r="187" spans="3:6" x14ac:dyDescent="0.25">
      <c r="C187" s="2" t="s">
        <v>5451</v>
      </c>
      <c r="D187" s="2" t="s">
        <v>122</v>
      </c>
      <c r="E187" s="2">
        <v>91</v>
      </c>
      <c r="F187" s="2">
        <v>1704.789</v>
      </c>
    </row>
    <row r="188" spans="3:6" x14ac:dyDescent="0.25">
      <c r="C188" s="2" t="s">
        <v>5452</v>
      </c>
      <c r="D188" s="2" t="s">
        <v>122</v>
      </c>
      <c r="E188" s="2">
        <v>50</v>
      </c>
      <c r="F188" s="2">
        <v>1010.7</v>
      </c>
    </row>
    <row r="189" spans="3:6" x14ac:dyDescent="0.25">
      <c r="C189" s="2" t="s">
        <v>5453</v>
      </c>
      <c r="D189" s="2" t="s">
        <v>122</v>
      </c>
      <c r="E189" s="2">
        <v>14</v>
      </c>
      <c r="F189" s="2">
        <v>253.65</v>
      </c>
    </row>
    <row r="190" spans="3:6" x14ac:dyDescent="0.25">
      <c r="C190" s="2" t="s">
        <v>5454</v>
      </c>
      <c r="D190" s="2" t="s">
        <v>122</v>
      </c>
      <c r="E190" s="2">
        <v>10</v>
      </c>
      <c r="F190" s="2">
        <v>172.97</v>
      </c>
    </row>
    <row r="191" spans="3:6" x14ac:dyDescent="0.25">
      <c r="C191" s="2" t="s">
        <v>5455</v>
      </c>
      <c r="D191" s="2" t="s">
        <v>122</v>
      </c>
      <c r="E191" s="2">
        <v>117</v>
      </c>
      <c r="F191" s="2">
        <v>2098.859</v>
      </c>
    </row>
    <row r="192" spans="3:6" x14ac:dyDescent="0.25">
      <c r="C192" s="2" t="s">
        <v>5456</v>
      </c>
      <c r="D192" s="2" t="s">
        <v>122</v>
      </c>
      <c r="E192" s="2">
        <v>141</v>
      </c>
      <c r="F192" s="2">
        <v>2794.737</v>
      </c>
    </row>
    <row r="193" spans="3:6" x14ac:dyDescent="0.25">
      <c r="C193" s="2" t="s">
        <v>5457</v>
      </c>
      <c r="D193" s="2" t="s">
        <v>122</v>
      </c>
      <c r="E193" s="2">
        <v>102</v>
      </c>
      <c r="F193" s="2">
        <v>2083.34</v>
      </c>
    </row>
    <row r="194" spans="3:6" x14ac:dyDescent="0.25">
      <c r="C194" s="2" t="s">
        <v>5458</v>
      </c>
      <c r="D194" s="2" t="s">
        <v>122</v>
      </c>
      <c r="E194" s="2">
        <v>39</v>
      </c>
      <c r="F194" s="2">
        <v>763.72</v>
      </c>
    </row>
    <row r="195" spans="3:6" x14ac:dyDescent="0.25">
      <c r="C195" s="2" t="s">
        <v>5459</v>
      </c>
      <c r="D195" s="2" t="s">
        <v>122</v>
      </c>
      <c r="E195" s="2">
        <v>106</v>
      </c>
      <c r="F195" s="2">
        <v>2039.418</v>
      </c>
    </row>
    <row r="196" spans="3:6" x14ac:dyDescent="0.25">
      <c r="C196" s="2" t="s">
        <v>5460</v>
      </c>
      <c r="D196" s="2" t="s">
        <v>122</v>
      </c>
      <c r="E196" s="2">
        <v>35</v>
      </c>
      <c r="F196" s="2">
        <v>698.73</v>
      </c>
    </row>
    <row r="197" spans="3:6" x14ac:dyDescent="0.25">
      <c r="C197" s="2" t="s">
        <v>5461</v>
      </c>
      <c r="D197" s="2" t="s">
        <v>122</v>
      </c>
      <c r="E197" s="2">
        <v>86</v>
      </c>
      <c r="F197" s="2">
        <v>1719.38</v>
      </c>
    </row>
    <row r="198" spans="3:6" x14ac:dyDescent="0.25">
      <c r="C198" s="2" t="s">
        <v>5462</v>
      </c>
      <c r="D198" s="2" t="s">
        <v>122</v>
      </c>
      <c r="E198" s="2">
        <v>55</v>
      </c>
      <c r="F198" s="2">
        <v>1097.51</v>
      </c>
    </row>
    <row r="199" spans="3:6" x14ac:dyDescent="0.25">
      <c r="C199" s="2" t="s">
        <v>5463</v>
      </c>
      <c r="D199" s="2" t="s">
        <v>122</v>
      </c>
      <c r="E199" s="2">
        <v>81</v>
      </c>
      <c r="F199" s="2">
        <v>1631.72</v>
      </c>
    </row>
    <row r="200" spans="3:6" x14ac:dyDescent="0.25">
      <c r="C200" s="2" t="s">
        <v>5464</v>
      </c>
      <c r="D200" s="2" t="s">
        <v>122</v>
      </c>
      <c r="E200" s="2">
        <v>60</v>
      </c>
      <c r="F200" s="2">
        <v>1212.199</v>
      </c>
    </row>
    <row r="201" spans="3:6" x14ac:dyDescent="0.25">
      <c r="C201" s="2" t="s">
        <v>5465</v>
      </c>
      <c r="D201" s="2" t="s">
        <v>122</v>
      </c>
      <c r="E201" s="2">
        <v>100</v>
      </c>
      <c r="F201" s="2">
        <v>2138.81</v>
      </c>
    </row>
    <row r="202" spans="3:6" x14ac:dyDescent="0.25">
      <c r="C202" s="2" t="s">
        <v>5466</v>
      </c>
      <c r="D202" s="2" t="s">
        <v>122</v>
      </c>
      <c r="E202" s="2">
        <v>41</v>
      </c>
      <c r="F202" s="2">
        <v>849.89</v>
      </c>
    </row>
    <row r="203" spans="3:6" x14ac:dyDescent="0.25">
      <c r="C203" s="2" t="s">
        <v>5467</v>
      </c>
      <c r="D203" s="2" t="s">
        <v>122</v>
      </c>
      <c r="E203" s="2">
        <v>64</v>
      </c>
      <c r="F203" s="2">
        <v>1299.71</v>
      </c>
    </row>
    <row r="204" spans="3:6" x14ac:dyDescent="0.25">
      <c r="C204" s="2" t="s">
        <v>5468</v>
      </c>
      <c r="D204" s="2" t="s">
        <v>122</v>
      </c>
      <c r="E204" s="2">
        <v>44</v>
      </c>
      <c r="F204" s="2">
        <v>784.19</v>
      </c>
    </row>
    <row r="205" spans="3:6" x14ac:dyDescent="0.25">
      <c r="C205" s="2" t="s">
        <v>5469</v>
      </c>
      <c r="D205" s="2" t="s">
        <v>122</v>
      </c>
      <c r="E205" s="2">
        <v>33</v>
      </c>
      <c r="F205" s="2">
        <v>621.2</v>
      </c>
    </row>
    <row r="206" spans="3:6" x14ac:dyDescent="0.25">
      <c r="C206" s="2" t="s">
        <v>5470</v>
      </c>
      <c r="D206" s="2" t="s">
        <v>122</v>
      </c>
      <c r="E206" s="2">
        <v>12</v>
      </c>
      <c r="F206" s="2">
        <v>230.34</v>
      </c>
    </row>
    <row r="207" spans="3:6" x14ac:dyDescent="0.25">
      <c r="C207" s="2" t="s">
        <v>5471</v>
      </c>
      <c r="D207" s="2" t="s">
        <v>122</v>
      </c>
      <c r="E207" s="2">
        <v>6</v>
      </c>
      <c r="F207" s="2">
        <v>116.27</v>
      </c>
    </row>
    <row r="208" spans="3:6" x14ac:dyDescent="0.25">
      <c r="C208" s="2" t="s">
        <v>5472</v>
      </c>
      <c r="D208" s="2" t="s">
        <v>122</v>
      </c>
      <c r="E208" s="2">
        <v>30</v>
      </c>
      <c r="F208" s="2">
        <v>524.49</v>
      </c>
    </row>
    <row r="209" spans="3:6" x14ac:dyDescent="0.25">
      <c r="C209" s="2" t="s">
        <v>5473</v>
      </c>
      <c r="D209" s="2" t="s">
        <v>122</v>
      </c>
      <c r="E209" s="2">
        <v>54</v>
      </c>
      <c r="F209" s="2">
        <v>731.067</v>
      </c>
    </row>
    <row r="210" spans="3:6" x14ac:dyDescent="0.25">
      <c r="C210" s="2" t="s">
        <v>5474</v>
      </c>
      <c r="D210" s="2" t="s">
        <v>122</v>
      </c>
      <c r="E210" s="2">
        <v>42</v>
      </c>
      <c r="F210" s="2">
        <v>820.27</v>
      </c>
    </row>
    <row r="211" spans="3:6" x14ac:dyDescent="0.25">
      <c r="C211" s="2" t="s">
        <v>5475</v>
      </c>
      <c r="D211" s="2" t="s">
        <v>122</v>
      </c>
      <c r="E211" s="2">
        <v>60</v>
      </c>
      <c r="F211" s="2">
        <v>1226.91</v>
      </c>
    </row>
    <row r="212" spans="3:6" x14ac:dyDescent="0.25">
      <c r="C212" s="2" t="s">
        <v>5476</v>
      </c>
      <c r="D212" s="2" t="s">
        <v>122</v>
      </c>
      <c r="E212" s="2">
        <v>45</v>
      </c>
      <c r="F212" s="2">
        <v>879.04</v>
      </c>
    </row>
    <row r="213" spans="3:6" x14ac:dyDescent="0.25">
      <c r="C213" s="2" t="s">
        <v>5477</v>
      </c>
      <c r="D213" s="2" t="s">
        <v>122</v>
      </c>
      <c r="E213" s="2">
        <v>57</v>
      </c>
      <c r="F213" s="2">
        <v>1172.17</v>
      </c>
    </row>
    <row r="214" spans="3:6" x14ac:dyDescent="0.25">
      <c r="C214" s="2" t="s">
        <v>5478</v>
      </c>
      <c r="D214" s="2" t="s">
        <v>122</v>
      </c>
      <c r="E214" s="2">
        <v>21</v>
      </c>
      <c r="F214" s="2">
        <v>426.55</v>
      </c>
    </row>
    <row r="215" spans="3:6" x14ac:dyDescent="0.25">
      <c r="C215" s="2" t="s">
        <v>5479</v>
      </c>
      <c r="D215" s="2" t="s">
        <v>122</v>
      </c>
      <c r="E215" s="2">
        <v>9</v>
      </c>
      <c r="F215" s="2">
        <f>65.5+69.5</f>
        <v>135</v>
      </c>
    </row>
    <row r="216" spans="3:6" x14ac:dyDescent="0.25">
      <c r="C216" s="2" t="s">
        <v>5480</v>
      </c>
      <c r="D216" s="2" t="s">
        <v>122</v>
      </c>
      <c r="E216" s="2">
        <v>8</v>
      </c>
      <c r="F216" s="2">
        <f>43.849+60.51</f>
        <v>104.359</v>
      </c>
    </row>
    <row r="217" spans="3:6" x14ac:dyDescent="0.25">
      <c r="C217" s="2" t="s">
        <v>5481</v>
      </c>
      <c r="D217" s="2" t="s">
        <v>122</v>
      </c>
      <c r="E217" s="2">
        <v>5</v>
      </c>
      <c r="F217" s="2">
        <v>94.95</v>
      </c>
    </row>
    <row r="218" spans="3:6" x14ac:dyDescent="0.25">
      <c r="C218" s="2" t="s">
        <v>5482</v>
      </c>
      <c r="D218" s="2" t="s">
        <v>122</v>
      </c>
      <c r="E218" s="2">
        <v>7</v>
      </c>
      <c r="F218" s="2">
        <v>85.65</v>
      </c>
    </row>
    <row r="219" spans="3:6" x14ac:dyDescent="0.25">
      <c r="C219" s="2" t="s">
        <v>5483</v>
      </c>
      <c r="D219" s="2" t="s">
        <v>122</v>
      </c>
      <c r="E219" s="2">
        <v>9</v>
      </c>
      <c r="F219" s="2">
        <v>150.5</v>
      </c>
    </row>
    <row r="220" spans="3:6" x14ac:dyDescent="0.25">
      <c r="C220" s="2" t="s">
        <v>5484</v>
      </c>
      <c r="D220" s="2" t="s">
        <v>122</v>
      </c>
      <c r="E220" s="2">
        <v>11</v>
      </c>
      <c r="F220" s="2">
        <v>162</v>
      </c>
    </row>
    <row r="221" spans="3:6" x14ac:dyDescent="0.25">
      <c r="C221" s="2" t="s">
        <v>5485</v>
      </c>
      <c r="D221" s="2" t="s">
        <v>122</v>
      </c>
      <c r="E221" s="2">
        <v>34</v>
      </c>
      <c r="F221" s="2">
        <v>712.75</v>
      </c>
    </row>
    <row r="222" spans="3:6" x14ac:dyDescent="0.25">
      <c r="C222" s="2" t="s">
        <v>5486</v>
      </c>
      <c r="D222" s="2" t="s">
        <v>122</v>
      </c>
      <c r="E222" s="2">
        <v>75</v>
      </c>
      <c r="F222" s="2">
        <v>1464.35</v>
      </c>
    </row>
    <row r="223" spans="3:6" x14ac:dyDescent="0.25">
      <c r="C223" s="2" t="s">
        <v>5487</v>
      </c>
      <c r="D223" s="2" t="s">
        <v>122</v>
      </c>
      <c r="E223" s="2">
        <v>60</v>
      </c>
      <c r="F223" s="2">
        <v>264.889</v>
      </c>
    </row>
    <row r="224" spans="3:6" x14ac:dyDescent="0.25">
      <c r="C224" s="2" t="s">
        <v>5488</v>
      </c>
      <c r="D224" s="2" t="s">
        <v>122</v>
      </c>
      <c r="E224" s="2">
        <v>36</v>
      </c>
      <c r="F224" s="2">
        <v>151.189</v>
      </c>
    </row>
    <row r="225" spans="3:6" x14ac:dyDescent="0.25">
      <c r="C225" s="2" t="s">
        <v>5489</v>
      </c>
      <c r="D225" s="2" t="s">
        <v>122</v>
      </c>
      <c r="E225" s="2">
        <v>54</v>
      </c>
      <c r="F225" s="2">
        <v>228.07</v>
      </c>
    </row>
    <row r="226" spans="3:6" x14ac:dyDescent="0.25">
      <c r="C226" s="2" t="s">
        <v>5490</v>
      </c>
      <c r="D226" s="2" t="s">
        <v>122</v>
      </c>
      <c r="E226" s="2">
        <v>141</v>
      </c>
      <c r="F226" s="2">
        <v>1274.629</v>
      </c>
    </row>
    <row r="227" spans="3:6" x14ac:dyDescent="0.25">
      <c r="C227" s="2" t="s">
        <v>5491</v>
      </c>
      <c r="D227" s="2" t="s">
        <v>122</v>
      </c>
      <c r="E227" s="2">
        <v>141</v>
      </c>
      <c r="F227" s="2">
        <v>1852.177</v>
      </c>
    </row>
    <row r="228" spans="3:6" x14ac:dyDescent="0.25">
      <c r="C228" s="2" t="s">
        <v>5492</v>
      </c>
      <c r="D228" s="2" t="s">
        <v>122</v>
      </c>
      <c r="E228" s="2">
        <v>141</v>
      </c>
      <c r="F228" s="2">
        <v>1908.898</v>
      </c>
    </row>
    <row r="229" spans="3:6" x14ac:dyDescent="0.25">
      <c r="C229" s="2" t="s">
        <v>5493</v>
      </c>
      <c r="D229" s="2" t="s">
        <v>122</v>
      </c>
      <c r="E229" s="2">
        <v>100</v>
      </c>
      <c r="F229" s="2">
        <v>1708.83</v>
      </c>
    </row>
    <row r="230" spans="3:6" x14ac:dyDescent="0.25">
      <c r="C230" s="2" t="s">
        <v>5494</v>
      </c>
      <c r="D230" s="2" t="s">
        <v>122</v>
      </c>
      <c r="E230" s="2">
        <v>35</v>
      </c>
      <c r="F230" s="2">
        <v>700.75</v>
      </c>
    </row>
    <row r="231" spans="3:6" x14ac:dyDescent="0.25">
      <c r="C231" s="2" t="s">
        <v>5495</v>
      </c>
      <c r="D231" s="2" t="s">
        <v>122</v>
      </c>
      <c r="E231" s="2">
        <v>47</v>
      </c>
      <c r="F231" s="2">
        <v>701.019</v>
      </c>
    </row>
    <row r="232" spans="3:6" x14ac:dyDescent="0.25">
      <c r="C232" s="2" t="s">
        <v>5496</v>
      </c>
      <c r="D232" s="2" t="s">
        <v>122</v>
      </c>
      <c r="E232" s="2">
        <v>20</v>
      </c>
      <c r="F232" s="2">
        <v>390.25</v>
      </c>
    </row>
    <row r="233" spans="3:6" x14ac:dyDescent="0.25">
      <c r="C233" s="2" t="s">
        <v>5497</v>
      </c>
      <c r="D233" s="2" t="s">
        <v>122</v>
      </c>
      <c r="E233" s="2">
        <v>134</v>
      </c>
      <c r="F233" s="2">
        <v>2693.97</v>
      </c>
    </row>
    <row r="234" spans="3:6" x14ac:dyDescent="0.25">
      <c r="C234" s="2" t="s">
        <v>5498</v>
      </c>
      <c r="D234" s="2" t="s">
        <v>122</v>
      </c>
      <c r="E234" s="2">
        <v>78</v>
      </c>
      <c r="F234" s="2">
        <v>1531.86</v>
      </c>
    </row>
    <row r="235" spans="3:6" x14ac:dyDescent="0.25">
      <c r="C235" s="2" t="s">
        <v>5499</v>
      </c>
      <c r="D235" s="2" t="s">
        <v>122</v>
      </c>
      <c r="E235" s="2">
        <v>63</v>
      </c>
      <c r="F235" s="2">
        <v>1025.599</v>
      </c>
    </row>
    <row r="236" spans="3:6" x14ac:dyDescent="0.25">
      <c r="C236" s="2" t="s">
        <v>5500</v>
      </c>
      <c r="D236" s="2" t="s">
        <v>122</v>
      </c>
      <c r="E236" s="2">
        <v>90</v>
      </c>
      <c r="F236" s="2">
        <v>1774.31</v>
      </c>
    </row>
    <row r="237" spans="3:6" x14ac:dyDescent="0.25">
      <c r="C237" s="2" t="s">
        <v>5501</v>
      </c>
      <c r="D237" s="2" t="s">
        <v>122</v>
      </c>
      <c r="E237" s="2">
        <v>30</v>
      </c>
      <c r="F237" s="2">
        <v>589.059</v>
      </c>
    </row>
    <row r="238" spans="3:6" x14ac:dyDescent="0.25">
      <c r="C238" s="2" t="s">
        <v>5502</v>
      </c>
      <c r="D238" s="2" t="s">
        <v>122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40</v>
      </c>
      <c r="C240" s="2" t="s">
        <v>5503</v>
      </c>
      <c r="D240" s="2" t="s">
        <v>42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5504</v>
      </c>
      <c r="D241" s="2" t="s">
        <v>42</v>
      </c>
      <c r="E241" s="2">
        <v>55</v>
      </c>
      <c r="F241" s="2">
        <v>1085.02</v>
      </c>
    </row>
    <row r="242" spans="3:6" x14ac:dyDescent="0.25">
      <c r="C242" s="2" t="s">
        <v>5505</v>
      </c>
      <c r="D242" s="2" t="s">
        <v>42</v>
      </c>
      <c r="E242" s="2">
        <v>30</v>
      </c>
      <c r="F242" s="2">
        <v>496.529</v>
      </c>
    </row>
    <row r="243" spans="3:6" x14ac:dyDescent="0.25">
      <c r="C243" s="2" t="s">
        <v>5506</v>
      </c>
      <c r="D243" s="2" t="s">
        <v>42</v>
      </c>
      <c r="E243" s="2">
        <v>12</v>
      </c>
      <c r="F243" s="2">
        <v>226.4</v>
      </c>
    </row>
    <row r="244" spans="3:6" x14ac:dyDescent="0.25">
      <c r="C244" s="2" t="s">
        <v>5507</v>
      </c>
      <c r="D244" s="2" t="s">
        <v>42</v>
      </c>
      <c r="E244" s="2">
        <v>53</v>
      </c>
      <c r="F244" s="2">
        <v>1037.63</v>
      </c>
    </row>
    <row r="245" spans="3:6" x14ac:dyDescent="0.25">
      <c r="C245" s="2" t="s">
        <v>5508</v>
      </c>
      <c r="D245" s="2" t="s">
        <v>42</v>
      </c>
      <c r="E245" s="2">
        <v>21</v>
      </c>
      <c r="F245" s="2">
        <v>367.97</v>
      </c>
    </row>
    <row r="246" spans="3:6" x14ac:dyDescent="0.25">
      <c r="C246" s="2" t="s">
        <v>5509</v>
      </c>
      <c r="D246" s="2" t="s">
        <v>42</v>
      </c>
      <c r="E246" s="2">
        <v>31</v>
      </c>
      <c r="F246" s="2">
        <v>649.45</v>
      </c>
    </row>
    <row r="247" spans="3:6" x14ac:dyDescent="0.25">
      <c r="C247" s="2" t="s">
        <v>5510</v>
      </c>
      <c r="D247" s="2" t="s">
        <v>42</v>
      </c>
      <c r="E247" s="2">
        <v>29</v>
      </c>
      <c r="F247" s="2">
        <v>604.32</v>
      </c>
    </row>
    <row r="248" spans="3:6" x14ac:dyDescent="0.25">
      <c r="C248" s="2" t="s">
        <v>5511</v>
      </c>
      <c r="D248" s="2" t="s">
        <v>42</v>
      </c>
      <c r="E248" s="2">
        <v>54</v>
      </c>
      <c r="F248" s="2">
        <v>1025.12</v>
      </c>
    </row>
    <row r="249" spans="3:6" x14ac:dyDescent="0.25">
      <c r="C249" s="2" t="s">
        <v>5512</v>
      </c>
      <c r="D249" s="2" t="s">
        <v>42</v>
      </c>
      <c r="E249" s="2">
        <v>21</v>
      </c>
      <c r="F249" s="2">
        <v>407.06</v>
      </c>
    </row>
    <row r="250" spans="3:6" x14ac:dyDescent="0.25">
      <c r="C250" s="2" t="s">
        <v>5513</v>
      </c>
      <c r="D250" s="2" t="s">
        <v>42</v>
      </c>
      <c r="E250" s="2">
        <v>8</v>
      </c>
      <c r="F250" s="2">
        <v>160.22</v>
      </c>
    </row>
    <row r="251" spans="3:6" x14ac:dyDescent="0.25">
      <c r="C251" s="2" t="s">
        <v>5514</v>
      </c>
      <c r="D251" s="2" t="s">
        <v>42</v>
      </c>
      <c r="E251" s="2">
        <v>44</v>
      </c>
      <c r="F251" s="2">
        <v>730.55</v>
      </c>
    </row>
    <row r="252" spans="3:6" x14ac:dyDescent="0.25">
      <c r="C252" s="2" t="s">
        <v>5515</v>
      </c>
      <c r="D252" s="2" t="s">
        <v>42</v>
      </c>
      <c r="E252" s="2">
        <v>27</v>
      </c>
      <c r="F252" s="2">
        <v>543.055</v>
      </c>
    </row>
    <row r="253" spans="3:6" x14ac:dyDescent="0.25">
      <c r="C253" s="2" t="s">
        <v>5516</v>
      </c>
      <c r="D253" s="2" t="s">
        <v>42</v>
      </c>
      <c r="E253" s="2">
        <v>44</v>
      </c>
      <c r="F253" s="2">
        <v>842.76</v>
      </c>
    </row>
    <row r="254" spans="3:6" x14ac:dyDescent="0.25">
      <c r="C254" s="2" t="s">
        <v>5517</v>
      </c>
      <c r="D254" s="2" t="s">
        <v>42</v>
      </c>
      <c r="E254" s="2">
        <v>97</v>
      </c>
      <c r="F254" s="2">
        <v>1950</v>
      </c>
    </row>
    <row r="255" spans="3:6" x14ac:dyDescent="0.25">
      <c r="C255" s="2" t="s">
        <v>5518</v>
      </c>
      <c r="D255" s="2" t="s">
        <v>42</v>
      </c>
      <c r="E255" s="2">
        <v>141</v>
      </c>
      <c r="F255" s="2">
        <v>2918.945</v>
      </c>
    </row>
    <row r="256" spans="3:6" x14ac:dyDescent="0.25">
      <c r="C256" s="2" t="s">
        <v>5519</v>
      </c>
      <c r="D256" s="2" t="s">
        <v>42</v>
      </c>
      <c r="E256" s="2">
        <v>8</v>
      </c>
      <c r="F256" s="2">
        <v>136.549</v>
      </c>
    </row>
    <row r="257" spans="3:6" x14ac:dyDescent="0.25">
      <c r="C257" s="2" t="s">
        <v>5520</v>
      </c>
      <c r="D257" s="2" t="s">
        <v>42</v>
      </c>
      <c r="E257" s="2">
        <v>12</v>
      </c>
      <c r="F257" s="2">
        <v>228.81</v>
      </c>
    </row>
    <row r="258" spans="3:6" x14ac:dyDescent="0.25">
      <c r="C258" s="2" t="s">
        <v>5521</v>
      </c>
      <c r="D258" s="2" t="s">
        <v>42</v>
      </c>
      <c r="E258" s="2">
        <v>100</v>
      </c>
      <c r="F258" s="2">
        <v>2094.55</v>
      </c>
    </row>
    <row r="259" spans="3:6" x14ac:dyDescent="0.25">
      <c r="C259" s="2" t="s">
        <v>5522</v>
      </c>
      <c r="D259" s="2" t="s">
        <v>42</v>
      </c>
      <c r="E259" s="2">
        <v>78</v>
      </c>
      <c r="F259" s="2">
        <v>1582.329</v>
      </c>
    </row>
    <row r="260" spans="3:6" x14ac:dyDescent="0.25">
      <c r="C260" s="2" t="s">
        <v>5523</v>
      </c>
      <c r="D260" s="2" t="s">
        <v>42</v>
      </c>
      <c r="E260" s="2">
        <v>40</v>
      </c>
      <c r="F260" s="2">
        <v>760.44</v>
      </c>
    </row>
    <row r="261" spans="3:6" x14ac:dyDescent="0.25">
      <c r="C261" s="2" t="s">
        <v>5524</v>
      </c>
      <c r="D261" s="2" t="s">
        <v>42</v>
      </c>
      <c r="E261" s="2">
        <v>23</v>
      </c>
      <c r="F261" s="2">
        <v>451.98</v>
      </c>
    </row>
    <row r="262" spans="3:6" x14ac:dyDescent="0.25">
      <c r="C262" s="2" t="s">
        <v>5525</v>
      </c>
      <c r="D262" s="2" t="s">
        <v>42</v>
      </c>
      <c r="E262" s="2">
        <v>123</v>
      </c>
      <c r="F262" s="2">
        <v>2373.4</v>
      </c>
    </row>
    <row r="263" spans="3:6" x14ac:dyDescent="0.25">
      <c r="C263" s="2" t="s">
        <v>5526</v>
      </c>
      <c r="D263" s="2" t="s">
        <v>42</v>
      </c>
      <c r="E263" s="2">
        <v>54</v>
      </c>
      <c r="F263" s="2">
        <v>747.803</v>
      </c>
    </row>
    <row r="264" spans="3:6" x14ac:dyDescent="0.25">
      <c r="C264" s="2" t="s">
        <v>5527</v>
      </c>
      <c r="D264" s="2" t="s">
        <v>42</v>
      </c>
      <c r="E264" s="2">
        <v>74</v>
      </c>
      <c r="F264" s="2">
        <v>1399.66</v>
      </c>
    </row>
    <row r="265" spans="3:6" x14ac:dyDescent="0.25">
      <c r="C265" s="2" t="s">
        <v>5528</v>
      </c>
      <c r="D265" s="2" t="s">
        <v>42</v>
      </c>
      <c r="E265" s="2">
        <v>115</v>
      </c>
      <c r="F265" s="2">
        <v>1754.084</v>
      </c>
    </row>
    <row r="266" spans="3:6" x14ac:dyDescent="0.25">
      <c r="C266" s="2" t="s">
        <v>5529</v>
      </c>
      <c r="D266" s="2" t="s">
        <v>42</v>
      </c>
      <c r="E266" s="2">
        <v>30</v>
      </c>
      <c r="F266" s="2">
        <v>508.7</v>
      </c>
    </row>
    <row r="267" spans="3:6" x14ac:dyDescent="0.25">
      <c r="C267" s="2" t="s">
        <v>5530</v>
      </c>
      <c r="D267" s="2" t="s">
        <v>42</v>
      </c>
      <c r="E267" s="2">
        <v>71</v>
      </c>
      <c r="F267" s="2">
        <v>1398.01</v>
      </c>
    </row>
    <row r="268" spans="3:6" x14ac:dyDescent="0.25">
      <c r="C268" s="2" t="s">
        <v>5531</v>
      </c>
      <c r="D268" s="2" t="s">
        <v>42</v>
      </c>
      <c r="E268" s="2">
        <v>50</v>
      </c>
      <c r="F268" s="2">
        <v>244.879</v>
      </c>
    </row>
    <row r="269" spans="3:6" x14ac:dyDescent="0.25">
      <c r="C269" s="2" t="s">
        <v>5532</v>
      </c>
      <c r="D269" s="2" t="s">
        <v>42</v>
      </c>
      <c r="E269" s="2">
        <v>141</v>
      </c>
      <c r="F269" s="2">
        <v>2758.329</v>
      </c>
    </row>
    <row r="270" spans="3:6" x14ac:dyDescent="0.25">
      <c r="C270" s="2" t="s">
        <v>5533</v>
      </c>
      <c r="D270" s="2" t="s">
        <v>42</v>
      </c>
      <c r="E270" s="2">
        <v>141</v>
      </c>
      <c r="F270" s="2">
        <v>2984.899</v>
      </c>
    </row>
    <row r="271" spans="3:6" x14ac:dyDescent="0.25">
      <c r="C271" s="2" t="s">
        <v>5534</v>
      </c>
      <c r="D271" s="2" t="s">
        <v>42</v>
      </c>
      <c r="E271" s="2">
        <v>120</v>
      </c>
      <c r="F271" s="2">
        <v>1633.102</v>
      </c>
    </row>
    <row r="272" spans="3:6" x14ac:dyDescent="0.25">
      <c r="C272" s="2" t="s">
        <v>5535</v>
      </c>
      <c r="D272" s="2" t="s">
        <v>42</v>
      </c>
      <c r="E272" s="2">
        <v>28</v>
      </c>
      <c r="F272" s="2">
        <v>611.81</v>
      </c>
    </row>
    <row r="273" spans="3:6" x14ac:dyDescent="0.25">
      <c r="C273" s="2" t="s">
        <v>5536</v>
      </c>
      <c r="D273" s="2" t="s">
        <v>42</v>
      </c>
      <c r="E273" s="2">
        <v>70</v>
      </c>
      <c r="F273" s="2">
        <v>1441.95</v>
      </c>
    </row>
    <row r="274" spans="3:6" x14ac:dyDescent="0.25">
      <c r="C274" s="2" t="s">
        <v>5537</v>
      </c>
      <c r="D274" s="2" t="s">
        <v>42</v>
      </c>
      <c r="E274" s="2">
        <v>141</v>
      </c>
      <c r="F274" s="2">
        <v>2930.71</v>
      </c>
    </row>
    <row r="275" spans="3:6" x14ac:dyDescent="0.25">
      <c r="C275" s="2" t="s">
        <v>5538</v>
      </c>
      <c r="D275" s="2" t="s">
        <v>42</v>
      </c>
      <c r="E275" s="2">
        <v>96</v>
      </c>
      <c r="F275" s="2">
        <v>1899.058</v>
      </c>
    </row>
    <row r="276" spans="3:6" x14ac:dyDescent="0.25">
      <c r="C276" s="2" t="s">
        <v>5539</v>
      </c>
      <c r="D276" s="2" t="s">
        <v>42</v>
      </c>
      <c r="E276" s="2">
        <v>134</v>
      </c>
      <c r="F276" s="2">
        <v>2499.219</v>
      </c>
    </row>
    <row r="277" spans="3:6" x14ac:dyDescent="0.25">
      <c r="C277" s="2" t="s">
        <v>5540</v>
      </c>
      <c r="D277" s="2" t="s">
        <v>42</v>
      </c>
      <c r="E277" s="2">
        <v>111</v>
      </c>
      <c r="F277" s="2">
        <v>2357.21</v>
      </c>
    </row>
    <row r="278" spans="3:6" x14ac:dyDescent="0.25">
      <c r="C278" s="2" t="s">
        <v>5541</v>
      </c>
      <c r="D278" s="2" t="s">
        <v>42</v>
      </c>
      <c r="E278" s="2">
        <v>100</v>
      </c>
      <c r="F278" s="2">
        <v>1886.74</v>
      </c>
    </row>
    <row r="279" spans="3:6" x14ac:dyDescent="0.25">
      <c r="C279" s="2" t="s">
        <v>5542</v>
      </c>
      <c r="D279" s="2" t="s">
        <v>42</v>
      </c>
      <c r="E279" s="2">
        <v>45</v>
      </c>
      <c r="F279" s="2">
        <v>852.38</v>
      </c>
    </row>
    <row r="280" spans="3:6" x14ac:dyDescent="0.25">
      <c r="C280" s="2" t="s">
        <v>5543</v>
      </c>
      <c r="D280" s="2" t="s">
        <v>42</v>
      </c>
      <c r="E280" s="2">
        <v>22</v>
      </c>
      <c r="F280" s="2">
        <v>376.5</v>
      </c>
    </row>
    <row r="281" spans="3:6" x14ac:dyDescent="0.25">
      <c r="C281" s="2" t="s">
        <v>5544</v>
      </c>
      <c r="D281" s="2" t="s">
        <v>42</v>
      </c>
      <c r="E281" s="2">
        <v>79</v>
      </c>
      <c r="F281" s="2">
        <v>1469.52</v>
      </c>
    </row>
    <row r="282" spans="3:6" x14ac:dyDescent="0.25">
      <c r="C282" s="2" t="s">
        <v>5545</v>
      </c>
      <c r="D282" s="2" t="s">
        <v>42</v>
      </c>
      <c r="E282" s="2">
        <v>40</v>
      </c>
      <c r="F282" s="2">
        <v>822.85</v>
      </c>
    </row>
    <row r="283" spans="3:6" x14ac:dyDescent="0.25">
      <c r="C283" s="2" t="s">
        <v>5546</v>
      </c>
      <c r="D283" s="2" t="s">
        <v>42</v>
      </c>
      <c r="E283" s="2">
        <v>28</v>
      </c>
      <c r="F283" s="2">
        <v>536.22</v>
      </c>
    </row>
    <row r="284" spans="3:6" x14ac:dyDescent="0.25">
      <c r="C284" s="2" t="s">
        <v>5547</v>
      </c>
      <c r="D284" s="2" t="s">
        <v>42</v>
      </c>
      <c r="E284" s="2">
        <v>60</v>
      </c>
      <c r="F284" s="2">
        <v>308.86</v>
      </c>
    </row>
    <row r="285" spans="3:6" x14ac:dyDescent="0.25">
      <c r="C285" s="2" t="s">
        <v>5548</v>
      </c>
      <c r="D285" s="2" t="s">
        <v>42</v>
      </c>
      <c r="E285" s="2">
        <v>60</v>
      </c>
      <c r="F285" s="2">
        <v>313.66</v>
      </c>
    </row>
    <row r="286" spans="3:6" x14ac:dyDescent="0.25">
      <c r="C286" s="2" t="s">
        <v>5549</v>
      </c>
      <c r="D286" s="2" t="s">
        <v>42</v>
      </c>
      <c r="E286" s="2">
        <v>18</v>
      </c>
      <c r="F286" s="2">
        <v>326.21</v>
      </c>
    </row>
    <row r="287" spans="3:6" x14ac:dyDescent="0.25">
      <c r="C287" s="2" t="s">
        <v>5550</v>
      </c>
      <c r="D287" s="2" t="s">
        <v>42</v>
      </c>
      <c r="E287" s="2">
        <v>21</v>
      </c>
      <c r="F287" s="2">
        <v>346.96</v>
      </c>
    </row>
    <row r="288" spans="3:6" x14ac:dyDescent="0.25">
      <c r="C288" s="2" t="s">
        <v>5551</v>
      </c>
      <c r="D288" s="2" t="s">
        <v>42</v>
      </c>
      <c r="E288" s="2">
        <v>10</v>
      </c>
      <c r="F288" s="2">
        <v>168.85</v>
      </c>
    </row>
    <row r="289" spans="3:6" x14ac:dyDescent="0.25">
      <c r="C289" s="2" t="s">
        <v>5552</v>
      </c>
      <c r="D289" s="2" t="s">
        <v>42</v>
      </c>
      <c r="E289" s="2">
        <v>12</v>
      </c>
      <c r="F289" s="2">
        <v>227.21</v>
      </c>
    </row>
    <row r="290" spans="3:6" x14ac:dyDescent="0.25">
      <c r="C290" s="2" t="s">
        <v>5553</v>
      </c>
      <c r="D290" s="2" t="s">
        <v>42</v>
      </c>
      <c r="E290" s="2">
        <v>10</v>
      </c>
      <c r="F290" s="2">
        <v>169.37</v>
      </c>
    </row>
    <row r="291" spans="3:6" x14ac:dyDescent="0.25">
      <c r="C291" s="2" t="s">
        <v>5554</v>
      </c>
      <c r="D291" s="2" t="s">
        <v>42</v>
      </c>
      <c r="E291" s="2">
        <v>68</v>
      </c>
      <c r="F291" s="2">
        <v>1162.89</v>
      </c>
    </row>
    <row r="292" spans="3:6" x14ac:dyDescent="0.25">
      <c r="C292" s="2" t="s">
        <v>5555</v>
      </c>
      <c r="D292" s="2" t="s">
        <v>42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90</v>
      </c>
      <c r="C294" s="2" t="s">
        <v>5556</v>
      </c>
      <c r="D294" s="2" t="s">
        <v>9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5557</v>
      </c>
      <c r="D295" s="2" t="s">
        <v>9</v>
      </c>
      <c r="E295" s="2">
        <v>141</v>
      </c>
      <c r="F295" s="2">
        <v>2825.9</v>
      </c>
    </row>
    <row r="296" spans="3:6" x14ac:dyDescent="0.25">
      <c r="C296" s="2" t="s">
        <v>5558</v>
      </c>
      <c r="D296" s="2" t="s">
        <v>9</v>
      </c>
      <c r="E296" s="2">
        <v>105</v>
      </c>
      <c r="F296" s="2">
        <v>447.31</v>
      </c>
    </row>
    <row r="297" spans="3:6" x14ac:dyDescent="0.25">
      <c r="C297" s="2" t="s">
        <v>5559</v>
      </c>
      <c r="D297" s="2" t="s">
        <v>9</v>
      </c>
      <c r="E297" s="2">
        <v>102</v>
      </c>
      <c r="F297" s="2">
        <v>2046</v>
      </c>
    </row>
    <row r="298" spans="3:6" x14ac:dyDescent="0.25">
      <c r="C298" s="2" t="s">
        <v>5560</v>
      </c>
      <c r="D298" s="2" t="s">
        <v>9</v>
      </c>
      <c r="E298" s="2">
        <v>123</v>
      </c>
      <c r="F298" s="2">
        <v>2488.78</v>
      </c>
    </row>
    <row r="299" spans="3:6" x14ac:dyDescent="0.25">
      <c r="C299" s="2" t="s">
        <v>5561</v>
      </c>
      <c r="D299" s="2" t="s">
        <v>9</v>
      </c>
      <c r="E299" s="2">
        <v>141</v>
      </c>
      <c r="F299" s="2">
        <v>2794.41</v>
      </c>
    </row>
    <row r="300" spans="3:6" x14ac:dyDescent="0.25">
      <c r="C300" s="2" t="s">
        <v>5562</v>
      </c>
      <c r="D300" s="2" t="s">
        <v>9</v>
      </c>
      <c r="E300" s="2">
        <v>141</v>
      </c>
      <c r="F300" s="2">
        <v>2855.029</v>
      </c>
    </row>
    <row r="301" spans="3:6" x14ac:dyDescent="0.25">
      <c r="C301" s="2" t="s">
        <v>5563</v>
      </c>
      <c r="D301" s="2" t="s">
        <v>9</v>
      </c>
      <c r="E301" s="2">
        <v>142</v>
      </c>
      <c r="F301" s="2">
        <v>2799.979</v>
      </c>
    </row>
    <row r="302" spans="3:6" x14ac:dyDescent="0.25">
      <c r="C302" s="2" t="s">
        <v>5564</v>
      </c>
      <c r="D302" s="2" t="s">
        <v>9</v>
      </c>
      <c r="E302" s="2">
        <v>102</v>
      </c>
      <c r="F302" s="2">
        <v>2073.51</v>
      </c>
    </row>
    <row r="303" spans="3:6" x14ac:dyDescent="0.25">
      <c r="C303" s="2" t="s">
        <v>5565</v>
      </c>
      <c r="D303" s="2" t="s">
        <v>9</v>
      </c>
      <c r="E303" s="2">
        <v>51</v>
      </c>
      <c r="F303" s="2">
        <v>214.25</v>
      </c>
    </row>
    <row r="304" spans="3:6" x14ac:dyDescent="0.25">
      <c r="C304" s="2" t="s">
        <v>5566</v>
      </c>
      <c r="D304" s="2" t="s">
        <v>9</v>
      </c>
      <c r="E304" s="2">
        <v>124</v>
      </c>
      <c r="F304" s="2">
        <v>2275.219</v>
      </c>
    </row>
    <row r="305" spans="3:6" x14ac:dyDescent="0.25">
      <c r="C305" s="2" t="s">
        <v>5567</v>
      </c>
      <c r="D305" s="2" t="s">
        <v>9</v>
      </c>
      <c r="E305" s="2">
        <v>136</v>
      </c>
      <c r="F305" s="2">
        <v>2440.97</v>
      </c>
    </row>
    <row r="306" spans="3:6" x14ac:dyDescent="0.25">
      <c r="C306" s="2" t="s">
        <v>5568</v>
      </c>
      <c r="D306" s="2" t="s">
        <v>9</v>
      </c>
      <c r="E306" s="2">
        <v>123</v>
      </c>
      <c r="F306" s="2">
        <v>2390.318</v>
      </c>
    </row>
    <row r="307" spans="3:6" x14ac:dyDescent="0.25">
      <c r="C307" s="2" t="s">
        <v>5569</v>
      </c>
      <c r="D307" s="2" t="s">
        <v>9</v>
      </c>
      <c r="E307" s="2">
        <v>123</v>
      </c>
      <c r="F307" s="2">
        <v>2280.887</v>
      </c>
    </row>
    <row r="308" spans="3:6" x14ac:dyDescent="0.25">
      <c r="C308" s="2" t="s">
        <v>5570</v>
      </c>
      <c r="D308" s="2" t="s">
        <v>9</v>
      </c>
      <c r="E308" s="2">
        <v>141</v>
      </c>
      <c r="F308" s="2">
        <v>2837.48</v>
      </c>
    </row>
    <row r="309" spans="3:6" x14ac:dyDescent="0.25">
      <c r="C309" s="2" t="s">
        <v>5571</v>
      </c>
      <c r="D309" s="2" t="s">
        <v>9</v>
      </c>
      <c r="E309" s="2">
        <v>143</v>
      </c>
      <c r="F309" s="2">
        <v>2878.39</v>
      </c>
    </row>
    <row r="310" spans="3:6" x14ac:dyDescent="0.25">
      <c r="C310" s="2" t="s">
        <v>5572</v>
      </c>
      <c r="D310" s="2" t="s">
        <v>9</v>
      </c>
      <c r="E310" s="2">
        <v>141</v>
      </c>
      <c r="F310" s="2">
        <v>2789.169</v>
      </c>
    </row>
    <row r="311" spans="3:6" x14ac:dyDescent="0.25">
      <c r="C311" s="2" t="s">
        <v>5573</v>
      </c>
      <c r="D311" s="2" t="s">
        <v>9</v>
      </c>
      <c r="E311" s="2">
        <v>141</v>
      </c>
      <c r="F311" s="2">
        <v>2716.388</v>
      </c>
    </row>
    <row r="312" spans="3:6" x14ac:dyDescent="0.25">
      <c r="C312" s="2" t="s">
        <v>5574</v>
      </c>
      <c r="D312" s="2" t="s">
        <v>9</v>
      </c>
      <c r="E312" s="2">
        <v>73</v>
      </c>
      <c r="F312" s="2">
        <v>1439.54</v>
      </c>
    </row>
    <row r="313" spans="3:6" x14ac:dyDescent="0.25">
      <c r="C313" s="2" t="s">
        <v>5575</v>
      </c>
      <c r="D313" s="2" t="s">
        <v>9</v>
      </c>
      <c r="E313" s="2">
        <v>68</v>
      </c>
      <c r="F313" s="2">
        <v>1321.09</v>
      </c>
    </row>
    <row r="314" spans="3:6" x14ac:dyDescent="0.25">
      <c r="C314" s="2" t="s">
        <v>5576</v>
      </c>
      <c r="D314" s="2" t="s">
        <v>9</v>
      </c>
      <c r="E314" s="2">
        <v>102</v>
      </c>
      <c r="F314" s="2">
        <v>2067.31</v>
      </c>
    </row>
    <row r="315" spans="3:6" x14ac:dyDescent="0.25">
      <c r="C315" s="2" t="s">
        <v>5577</v>
      </c>
      <c r="D315" s="2" t="s">
        <v>9</v>
      </c>
      <c r="E315" s="2">
        <v>204</v>
      </c>
      <c r="F315" s="2">
        <v>4157.059</v>
      </c>
    </row>
    <row r="316" spans="3:6" x14ac:dyDescent="0.25">
      <c r="C316" s="2" t="s">
        <v>5578</v>
      </c>
      <c r="D316" s="2" t="s">
        <v>9</v>
      </c>
      <c r="E316" s="2">
        <v>102</v>
      </c>
      <c r="F316" s="2">
        <v>1979.82</v>
      </c>
    </row>
    <row r="317" spans="3:6" x14ac:dyDescent="0.25">
      <c r="C317" s="2" t="s">
        <v>5579</v>
      </c>
      <c r="D317" s="2" t="s">
        <v>9</v>
      </c>
      <c r="E317" s="2">
        <v>42</v>
      </c>
      <c r="F317" s="2">
        <v>527.68</v>
      </c>
    </row>
    <row r="318" spans="3:6" x14ac:dyDescent="0.25">
      <c r="C318" s="2" t="s">
        <v>5580</v>
      </c>
      <c r="D318" s="2" t="s">
        <v>9</v>
      </c>
      <c r="E318" s="2">
        <v>31</v>
      </c>
      <c r="F318" s="2">
        <v>592.48</v>
      </c>
    </row>
    <row r="319" spans="3:6" x14ac:dyDescent="0.25">
      <c r="C319" s="2" t="s">
        <v>5581</v>
      </c>
      <c r="D319" s="2" t="s">
        <v>9</v>
      </c>
      <c r="E319" s="2">
        <v>71</v>
      </c>
      <c r="F319" s="2">
        <v>1388.34</v>
      </c>
    </row>
    <row r="320" spans="3:6" x14ac:dyDescent="0.25">
      <c r="C320" s="2" t="s">
        <v>5582</v>
      </c>
      <c r="D320" s="2" t="s">
        <v>9</v>
      </c>
      <c r="E320" s="2">
        <v>143</v>
      </c>
      <c r="F320" s="2">
        <v>2576.089</v>
      </c>
    </row>
    <row r="321" spans="3:6" x14ac:dyDescent="0.25">
      <c r="C321" s="2" t="s">
        <v>5583</v>
      </c>
      <c r="D321" s="2" t="s">
        <v>9</v>
      </c>
      <c r="E321" s="2">
        <v>106</v>
      </c>
      <c r="F321" s="2">
        <v>2152.78</v>
      </c>
    </row>
    <row r="322" spans="3:6" x14ac:dyDescent="0.25">
      <c r="C322" s="2" t="s">
        <v>5584</v>
      </c>
      <c r="D322" s="2" t="s">
        <v>9</v>
      </c>
      <c r="E322" s="2">
        <v>35</v>
      </c>
      <c r="F322" s="2">
        <v>685.64</v>
      </c>
    </row>
    <row r="323" spans="3:6" x14ac:dyDescent="0.25">
      <c r="C323" s="2" t="s">
        <v>5585</v>
      </c>
      <c r="D323" s="2" t="s">
        <v>9</v>
      </c>
      <c r="E323" s="2">
        <v>25</v>
      </c>
      <c r="F323" s="2">
        <v>483.76</v>
      </c>
    </row>
    <row r="324" spans="3:6" x14ac:dyDescent="0.25">
      <c r="C324" s="2" t="s">
        <v>5586</v>
      </c>
      <c r="D324" s="2" t="s">
        <v>9</v>
      </c>
      <c r="E324" s="2">
        <v>22</v>
      </c>
      <c r="F324" s="2">
        <v>431.38</v>
      </c>
    </row>
    <row r="325" spans="3:6" x14ac:dyDescent="0.25">
      <c r="C325" s="2" t="s">
        <v>5587</v>
      </c>
      <c r="D325" s="2" t="s">
        <v>9</v>
      </c>
      <c r="E325" s="2">
        <v>8</v>
      </c>
      <c r="F325" s="2">
        <v>48.79</v>
      </c>
    </row>
    <row r="326" spans="3:6" x14ac:dyDescent="0.25">
      <c r="C326" s="2" t="s">
        <v>5588</v>
      </c>
      <c r="D326" s="2" t="s">
        <v>9</v>
      </c>
      <c r="E326" s="2">
        <v>11</v>
      </c>
      <c r="F326" s="2">
        <v>69.57</v>
      </c>
    </row>
    <row r="327" spans="3:6" x14ac:dyDescent="0.25">
      <c r="C327" s="2" t="s">
        <v>5589</v>
      </c>
      <c r="D327" s="2" t="s">
        <v>9</v>
      </c>
      <c r="E327" s="2">
        <v>16</v>
      </c>
      <c r="F327" s="2">
        <v>317.38</v>
      </c>
    </row>
    <row r="328" spans="3:6" x14ac:dyDescent="0.25">
      <c r="C328" s="2" t="s">
        <v>5590</v>
      </c>
      <c r="D328" s="2" t="s">
        <v>9</v>
      </c>
      <c r="E328" s="2">
        <v>64</v>
      </c>
      <c r="F328" s="2">
        <v>1341.59</v>
      </c>
    </row>
    <row r="329" spans="3:6" x14ac:dyDescent="0.25">
      <c r="C329" s="2" t="s">
        <v>5591</v>
      </c>
      <c r="D329" s="2" t="s">
        <v>9</v>
      </c>
      <c r="E329" s="2">
        <v>77</v>
      </c>
      <c r="F329" s="2">
        <v>1432.36</v>
      </c>
    </row>
    <row r="330" spans="3:6" x14ac:dyDescent="0.25">
      <c r="C330" s="2" t="s">
        <v>5592</v>
      </c>
      <c r="D330" s="2" t="s">
        <v>9</v>
      </c>
      <c r="E330" s="2">
        <v>38</v>
      </c>
      <c r="F330" s="2">
        <v>756.16</v>
      </c>
    </row>
    <row r="331" spans="3:6" x14ac:dyDescent="0.25">
      <c r="C331" s="2" t="s">
        <v>5593</v>
      </c>
      <c r="D331" s="2" t="s">
        <v>9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14</v>
      </c>
      <c r="C333" s="2" t="s">
        <v>5594</v>
      </c>
      <c r="D333" s="2" t="s">
        <v>12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5595</v>
      </c>
      <c r="D334" s="2" t="s">
        <v>12</v>
      </c>
      <c r="E334" s="2">
        <v>150</v>
      </c>
      <c r="F334" s="2">
        <v>2931.159</v>
      </c>
    </row>
    <row r="335" spans="3:6" x14ac:dyDescent="0.25">
      <c r="C335" s="2" t="s">
        <v>5596</v>
      </c>
      <c r="D335" s="2" t="s">
        <v>12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10</v>
      </c>
      <c r="C337" s="2" t="s">
        <v>5597</v>
      </c>
      <c r="D337" s="2" t="s">
        <v>12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5598</v>
      </c>
      <c r="D338" s="2" t="s">
        <v>12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7</v>
      </c>
      <c r="C340" s="2" t="s">
        <v>5599</v>
      </c>
      <c r="D340" s="2" t="s">
        <v>204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1101</v>
      </c>
      <c r="C342" s="2" t="s">
        <v>5600</v>
      </c>
      <c r="D342" s="2" t="s">
        <v>20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5601</v>
      </c>
      <c r="D343" s="2" t="s">
        <v>20</v>
      </c>
      <c r="E343" s="2">
        <v>85</v>
      </c>
      <c r="F343" s="2">
        <v>1681.31</v>
      </c>
    </row>
    <row r="344" spans="3:6" x14ac:dyDescent="0.25">
      <c r="C344" s="2" t="s">
        <v>5602</v>
      </c>
      <c r="D344" s="2" t="s">
        <v>20</v>
      </c>
      <c r="E344" s="2">
        <v>160</v>
      </c>
      <c r="F344" s="2">
        <v>3034.508</v>
      </c>
    </row>
    <row r="345" spans="3:6" x14ac:dyDescent="0.25">
      <c r="C345" s="2" t="s">
        <v>5603</v>
      </c>
      <c r="D345" s="2" t="s">
        <v>20</v>
      </c>
      <c r="E345" s="2">
        <v>153</v>
      </c>
      <c r="F345" s="2">
        <v>3017.66</v>
      </c>
    </row>
    <row r="346" spans="3:6" x14ac:dyDescent="0.25">
      <c r="C346" s="2" t="s">
        <v>5604</v>
      </c>
      <c r="D346" s="2" t="s">
        <v>20</v>
      </c>
      <c r="E346" s="2">
        <v>65</v>
      </c>
      <c r="F346" s="2">
        <v>1286.72</v>
      </c>
    </row>
    <row r="347" spans="3:6" x14ac:dyDescent="0.25">
      <c r="C347" s="2" t="s">
        <v>5605</v>
      </c>
      <c r="D347" s="2" t="s">
        <v>20</v>
      </c>
      <c r="E347" s="2">
        <v>160</v>
      </c>
      <c r="F347" s="2">
        <v>2931.747</v>
      </c>
    </row>
    <row r="348" spans="3:6" x14ac:dyDescent="0.25">
      <c r="C348" s="2" t="s">
        <v>5606</v>
      </c>
      <c r="D348" s="2" t="s">
        <v>20</v>
      </c>
      <c r="E348" s="2">
        <v>102</v>
      </c>
      <c r="F348" s="2">
        <v>1978.35</v>
      </c>
    </row>
    <row r="349" spans="3:6" x14ac:dyDescent="0.25">
      <c r="C349" s="2" t="s">
        <v>5607</v>
      </c>
      <c r="D349" s="2" t="s">
        <v>20</v>
      </c>
      <c r="E349" s="2">
        <v>160</v>
      </c>
      <c r="F349" s="2">
        <v>3116.16</v>
      </c>
    </row>
    <row r="350" spans="3:6" x14ac:dyDescent="0.25">
      <c r="C350" s="2" t="s">
        <v>5608</v>
      </c>
      <c r="D350" s="2" t="s">
        <v>20</v>
      </c>
      <c r="E350" s="2">
        <v>102</v>
      </c>
      <c r="F350" s="2">
        <v>2140.61</v>
      </c>
    </row>
    <row r="351" spans="3:6" x14ac:dyDescent="0.25">
      <c r="C351" s="2" t="s">
        <v>5609</v>
      </c>
      <c r="D351" s="2" t="s">
        <v>20</v>
      </c>
      <c r="E351" s="2">
        <v>102</v>
      </c>
      <c r="F351" s="2">
        <v>2069.88</v>
      </c>
    </row>
    <row r="352" spans="3:6" x14ac:dyDescent="0.25">
      <c r="C352" s="2" t="s">
        <v>5610</v>
      </c>
      <c r="D352" s="2" t="s">
        <v>20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2738</v>
      </c>
      <c r="C354" s="2" t="s">
        <v>5611</v>
      </c>
      <c r="D354" s="2" t="s">
        <v>20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4182</v>
      </c>
      <c r="C356" s="2" t="s">
        <v>5612</v>
      </c>
      <c r="D356" s="2" t="s">
        <v>122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5613</v>
      </c>
      <c r="D357" s="2" t="s">
        <v>122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324</v>
      </c>
      <c r="C359" s="2" t="s">
        <v>5614</v>
      </c>
      <c r="D359" s="2" t="s">
        <v>27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5615</v>
      </c>
      <c r="D360" s="2" t="s">
        <v>27</v>
      </c>
      <c r="E360" s="2">
        <v>101</v>
      </c>
      <c r="F360" s="2">
        <v>1960.209</v>
      </c>
    </row>
    <row r="361" spans="3:6" x14ac:dyDescent="0.25">
      <c r="C361" s="2" t="s">
        <v>5616</v>
      </c>
      <c r="D361" s="2" t="s">
        <v>27</v>
      </c>
      <c r="E361" s="2">
        <v>46</v>
      </c>
      <c r="F361" s="2">
        <v>783.78</v>
      </c>
    </row>
    <row r="362" spans="3:6" x14ac:dyDescent="0.25">
      <c r="C362" s="2" t="s">
        <v>5617</v>
      </c>
      <c r="D362" s="2" t="s">
        <v>27</v>
      </c>
      <c r="E362" s="2">
        <v>54</v>
      </c>
      <c r="F362" s="2">
        <v>928.66</v>
      </c>
    </row>
    <row r="363" spans="3:6" x14ac:dyDescent="0.25">
      <c r="C363" s="2" t="s">
        <v>5618</v>
      </c>
      <c r="D363" s="2" t="s">
        <v>27</v>
      </c>
      <c r="E363" s="2">
        <v>12</v>
      </c>
      <c r="F363" s="2">
        <v>225.4</v>
      </c>
    </row>
    <row r="364" spans="3:6" x14ac:dyDescent="0.25">
      <c r="C364" s="2" t="s">
        <v>5619</v>
      </c>
      <c r="D364" s="2" t="s">
        <v>27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10</v>
      </c>
      <c r="C366" s="2" t="s">
        <v>5620</v>
      </c>
      <c r="D366" s="2" t="s">
        <v>12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5621</v>
      </c>
      <c r="D367" s="2" t="s">
        <v>12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32</v>
      </c>
      <c r="C369" s="2" t="s">
        <v>5622</v>
      </c>
      <c r="D369" s="2" t="s">
        <v>20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5623</v>
      </c>
      <c r="D370" s="2" t="s">
        <v>20</v>
      </c>
      <c r="E370" s="2">
        <v>59</v>
      </c>
      <c r="F370" s="2">
        <v>1107.98</v>
      </c>
    </row>
    <row r="371" spans="3:6" x14ac:dyDescent="0.25">
      <c r="C371" s="2" t="s">
        <v>5624</v>
      </c>
      <c r="D371" s="2" t="s">
        <v>20</v>
      </c>
      <c r="E371" s="2">
        <v>156</v>
      </c>
      <c r="F371" s="2">
        <v>3151.139</v>
      </c>
    </row>
    <row r="372" spans="3:6" x14ac:dyDescent="0.25">
      <c r="C372" s="2" t="s">
        <v>5625</v>
      </c>
      <c r="D372" s="2" t="s">
        <v>20</v>
      </c>
      <c r="E372" s="2">
        <v>156</v>
      </c>
      <c r="F372" s="2">
        <v>3019.449</v>
      </c>
    </row>
    <row r="373" spans="3:6" x14ac:dyDescent="0.25">
      <c r="C373" s="2" t="s">
        <v>5626</v>
      </c>
      <c r="D373" s="2" t="s">
        <v>20</v>
      </c>
      <c r="E373" s="2">
        <v>153</v>
      </c>
      <c r="F373" s="2">
        <v>3051.849</v>
      </c>
    </row>
    <row r="374" spans="3:6" x14ac:dyDescent="0.25">
      <c r="C374" s="2" t="s">
        <v>5627</v>
      </c>
      <c r="D374" s="2" t="s">
        <v>20</v>
      </c>
      <c r="E374" s="2">
        <v>125</v>
      </c>
      <c r="F374" s="2">
        <v>2357.42</v>
      </c>
    </row>
    <row r="375" spans="3:6" x14ac:dyDescent="0.25">
      <c r="C375" s="2" t="s">
        <v>5628</v>
      </c>
      <c r="D375" s="2" t="s">
        <v>20</v>
      </c>
      <c r="E375" s="2">
        <v>153</v>
      </c>
      <c r="F375" s="2">
        <v>3128.46</v>
      </c>
    </row>
    <row r="376" spans="3:6" x14ac:dyDescent="0.25">
      <c r="C376" s="2" t="s">
        <v>5629</v>
      </c>
      <c r="D376" s="2" t="s">
        <v>20</v>
      </c>
      <c r="E376" s="2">
        <v>102</v>
      </c>
      <c r="F376" s="2">
        <v>2161.54</v>
      </c>
    </row>
    <row r="377" spans="3:6" x14ac:dyDescent="0.25">
      <c r="C377" s="2" t="s">
        <v>5630</v>
      </c>
      <c r="D377" s="2" t="s">
        <v>20</v>
      </c>
      <c r="E377" s="2">
        <v>67</v>
      </c>
      <c r="F377" s="2">
        <v>1266.93</v>
      </c>
    </row>
    <row r="378" spans="3:6" x14ac:dyDescent="0.25">
      <c r="C378" s="2" t="s">
        <v>5631</v>
      </c>
      <c r="D378" s="2" t="s">
        <v>20</v>
      </c>
      <c r="E378" s="2">
        <v>65</v>
      </c>
      <c r="F378" s="2">
        <v>1258.69</v>
      </c>
    </row>
    <row r="379" spans="3:6" x14ac:dyDescent="0.25">
      <c r="C379" s="2" t="s">
        <v>5632</v>
      </c>
      <c r="D379" s="2" t="s">
        <v>20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5633</v>
      </c>
      <c r="C381" s="2" t="s">
        <v>5634</v>
      </c>
      <c r="D381" s="2" t="s">
        <v>27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5635</v>
      </c>
      <c r="D382" s="2" t="s">
        <v>27</v>
      </c>
      <c r="E382" s="2">
        <v>19</v>
      </c>
      <c r="F382" s="2">
        <v>401.38</v>
      </c>
    </row>
    <row r="383" spans="3:6" x14ac:dyDescent="0.25">
      <c r="C383" s="2" t="s">
        <v>5636</v>
      </c>
      <c r="D383" s="2" t="s">
        <v>27</v>
      </c>
      <c r="E383" s="2">
        <v>51</v>
      </c>
      <c r="F383" s="2">
        <v>952.25</v>
      </c>
    </row>
    <row r="384" spans="3:6" x14ac:dyDescent="0.25">
      <c r="C384" s="2" t="s">
        <v>5637</v>
      </c>
      <c r="D384" s="2" t="s">
        <v>27</v>
      </c>
      <c r="E384" s="2">
        <v>29</v>
      </c>
      <c r="F384" s="2">
        <v>565.65</v>
      </c>
    </row>
    <row r="385" spans="3:6" x14ac:dyDescent="0.25">
      <c r="C385" s="2" t="s">
        <v>5638</v>
      </c>
      <c r="D385" s="2" t="s">
        <v>27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2097</v>
      </c>
      <c r="C387" s="2" t="s">
        <v>5639</v>
      </c>
      <c r="D387" s="2" t="s">
        <v>27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5640</v>
      </c>
      <c r="D388" s="2" t="s">
        <v>27</v>
      </c>
      <c r="E388" s="2">
        <v>93</v>
      </c>
      <c r="F388" s="2">
        <v>1844.72</v>
      </c>
    </row>
    <row r="389" spans="3:6" x14ac:dyDescent="0.25">
      <c r="C389" s="2" t="s">
        <v>5641</v>
      </c>
      <c r="D389" s="2" t="s">
        <v>27</v>
      </c>
      <c r="E389" s="2">
        <v>15</v>
      </c>
      <c r="F389" s="2">
        <v>298.37</v>
      </c>
    </row>
    <row r="390" spans="3:6" x14ac:dyDescent="0.25">
      <c r="C390" s="2" t="s">
        <v>5642</v>
      </c>
      <c r="D390" s="2" t="s">
        <v>27</v>
      </c>
      <c r="E390" s="2">
        <v>37</v>
      </c>
      <c r="F390" s="2">
        <v>644.58</v>
      </c>
    </row>
    <row r="391" spans="3:6" x14ac:dyDescent="0.25">
      <c r="C391" s="2" t="s">
        <v>5643</v>
      </c>
      <c r="D391" s="2" t="s">
        <v>27</v>
      </c>
      <c r="E391" s="2">
        <v>7</v>
      </c>
      <c r="F391" s="2">
        <v>155.35</v>
      </c>
    </row>
    <row r="392" spans="3:6" x14ac:dyDescent="0.25">
      <c r="C392" s="2" t="s">
        <v>5644</v>
      </c>
      <c r="D392" s="2" t="s">
        <v>27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183</v>
      </c>
      <c r="C394" s="2" t="s">
        <v>5497</v>
      </c>
      <c r="D394" s="2" t="s">
        <v>122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5498</v>
      </c>
      <c r="D395" s="2" t="s">
        <v>122</v>
      </c>
      <c r="E395" s="2">
        <v>78</v>
      </c>
      <c r="F395" s="2">
        <v>1531.86</v>
      </c>
    </row>
    <row r="396" spans="3:6" x14ac:dyDescent="0.25">
      <c r="C396" s="2" t="s">
        <v>5499</v>
      </c>
      <c r="D396" s="2" t="s">
        <v>122</v>
      </c>
      <c r="E396" s="2">
        <v>63</v>
      </c>
      <c r="F396" s="2">
        <v>1025.599</v>
      </c>
    </row>
    <row r="397" spans="3:6" x14ac:dyDescent="0.25">
      <c r="C397" s="2" t="s">
        <v>5500</v>
      </c>
      <c r="D397" s="2" t="s">
        <v>122</v>
      </c>
      <c r="E397" s="2">
        <v>90</v>
      </c>
      <c r="F397" s="2">
        <v>1774.31</v>
      </c>
    </row>
    <row r="398" spans="3:6" x14ac:dyDescent="0.25">
      <c r="C398" s="2" t="s">
        <v>5501</v>
      </c>
      <c r="D398" s="2" t="s">
        <v>122</v>
      </c>
      <c r="E398" s="2">
        <v>30</v>
      </c>
      <c r="F398" s="2">
        <v>589.059</v>
      </c>
    </row>
    <row r="399" spans="3:6" x14ac:dyDescent="0.25">
      <c r="C399" s="2" t="s">
        <v>5502</v>
      </c>
      <c r="D399" s="2" t="s">
        <v>122</v>
      </c>
      <c r="E399" s="2">
        <v>22</v>
      </c>
      <c r="F399" s="2">
        <v>390.85</v>
      </c>
    </row>
    <row r="400" spans="3:6" x14ac:dyDescent="0.25">
      <c r="C400" s="2" t="s">
        <v>5494</v>
      </c>
      <c r="D400" s="2" t="s">
        <v>122</v>
      </c>
      <c r="E400" s="2">
        <v>35</v>
      </c>
      <c r="F400" s="2">
        <v>700.75</v>
      </c>
    </row>
    <row r="401" spans="3:6" x14ac:dyDescent="0.25">
      <c r="C401" s="2" t="s">
        <v>5495</v>
      </c>
      <c r="D401" s="2" t="s">
        <v>122</v>
      </c>
      <c r="E401" s="2">
        <v>34</v>
      </c>
      <c r="F401" s="2">
        <v>701.019</v>
      </c>
    </row>
    <row r="402" spans="3:6" x14ac:dyDescent="0.25">
      <c r="C402" s="2" t="s">
        <v>5496</v>
      </c>
      <c r="D402" s="2" t="s">
        <v>122</v>
      </c>
      <c r="E402" s="2">
        <v>20</v>
      </c>
      <c r="F402" s="2">
        <v>390.25</v>
      </c>
    </row>
    <row r="403" spans="3:6" x14ac:dyDescent="0.25">
      <c r="C403" s="2" t="s">
        <v>5645</v>
      </c>
      <c r="D403" s="2" t="s">
        <v>122</v>
      </c>
      <c r="E403" s="2">
        <v>60</v>
      </c>
      <c r="F403" s="2">
        <v>263.67</v>
      </c>
    </row>
    <row r="404" spans="3:6" x14ac:dyDescent="0.25">
      <c r="C404" s="2" t="s">
        <v>5646</v>
      </c>
      <c r="D404" s="2" t="s">
        <v>122</v>
      </c>
      <c r="E404" s="2">
        <v>70</v>
      </c>
      <c r="F404" s="2">
        <v>304.128</v>
      </c>
    </row>
    <row r="405" spans="3:6" x14ac:dyDescent="0.25">
      <c r="C405" s="2" t="s">
        <v>5647</v>
      </c>
      <c r="D405" s="2" t="s">
        <v>122</v>
      </c>
      <c r="E405" s="2">
        <v>30</v>
      </c>
      <c r="F405" s="2">
        <v>123.22</v>
      </c>
    </row>
    <row r="406" spans="3:6" x14ac:dyDescent="0.25">
      <c r="C406" s="2" t="s">
        <v>5648</v>
      </c>
      <c r="D406" s="2" t="s">
        <v>122</v>
      </c>
      <c r="E406" s="2">
        <v>110</v>
      </c>
      <c r="F406" s="2">
        <v>2109.169</v>
      </c>
    </row>
    <row r="407" spans="3:6" x14ac:dyDescent="0.25">
      <c r="C407" s="2" t="s">
        <v>5649</v>
      </c>
      <c r="D407" s="2" t="s">
        <v>122</v>
      </c>
      <c r="E407" s="2">
        <v>31</v>
      </c>
      <c r="F407" s="2">
        <v>618.36</v>
      </c>
    </row>
    <row r="408" spans="3:6" x14ac:dyDescent="0.25">
      <c r="C408" s="2" t="s">
        <v>5650</v>
      </c>
      <c r="D408" s="2" t="s">
        <v>122</v>
      </c>
      <c r="E408" s="2">
        <v>80</v>
      </c>
      <c r="F408" s="2">
        <v>1510.209</v>
      </c>
    </row>
    <row r="409" spans="3:6" x14ac:dyDescent="0.25">
      <c r="C409" s="2" t="s">
        <v>5651</v>
      </c>
      <c r="D409" s="2" t="s">
        <v>122</v>
      </c>
      <c r="E409" s="2">
        <v>61</v>
      </c>
      <c r="F409" s="2">
        <v>1183.21</v>
      </c>
    </row>
    <row r="410" spans="3:6" x14ac:dyDescent="0.25">
      <c r="C410" s="2" t="s">
        <v>5652</v>
      </c>
      <c r="D410" s="2" t="s">
        <v>122</v>
      </c>
      <c r="E410" s="2">
        <v>141</v>
      </c>
      <c r="F410" s="2">
        <v>2837.259</v>
      </c>
    </row>
    <row r="411" spans="3:6" x14ac:dyDescent="0.25">
      <c r="C411" s="2" t="s">
        <v>5653</v>
      </c>
      <c r="D411" s="2" t="s">
        <v>122</v>
      </c>
      <c r="E411" s="2">
        <v>121</v>
      </c>
      <c r="F411" s="2">
        <v>2372.969</v>
      </c>
    </row>
    <row r="412" spans="3:6" x14ac:dyDescent="0.25">
      <c r="C412" s="2" t="s">
        <v>5654</v>
      </c>
      <c r="D412" s="2" t="s">
        <v>122</v>
      </c>
      <c r="E412" s="2">
        <v>121</v>
      </c>
      <c r="F412" s="2">
        <v>2426.39</v>
      </c>
    </row>
    <row r="413" spans="3:6" x14ac:dyDescent="0.25">
      <c r="C413" s="2" t="s">
        <v>5655</v>
      </c>
      <c r="D413" s="2" t="s">
        <v>122</v>
      </c>
      <c r="E413" s="2">
        <v>121</v>
      </c>
      <c r="F413" s="2">
        <v>2468.42</v>
      </c>
    </row>
    <row r="414" spans="3:6" x14ac:dyDescent="0.25">
      <c r="C414" s="2" t="s">
        <v>5656</v>
      </c>
      <c r="D414" s="2" t="s">
        <v>122</v>
      </c>
      <c r="E414" s="2">
        <v>102</v>
      </c>
      <c r="F414" s="2">
        <v>2123.77</v>
      </c>
    </row>
    <row r="415" spans="3:6" x14ac:dyDescent="0.25">
      <c r="C415" s="2" t="s">
        <v>5657</v>
      </c>
      <c r="D415" s="2" t="s">
        <v>122</v>
      </c>
      <c r="E415" s="2">
        <v>102</v>
      </c>
      <c r="F415" s="2">
        <v>2113.54</v>
      </c>
    </row>
    <row r="416" spans="3:6" x14ac:dyDescent="0.25">
      <c r="C416" s="2" t="s">
        <v>5658</v>
      </c>
      <c r="D416" s="2" t="s">
        <v>122</v>
      </c>
      <c r="E416" s="2">
        <v>102</v>
      </c>
      <c r="F416" s="2">
        <v>1993.32</v>
      </c>
    </row>
    <row r="417" spans="3:6" x14ac:dyDescent="0.25">
      <c r="C417" s="2" t="s">
        <v>5659</v>
      </c>
      <c r="D417" s="2" t="s">
        <v>122</v>
      </c>
      <c r="E417" s="2">
        <v>102</v>
      </c>
      <c r="F417" s="2">
        <v>2050.609</v>
      </c>
    </row>
    <row r="418" spans="3:6" x14ac:dyDescent="0.25">
      <c r="C418" s="2" t="s">
        <v>5660</v>
      </c>
      <c r="D418" s="2" t="s">
        <v>122</v>
      </c>
      <c r="E418" s="2">
        <v>75</v>
      </c>
      <c r="F418" s="2">
        <v>1533.15</v>
      </c>
    </row>
    <row r="419" spans="3:6" x14ac:dyDescent="0.25">
      <c r="C419" s="2" t="s">
        <v>5661</v>
      </c>
      <c r="D419" s="2" t="s">
        <v>122</v>
      </c>
      <c r="E419" s="2">
        <v>121</v>
      </c>
      <c r="F419" s="2">
        <v>2531.03</v>
      </c>
    </row>
    <row r="420" spans="3:6" x14ac:dyDescent="0.25">
      <c r="C420" s="2" t="s">
        <v>5662</v>
      </c>
      <c r="D420" s="2" t="s">
        <v>122</v>
      </c>
      <c r="E420" s="2">
        <v>120</v>
      </c>
      <c r="F420" s="2">
        <v>2454.749</v>
      </c>
    </row>
    <row r="421" spans="3:6" x14ac:dyDescent="0.25">
      <c r="C421" s="2" t="s">
        <v>5663</v>
      </c>
      <c r="D421" s="2" t="s">
        <v>122</v>
      </c>
      <c r="E421" s="2">
        <v>21</v>
      </c>
      <c r="F421" s="2">
        <v>433.249</v>
      </c>
    </row>
    <row r="422" spans="3:6" x14ac:dyDescent="0.25">
      <c r="C422" s="2" t="s">
        <v>5664</v>
      </c>
      <c r="D422" s="2" t="s">
        <v>122</v>
      </c>
      <c r="E422" s="2">
        <v>70</v>
      </c>
      <c r="F422" s="2">
        <v>1402.25</v>
      </c>
    </row>
    <row r="423" spans="3:6" x14ac:dyDescent="0.25">
      <c r="C423" s="2" t="s">
        <v>5665</v>
      </c>
      <c r="D423" s="2" t="s">
        <v>122</v>
      </c>
      <c r="E423" s="2">
        <v>50</v>
      </c>
      <c r="F423" s="2">
        <v>1024.16</v>
      </c>
    </row>
    <row r="424" spans="3:6" x14ac:dyDescent="0.25">
      <c r="C424" s="2" t="s">
        <v>5666</v>
      </c>
      <c r="D424" s="2" t="s">
        <v>122</v>
      </c>
      <c r="E424" s="2">
        <v>21</v>
      </c>
      <c r="F424" s="2">
        <v>446.65</v>
      </c>
    </row>
    <row r="425" spans="3:6" x14ac:dyDescent="0.25">
      <c r="C425" s="2" t="s">
        <v>5667</v>
      </c>
      <c r="D425" s="2" t="s">
        <v>122</v>
      </c>
      <c r="E425" s="2">
        <v>141</v>
      </c>
      <c r="F425" s="2">
        <v>2820.819</v>
      </c>
    </row>
    <row r="426" spans="3:6" x14ac:dyDescent="0.25">
      <c r="C426" s="2" t="s">
        <v>5668</v>
      </c>
      <c r="D426" s="2" t="s">
        <v>122</v>
      </c>
      <c r="E426" s="2">
        <v>141</v>
      </c>
      <c r="F426" s="2">
        <v>2752.87</v>
      </c>
    </row>
    <row r="427" spans="3:6" x14ac:dyDescent="0.25">
      <c r="C427" s="2" t="s">
        <v>5669</v>
      </c>
      <c r="D427" s="2" t="s">
        <v>122</v>
      </c>
      <c r="E427" s="2">
        <v>141</v>
      </c>
      <c r="F427" s="2">
        <v>2760.02</v>
      </c>
    </row>
    <row r="428" spans="3:6" x14ac:dyDescent="0.25">
      <c r="C428" s="2" t="s">
        <v>5670</v>
      </c>
      <c r="D428" s="2" t="s">
        <v>122</v>
      </c>
      <c r="E428" s="2">
        <v>141</v>
      </c>
      <c r="F428" s="2">
        <v>2826.5</v>
      </c>
    </row>
    <row r="429" spans="3:6" x14ac:dyDescent="0.25">
      <c r="C429" s="2" t="s">
        <v>5671</v>
      </c>
      <c r="D429" s="2" t="s">
        <v>122</v>
      </c>
      <c r="E429" s="2">
        <v>84</v>
      </c>
      <c r="F429" s="2">
        <v>1692.99</v>
      </c>
    </row>
    <row r="430" spans="3:6" x14ac:dyDescent="0.25">
      <c r="C430" s="2" t="s">
        <v>5672</v>
      </c>
      <c r="D430" s="2" t="s">
        <v>122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398</v>
      </c>
      <c r="C432" s="2" t="s">
        <v>5673</v>
      </c>
      <c r="D432" s="2" t="s">
        <v>12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5674</v>
      </c>
      <c r="D433" s="2" t="s">
        <v>12</v>
      </c>
      <c r="E433" s="2">
        <v>150</v>
      </c>
      <c r="F433" s="2">
        <v>3076.309</v>
      </c>
    </row>
    <row r="434" spans="3:6" x14ac:dyDescent="0.25">
      <c r="C434" s="2" t="s">
        <v>5675</v>
      </c>
      <c r="D434" s="2" t="s">
        <v>12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5676</v>
      </c>
      <c r="C436" s="2" t="s">
        <v>5677</v>
      </c>
      <c r="D436" s="2" t="s">
        <v>5678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5679</v>
      </c>
      <c r="D437" s="2" t="s">
        <v>5678</v>
      </c>
      <c r="E437" s="2">
        <v>33</v>
      </c>
      <c r="F437" s="2">
        <v>480.18</v>
      </c>
    </row>
    <row r="438" spans="3:6" x14ac:dyDescent="0.25">
      <c r="C438" s="2" t="s">
        <v>5680</v>
      </c>
      <c r="D438" s="2" t="s">
        <v>5678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10</v>
      </c>
      <c r="C440" s="2" t="s">
        <v>5681</v>
      </c>
      <c r="D440" s="2" t="s">
        <v>12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5682</v>
      </c>
      <c r="D441" s="2" t="s">
        <v>12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32</v>
      </c>
      <c r="C443" s="2" t="s">
        <v>5683</v>
      </c>
      <c r="D443" s="2" t="s">
        <v>20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5684</v>
      </c>
      <c r="D444" s="2" t="s">
        <v>20</v>
      </c>
      <c r="E444" s="2">
        <v>120</v>
      </c>
      <c r="F444" s="2">
        <v>2394.199</v>
      </c>
    </row>
    <row r="445" spans="3:6" x14ac:dyDescent="0.25">
      <c r="C445" s="2" t="s">
        <v>5685</v>
      </c>
      <c r="D445" s="2" t="s">
        <v>20</v>
      </c>
      <c r="E445" s="2">
        <v>105</v>
      </c>
      <c r="F445" s="2">
        <v>2021.999</v>
      </c>
    </row>
    <row r="446" spans="3:6" x14ac:dyDescent="0.25">
      <c r="C446" s="2" t="s">
        <v>5686</v>
      </c>
      <c r="D446" s="2" t="s">
        <v>20</v>
      </c>
      <c r="E446" s="2">
        <v>156</v>
      </c>
      <c r="F446" s="2">
        <v>3058.61</v>
      </c>
    </row>
    <row r="447" spans="3:6" x14ac:dyDescent="0.25">
      <c r="C447" s="2" t="s">
        <v>5687</v>
      </c>
      <c r="D447" s="2" t="s">
        <v>20</v>
      </c>
      <c r="E447" s="2">
        <v>153</v>
      </c>
      <c r="F447" s="2">
        <v>2992.93</v>
      </c>
    </row>
    <row r="448" spans="3:6" x14ac:dyDescent="0.25">
      <c r="C448" s="2" t="s">
        <v>5688</v>
      </c>
      <c r="D448" s="2" t="s">
        <v>20</v>
      </c>
      <c r="E448" s="2">
        <v>105</v>
      </c>
      <c r="F448" s="2">
        <v>2028.41</v>
      </c>
    </row>
    <row r="449" spans="3:6" x14ac:dyDescent="0.25">
      <c r="C449" s="2" t="s">
        <v>5689</v>
      </c>
      <c r="D449" s="2" t="s">
        <v>20</v>
      </c>
      <c r="E449" s="2">
        <v>154</v>
      </c>
      <c r="F449" s="2">
        <v>3177.38</v>
      </c>
    </row>
    <row r="450" spans="3:6" x14ac:dyDescent="0.25">
      <c r="C450" s="2" t="s">
        <v>5690</v>
      </c>
      <c r="D450" s="2" t="s">
        <v>20</v>
      </c>
      <c r="E450" s="2">
        <v>76</v>
      </c>
      <c r="F450" s="2">
        <v>1497.82</v>
      </c>
    </row>
    <row r="451" spans="3:6" x14ac:dyDescent="0.25">
      <c r="C451" s="2" t="s">
        <v>5691</v>
      </c>
      <c r="D451" s="2" t="s">
        <v>20</v>
      </c>
      <c r="E451" s="2">
        <v>154</v>
      </c>
      <c r="F451" s="2">
        <v>3190.77</v>
      </c>
    </row>
    <row r="452" spans="3:6" x14ac:dyDescent="0.25">
      <c r="C452" s="2" t="s">
        <v>5692</v>
      </c>
      <c r="D452" s="2" t="s">
        <v>20</v>
      </c>
      <c r="E452" s="2">
        <v>105</v>
      </c>
      <c r="F452" s="2">
        <v>2105.45</v>
      </c>
    </row>
    <row r="453" spans="3:6" x14ac:dyDescent="0.25">
      <c r="C453" s="2" t="s">
        <v>5693</v>
      </c>
      <c r="D453" s="2" t="s">
        <v>20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2196</v>
      </c>
      <c r="C455" s="2" t="s">
        <v>5694</v>
      </c>
      <c r="D455" s="2" t="s">
        <v>9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5695</v>
      </c>
      <c r="D456" s="2" t="s">
        <v>9</v>
      </c>
      <c r="E456" s="2">
        <v>102</v>
      </c>
      <c r="F456" s="2">
        <v>2008.318</v>
      </c>
    </row>
    <row r="457" spans="3:6" x14ac:dyDescent="0.25">
      <c r="C457" s="2" t="s">
        <v>5696</v>
      </c>
      <c r="D457" s="2" t="s">
        <v>9</v>
      </c>
      <c r="E457" s="2">
        <v>141</v>
      </c>
      <c r="F457" s="2">
        <v>2752.52</v>
      </c>
    </row>
    <row r="458" spans="3:6" x14ac:dyDescent="0.25">
      <c r="C458" s="2" t="s">
        <v>5697</v>
      </c>
      <c r="D458" s="2" t="s">
        <v>9</v>
      </c>
      <c r="E458" s="2">
        <v>141</v>
      </c>
      <c r="F458" s="2">
        <v>2884.49</v>
      </c>
    </row>
    <row r="459" spans="3:6" x14ac:dyDescent="0.25">
      <c r="C459" s="2" t="s">
        <v>5698</v>
      </c>
      <c r="D459" s="2" t="s">
        <v>9</v>
      </c>
      <c r="E459" s="2">
        <v>123</v>
      </c>
      <c r="F459" s="2">
        <v>2463.159</v>
      </c>
    </row>
    <row r="460" spans="3:6" x14ac:dyDescent="0.25">
      <c r="C460" s="2" t="s">
        <v>5699</v>
      </c>
      <c r="D460" s="2" t="s">
        <v>9</v>
      </c>
      <c r="E460" s="2">
        <v>141</v>
      </c>
      <c r="F460" s="2">
        <v>2911.599</v>
      </c>
    </row>
    <row r="461" spans="3:6" x14ac:dyDescent="0.25">
      <c r="C461" s="2" t="s">
        <v>5700</v>
      </c>
      <c r="D461" s="2" t="s">
        <v>9</v>
      </c>
      <c r="E461" s="2">
        <v>141</v>
      </c>
      <c r="F461" s="2">
        <v>2888.68</v>
      </c>
    </row>
    <row r="462" spans="3:6" x14ac:dyDescent="0.25">
      <c r="C462" s="2" t="s">
        <v>5701</v>
      </c>
      <c r="D462" s="2" t="s">
        <v>9</v>
      </c>
      <c r="E462" s="2">
        <v>121</v>
      </c>
      <c r="F462" s="2">
        <v>520.716</v>
      </c>
    </row>
    <row r="463" spans="3:6" x14ac:dyDescent="0.25">
      <c r="C463" s="2" t="s">
        <v>5702</v>
      </c>
      <c r="D463" s="2" t="s">
        <v>9</v>
      </c>
      <c r="E463" s="2">
        <v>67</v>
      </c>
      <c r="F463" s="2">
        <v>1323.93</v>
      </c>
    </row>
    <row r="464" spans="3:6" x14ac:dyDescent="0.25">
      <c r="C464" s="2" t="s">
        <v>5703</v>
      </c>
      <c r="D464" s="2" t="s">
        <v>9</v>
      </c>
      <c r="E464" s="2">
        <v>67</v>
      </c>
      <c r="F464" s="2">
        <v>1347.12</v>
      </c>
    </row>
    <row r="465" spans="3:6" x14ac:dyDescent="0.25">
      <c r="C465" s="2" t="s">
        <v>5704</v>
      </c>
      <c r="D465" s="2" t="s">
        <v>9</v>
      </c>
      <c r="E465" s="2">
        <v>142</v>
      </c>
      <c r="F465" s="2">
        <v>2818.12</v>
      </c>
    </row>
    <row r="466" spans="3:6" x14ac:dyDescent="0.25">
      <c r="C466" s="2" t="s">
        <v>5705</v>
      </c>
      <c r="D466" s="2" t="s">
        <v>9</v>
      </c>
      <c r="E466" s="2">
        <v>141</v>
      </c>
      <c r="F466" s="2">
        <v>2927.419</v>
      </c>
    </row>
    <row r="467" spans="3:6" x14ac:dyDescent="0.25">
      <c r="C467" s="2" t="s">
        <v>5706</v>
      </c>
      <c r="D467" s="2" t="s">
        <v>9</v>
      </c>
      <c r="E467" s="2">
        <v>102</v>
      </c>
      <c r="F467" s="2">
        <v>2087.05</v>
      </c>
    </row>
    <row r="468" spans="3:6" x14ac:dyDescent="0.25">
      <c r="C468" s="2" t="s">
        <v>5707</v>
      </c>
      <c r="D468" s="2" t="s">
        <v>9</v>
      </c>
      <c r="E468" s="2">
        <v>123</v>
      </c>
      <c r="F468" s="2">
        <v>2442.32</v>
      </c>
    </row>
    <row r="469" spans="3:6" x14ac:dyDescent="0.25">
      <c r="C469" s="2" t="s">
        <v>5708</v>
      </c>
      <c r="D469" s="2" t="s">
        <v>9</v>
      </c>
      <c r="E469" s="2">
        <v>123</v>
      </c>
      <c r="F469" s="2">
        <v>2501.59</v>
      </c>
    </row>
    <row r="470" spans="3:6" x14ac:dyDescent="0.25">
      <c r="C470" s="2" t="s">
        <v>5709</v>
      </c>
      <c r="D470" s="2" t="s">
        <v>9</v>
      </c>
      <c r="E470" s="2">
        <v>123</v>
      </c>
      <c r="F470" s="2">
        <v>2438.01</v>
      </c>
    </row>
    <row r="471" spans="3:6" x14ac:dyDescent="0.25">
      <c r="C471" s="2" t="s">
        <v>5710</v>
      </c>
      <c r="D471" s="2" t="s">
        <v>9</v>
      </c>
      <c r="E471" s="2">
        <v>141</v>
      </c>
      <c r="F471" s="2">
        <v>2884.98</v>
      </c>
    </row>
    <row r="472" spans="3:6" x14ac:dyDescent="0.25">
      <c r="C472" s="2" t="s">
        <v>5711</v>
      </c>
      <c r="D472" s="2" t="s">
        <v>9</v>
      </c>
      <c r="E472" s="2">
        <v>141</v>
      </c>
      <c r="F472" s="2">
        <v>2905.71</v>
      </c>
    </row>
    <row r="473" spans="3:6" x14ac:dyDescent="0.25">
      <c r="C473" s="2" t="s">
        <v>5712</v>
      </c>
      <c r="D473" s="2" t="s">
        <v>9</v>
      </c>
      <c r="E473" s="2">
        <v>142</v>
      </c>
      <c r="F473" s="2">
        <v>2739.578</v>
      </c>
    </row>
    <row r="474" spans="3:6" x14ac:dyDescent="0.25">
      <c r="C474" s="2" t="s">
        <v>5713</v>
      </c>
      <c r="D474" s="2" t="s">
        <v>9</v>
      </c>
      <c r="E474" s="2">
        <v>141</v>
      </c>
      <c r="F474" s="2">
        <v>2878.53</v>
      </c>
    </row>
    <row r="475" spans="3:6" x14ac:dyDescent="0.25">
      <c r="C475" s="2" t="s">
        <v>5714</v>
      </c>
      <c r="D475" s="2" t="s">
        <v>9</v>
      </c>
      <c r="E475" s="2">
        <v>102</v>
      </c>
      <c r="F475" s="2">
        <v>2042.23</v>
      </c>
    </row>
    <row r="476" spans="3:6" x14ac:dyDescent="0.25">
      <c r="C476" s="2" t="s">
        <v>5715</v>
      </c>
      <c r="D476" s="2" t="s">
        <v>9</v>
      </c>
      <c r="E476" s="2">
        <v>38</v>
      </c>
      <c r="F476" s="2">
        <v>657.5</v>
      </c>
    </row>
    <row r="477" spans="3:6" x14ac:dyDescent="0.25">
      <c r="C477" s="2" t="s">
        <v>5716</v>
      </c>
      <c r="D477" s="2" t="s">
        <v>9</v>
      </c>
      <c r="E477" s="2">
        <v>64</v>
      </c>
      <c r="F477" s="2">
        <v>1125.87</v>
      </c>
    </row>
    <row r="478" spans="3:6" x14ac:dyDescent="0.25">
      <c r="C478" s="2" t="s">
        <v>5717</v>
      </c>
      <c r="D478" s="2" t="s">
        <v>9</v>
      </c>
      <c r="E478" s="2">
        <v>141</v>
      </c>
      <c r="F478" s="2">
        <v>2627.7</v>
      </c>
    </row>
    <row r="479" spans="3:6" x14ac:dyDescent="0.25">
      <c r="C479" s="2" t="s">
        <v>5718</v>
      </c>
      <c r="D479" s="2" t="s">
        <v>9</v>
      </c>
      <c r="E479" s="2">
        <v>141</v>
      </c>
      <c r="F479" s="2">
        <v>2413.99</v>
      </c>
    </row>
    <row r="480" spans="3:6" x14ac:dyDescent="0.25">
      <c r="C480" s="2" t="s">
        <v>5719</v>
      </c>
      <c r="D480" s="2" t="s">
        <v>9</v>
      </c>
      <c r="E480" s="2">
        <v>141</v>
      </c>
      <c r="F480" s="2">
        <v>2564.899</v>
      </c>
    </row>
    <row r="481" spans="3:6" x14ac:dyDescent="0.25">
      <c r="C481" s="2" t="s">
        <v>5720</v>
      </c>
      <c r="D481" s="2" t="s">
        <v>9</v>
      </c>
      <c r="E481" s="2">
        <v>81</v>
      </c>
      <c r="F481" s="2">
        <v>1479.04</v>
      </c>
    </row>
    <row r="482" spans="3:6" x14ac:dyDescent="0.25">
      <c r="C482" s="2" t="s">
        <v>5721</v>
      </c>
      <c r="D482" s="2" t="s">
        <v>9</v>
      </c>
      <c r="E482" s="2">
        <v>60</v>
      </c>
      <c r="F482" s="2">
        <v>1205.02</v>
      </c>
    </row>
    <row r="483" spans="3:6" x14ac:dyDescent="0.25">
      <c r="C483" s="2" t="s">
        <v>5722</v>
      </c>
      <c r="D483" s="2" t="s">
        <v>9</v>
      </c>
      <c r="E483" s="2">
        <v>32</v>
      </c>
      <c r="F483" s="2">
        <v>610.569</v>
      </c>
    </row>
    <row r="484" spans="3:6" x14ac:dyDescent="0.25">
      <c r="C484" s="2" t="s">
        <v>5723</v>
      </c>
      <c r="D484" s="2" t="s">
        <v>9</v>
      </c>
      <c r="E484" s="2">
        <v>15</v>
      </c>
      <c r="F484" s="2">
        <v>294.56</v>
      </c>
    </row>
    <row r="485" spans="3:6" x14ac:dyDescent="0.25">
      <c r="C485" s="2" t="s">
        <v>5724</v>
      </c>
      <c r="D485" s="2" t="s">
        <v>9</v>
      </c>
      <c r="E485" s="2">
        <v>55</v>
      </c>
      <c r="F485" s="2">
        <v>970.348</v>
      </c>
    </row>
    <row r="486" spans="3:6" x14ac:dyDescent="0.25">
      <c r="C486" s="2" t="s">
        <v>5725</v>
      </c>
      <c r="D486" s="2" t="s">
        <v>9</v>
      </c>
      <c r="E486" s="2">
        <v>55</v>
      </c>
      <c r="F486" s="2">
        <v>1067.95</v>
      </c>
    </row>
    <row r="487" spans="3:6" x14ac:dyDescent="0.25">
      <c r="C487" s="2" t="s">
        <v>5726</v>
      </c>
      <c r="D487" s="2" t="s">
        <v>9</v>
      </c>
      <c r="E487" s="2">
        <v>8</v>
      </c>
      <c r="F487" s="2">
        <v>132.29</v>
      </c>
    </row>
    <row r="488" spans="3:6" x14ac:dyDescent="0.25">
      <c r="C488" s="2" t="s">
        <v>5727</v>
      </c>
      <c r="D488" s="2" t="s">
        <v>9</v>
      </c>
      <c r="E488" s="2">
        <v>6</v>
      </c>
      <c r="F488" s="2">
        <v>105.28</v>
      </c>
    </row>
    <row r="489" spans="3:6" x14ac:dyDescent="0.25">
      <c r="C489" s="2" t="s">
        <v>5728</v>
      </c>
      <c r="D489" s="2" t="s">
        <v>9</v>
      </c>
      <c r="E489" s="2">
        <v>7</v>
      </c>
      <c r="F489" s="2">
        <v>36.03</v>
      </c>
    </row>
    <row r="490" spans="3:6" x14ac:dyDescent="0.25">
      <c r="C490" s="2" t="s">
        <v>5729</v>
      </c>
      <c r="D490" s="2" t="s">
        <v>9</v>
      </c>
      <c r="E490" s="2">
        <v>1</v>
      </c>
      <c r="F490" s="2">
        <v>1.72</v>
      </c>
    </row>
    <row r="491" spans="3:6" x14ac:dyDescent="0.25">
      <c r="C491" s="2" t="s">
        <v>5730</v>
      </c>
      <c r="D491" s="2" t="s">
        <v>9</v>
      </c>
      <c r="E491" s="2">
        <v>51</v>
      </c>
      <c r="F491" s="2">
        <v>1071.63</v>
      </c>
    </row>
    <row r="492" spans="3:6" x14ac:dyDescent="0.25">
      <c r="C492" s="2" t="s">
        <v>5731</v>
      </c>
      <c r="D492" s="2" t="s">
        <v>9</v>
      </c>
      <c r="E492" s="2">
        <v>51</v>
      </c>
      <c r="F492" s="2">
        <v>1036.7</v>
      </c>
    </row>
    <row r="493" spans="3:6" x14ac:dyDescent="0.25">
      <c r="C493" s="2" t="s">
        <v>5732</v>
      </c>
      <c r="D493" s="2" t="s">
        <v>9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120</v>
      </c>
      <c r="C495" s="2" t="s">
        <v>5733</v>
      </c>
      <c r="D495" s="2" t="s">
        <v>122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5734</v>
      </c>
      <c r="D496" s="2" t="s">
        <v>122</v>
      </c>
      <c r="E496" s="2">
        <v>121</v>
      </c>
      <c r="F496" s="2">
        <v>2311.357</v>
      </c>
    </row>
    <row r="497" spans="3:6" x14ac:dyDescent="0.25">
      <c r="C497" s="2" t="s">
        <v>5735</v>
      </c>
      <c r="D497" s="2" t="s">
        <v>122</v>
      </c>
      <c r="E497" s="2">
        <v>121</v>
      </c>
      <c r="F497" s="2">
        <v>2407.58</v>
      </c>
    </row>
    <row r="498" spans="3:6" x14ac:dyDescent="0.25">
      <c r="C498" s="2" t="s">
        <v>5736</v>
      </c>
      <c r="D498" s="2" t="s">
        <v>122</v>
      </c>
      <c r="E498" s="2">
        <v>40</v>
      </c>
      <c r="F498" s="2">
        <v>171.948</v>
      </c>
    </row>
    <row r="499" spans="3:6" x14ac:dyDescent="0.25">
      <c r="C499" s="2" t="s">
        <v>5737</v>
      </c>
      <c r="D499" s="2" t="s">
        <v>122</v>
      </c>
      <c r="E499" s="2">
        <v>60</v>
      </c>
      <c r="F499" s="2">
        <v>260.009</v>
      </c>
    </row>
    <row r="500" spans="3:6" x14ac:dyDescent="0.25">
      <c r="C500" s="2" t="s">
        <v>5738</v>
      </c>
      <c r="D500" s="2" t="s">
        <v>122</v>
      </c>
      <c r="E500" s="2">
        <v>62</v>
      </c>
      <c r="F500" s="2">
        <v>1287.75</v>
      </c>
    </row>
    <row r="501" spans="3:6" x14ac:dyDescent="0.25">
      <c r="C501" s="2" t="s">
        <v>5739</v>
      </c>
      <c r="D501" s="2" t="s">
        <v>122</v>
      </c>
      <c r="E501" s="2">
        <v>59</v>
      </c>
      <c r="F501" s="2">
        <v>1191.93</v>
      </c>
    </row>
    <row r="502" spans="3:6" x14ac:dyDescent="0.25">
      <c r="C502" s="2" t="s">
        <v>5740</v>
      </c>
      <c r="D502" s="2" t="s">
        <v>122</v>
      </c>
      <c r="E502" s="2">
        <v>70</v>
      </c>
      <c r="F502" s="2">
        <v>1467.21</v>
      </c>
    </row>
    <row r="503" spans="3:6" x14ac:dyDescent="0.25">
      <c r="C503" s="2" t="s">
        <v>5741</v>
      </c>
      <c r="D503" s="2" t="s">
        <v>122</v>
      </c>
      <c r="E503" s="2">
        <v>64</v>
      </c>
      <c r="F503" s="2">
        <v>1313.7</v>
      </c>
    </row>
    <row r="504" spans="3:6" x14ac:dyDescent="0.25">
      <c r="C504" s="2" t="s">
        <v>5742</v>
      </c>
      <c r="D504" s="2" t="s">
        <v>122</v>
      </c>
      <c r="E504" s="2">
        <v>102</v>
      </c>
      <c r="F504" s="2">
        <v>1941.44</v>
      </c>
    </row>
    <row r="505" spans="3:6" x14ac:dyDescent="0.25">
      <c r="C505" s="2" t="s">
        <v>5743</v>
      </c>
      <c r="D505" s="2" t="s">
        <v>122</v>
      </c>
      <c r="E505" s="2">
        <v>102</v>
      </c>
      <c r="F505" s="2">
        <v>2093.059</v>
      </c>
    </row>
    <row r="506" spans="3:6" x14ac:dyDescent="0.25">
      <c r="C506" s="2" t="s">
        <v>5744</v>
      </c>
      <c r="D506" s="2" t="s">
        <v>122</v>
      </c>
      <c r="E506" s="2">
        <v>103</v>
      </c>
      <c r="F506" s="2">
        <v>1865.43</v>
      </c>
    </row>
    <row r="507" spans="3:6" x14ac:dyDescent="0.25">
      <c r="C507" s="2" t="s">
        <v>5745</v>
      </c>
      <c r="D507" s="2" t="s">
        <v>122</v>
      </c>
      <c r="E507" s="2">
        <v>28</v>
      </c>
      <c r="F507" s="2">
        <v>498.05</v>
      </c>
    </row>
    <row r="508" spans="3:6" x14ac:dyDescent="0.25">
      <c r="C508" s="2" t="s">
        <v>5746</v>
      </c>
      <c r="D508" s="2" t="s">
        <v>122</v>
      </c>
      <c r="E508" s="2">
        <v>74</v>
      </c>
      <c r="F508" s="2">
        <v>1461.26</v>
      </c>
    </row>
    <row r="509" spans="3:6" x14ac:dyDescent="0.25">
      <c r="C509" s="2" t="s">
        <v>5747</v>
      </c>
      <c r="D509" s="2" t="s">
        <v>122</v>
      </c>
      <c r="E509" s="2">
        <v>102</v>
      </c>
      <c r="F509" s="2">
        <v>1976.587</v>
      </c>
    </row>
    <row r="510" spans="3:6" x14ac:dyDescent="0.25">
      <c r="C510" s="2" t="s">
        <v>5748</v>
      </c>
      <c r="D510" s="2" t="s">
        <v>122</v>
      </c>
      <c r="E510" s="2">
        <v>75</v>
      </c>
      <c r="F510" s="2">
        <v>1487.88</v>
      </c>
    </row>
    <row r="511" spans="3:6" x14ac:dyDescent="0.25">
      <c r="C511" s="2" t="s">
        <v>5749</v>
      </c>
      <c r="D511" s="2" t="s">
        <v>122</v>
      </c>
      <c r="E511" s="2">
        <v>141</v>
      </c>
      <c r="F511" s="2">
        <v>2835.13</v>
      </c>
    </row>
    <row r="512" spans="3:6" x14ac:dyDescent="0.25">
      <c r="C512" s="2" t="s">
        <v>5750</v>
      </c>
      <c r="D512" s="2" t="s">
        <v>122</v>
      </c>
      <c r="E512" s="2">
        <v>126</v>
      </c>
      <c r="F512" s="2">
        <v>2582.22</v>
      </c>
    </row>
    <row r="513" spans="3:6" x14ac:dyDescent="0.25">
      <c r="C513" s="2" t="s">
        <v>5751</v>
      </c>
      <c r="D513" s="2" t="s">
        <v>122</v>
      </c>
      <c r="E513" s="2">
        <v>15</v>
      </c>
      <c r="F513" s="2">
        <v>307.27</v>
      </c>
    </row>
    <row r="514" spans="3:6" x14ac:dyDescent="0.25">
      <c r="C514" s="2" t="s">
        <v>5752</v>
      </c>
      <c r="D514" s="2" t="s">
        <v>122</v>
      </c>
      <c r="E514" s="2">
        <v>141</v>
      </c>
      <c r="F514" s="2">
        <v>2811.109</v>
      </c>
    </row>
    <row r="515" spans="3:6" x14ac:dyDescent="0.25">
      <c r="C515" s="2" t="s">
        <v>5753</v>
      </c>
      <c r="D515" s="2" t="s">
        <v>122</v>
      </c>
      <c r="E515" s="2">
        <v>66</v>
      </c>
      <c r="F515" s="2">
        <v>1326.72</v>
      </c>
    </row>
    <row r="516" spans="3:6" x14ac:dyDescent="0.25">
      <c r="C516" s="2" t="s">
        <v>5754</v>
      </c>
      <c r="D516" s="2" t="s">
        <v>122</v>
      </c>
      <c r="E516" s="2">
        <v>58</v>
      </c>
      <c r="F516" s="2">
        <v>1129.589</v>
      </c>
    </row>
    <row r="517" spans="3:6" x14ac:dyDescent="0.25">
      <c r="C517" s="2" t="s">
        <v>5755</v>
      </c>
      <c r="D517" s="2" t="s">
        <v>122</v>
      </c>
      <c r="E517" s="2">
        <v>17</v>
      </c>
      <c r="F517" s="2">
        <v>338.49</v>
      </c>
    </row>
    <row r="518" spans="3:6" x14ac:dyDescent="0.25">
      <c r="C518" s="2" t="s">
        <v>5756</v>
      </c>
      <c r="D518" s="2" t="s">
        <v>122</v>
      </c>
      <c r="E518" s="2">
        <v>45</v>
      </c>
      <c r="F518" s="2">
        <v>190.828</v>
      </c>
    </row>
    <row r="519" spans="3:6" x14ac:dyDescent="0.25">
      <c r="C519" s="2" t="s">
        <v>5757</v>
      </c>
      <c r="D519" s="2" t="s">
        <v>122</v>
      </c>
      <c r="E519" s="2">
        <v>16</v>
      </c>
      <c r="F519" s="2">
        <v>315.63</v>
      </c>
    </row>
    <row r="520" spans="3:6" x14ac:dyDescent="0.25">
      <c r="C520" s="2" t="s">
        <v>5758</v>
      </c>
      <c r="D520" s="2" t="s">
        <v>122</v>
      </c>
      <c r="E520" s="2">
        <v>66</v>
      </c>
      <c r="F520" s="2">
        <v>1334.95</v>
      </c>
    </row>
    <row r="521" spans="3:6" x14ac:dyDescent="0.25">
      <c r="C521" s="2" t="s">
        <v>5759</v>
      </c>
      <c r="D521" s="2" t="s">
        <v>122</v>
      </c>
      <c r="E521" s="2">
        <v>59</v>
      </c>
      <c r="F521" s="2">
        <v>1119.179</v>
      </c>
    </row>
    <row r="522" spans="3:6" x14ac:dyDescent="0.25">
      <c r="C522" s="2" t="s">
        <v>5760</v>
      </c>
      <c r="D522" s="2" t="s">
        <v>122</v>
      </c>
      <c r="E522" s="2">
        <v>83</v>
      </c>
      <c r="F522" s="2">
        <v>1627.718</v>
      </c>
    </row>
    <row r="523" spans="3:6" x14ac:dyDescent="0.25">
      <c r="C523" s="2" t="s">
        <v>5761</v>
      </c>
      <c r="D523" s="2" t="s">
        <v>122</v>
      </c>
      <c r="E523" s="2">
        <v>58</v>
      </c>
      <c r="F523" s="2">
        <v>1161.049</v>
      </c>
    </row>
    <row r="524" spans="3:6" x14ac:dyDescent="0.25">
      <c r="C524" s="2" t="s">
        <v>5762</v>
      </c>
      <c r="D524" s="2" t="s">
        <v>122</v>
      </c>
      <c r="E524" s="2">
        <v>100</v>
      </c>
      <c r="F524" s="2">
        <v>1982.67</v>
      </c>
    </row>
    <row r="525" spans="3:6" x14ac:dyDescent="0.25">
      <c r="C525" s="2" t="s">
        <v>5763</v>
      </c>
      <c r="D525" s="2" t="s">
        <v>122</v>
      </c>
      <c r="E525" s="2">
        <v>28</v>
      </c>
      <c r="F525" s="2">
        <v>569.98</v>
      </c>
    </row>
    <row r="526" spans="3:6" x14ac:dyDescent="0.25">
      <c r="C526" s="2" t="s">
        <v>5764</v>
      </c>
      <c r="D526" s="2" t="s">
        <v>122</v>
      </c>
      <c r="E526" s="2">
        <v>13</v>
      </c>
      <c r="F526" s="2">
        <v>271.94</v>
      </c>
    </row>
    <row r="527" spans="3:6" x14ac:dyDescent="0.25">
      <c r="C527" s="2" t="s">
        <v>5765</v>
      </c>
      <c r="D527" s="2" t="s">
        <v>122</v>
      </c>
      <c r="E527" s="2">
        <v>141</v>
      </c>
      <c r="F527" s="2">
        <v>2792.58</v>
      </c>
    </row>
    <row r="528" spans="3:6" x14ac:dyDescent="0.25">
      <c r="C528" s="2" t="s">
        <v>5766</v>
      </c>
      <c r="D528" s="2" t="s">
        <v>122</v>
      </c>
      <c r="E528" s="2">
        <v>71</v>
      </c>
      <c r="F528" s="2">
        <v>1137.129</v>
      </c>
    </row>
    <row r="529" spans="3:6" x14ac:dyDescent="0.25">
      <c r="C529" s="2" t="s">
        <v>5767</v>
      </c>
      <c r="D529" s="2" t="s">
        <v>122</v>
      </c>
      <c r="E529" s="2">
        <v>41</v>
      </c>
      <c r="F529" s="2">
        <v>754.439</v>
      </c>
    </row>
    <row r="530" spans="3:6" x14ac:dyDescent="0.25">
      <c r="C530" s="2" t="s">
        <v>5768</v>
      </c>
      <c r="D530" s="2" t="s">
        <v>122</v>
      </c>
      <c r="E530" s="2">
        <v>30</v>
      </c>
      <c r="F530" s="2">
        <v>573.749</v>
      </c>
    </row>
    <row r="531" spans="3:6" x14ac:dyDescent="0.25">
      <c r="C531" s="2" t="s">
        <v>5769</v>
      </c>
      <c r="D531" s="2" t="s">
        <v>122</v>
      </c>
      <c r="E531" s="2">
        <v>47</v>
      </c>
      <c r="F531" s="2">
        <v>790.55</v>
      </c>
    </row>
    <row r="532" spans="3:6" x14ac:dyDescent="0.25">
      <c r="C532" s="2" t="s">
        <v>5770</v>
      </c>
      <c r="D532" s="2" t="s">
        <v>122</v>
      </c>
      <c r="E532" s="2">
        <v>28</v>
      </c>
      <c r="F532" s="2">
        <v>617.61</v>
      </c>
    </row>
    <row r="533" spans="3:6" x14ac:dyDescent="0.25">
      <c r="C533" s="2" t="s">
        <v>5771</v>
      </c>
      <c r="D533" s="2" t="s">
        <v>122</v>
      </c>
      <c r="E533" s="2">
        <v>19</v>
      </c>
      <c r="F533" s="2">
        <v>396.81</v>
      </c>
    </row>
    <row r="534" spans="3:6" x14ac:dyDescent="0.25">
      <c r="C534" s="2" t="s">
        <v>5772</v>
      </c>
      <c r="D534" s="2" t="s">
        <v>122</v>
      </c>
      <c r="E534" s="2">
        <v>47</v>
      </c>
      <c r="F534" s="2">
        <v>933.769</v>
      </c>
    </row>
    <row r="535" spans="3:6" x14ac:dyDescent="0.25">
      <c r="C535" s="2" t="s">
        <v>5773</v>
      </c>
      <c r="D535" s="2" t="s">
        <v>122</v>
      </c>
      <c r="E535" s="2">
        <v>74</v>
      </c>
      <c r="F535" s="2">
        <v>1500.62</v>
      </c>
    </row>
    <row r="536" spans="3:6" x14ac:dyDescent="0.25">
      <c r="C536" s="2" t="s">
        <v>5774</v>
      </c>
      <c r="D536" s="2" t="s">
        <v>122</v>
      </c>
      <c r="E536" s="2">
        <v>20</v>
      </c>
      <c r="F536" s="2">
        <v>377.25</v>
      </c>
    </row>
    <row r="537" spans="3:6" x14ac:dyDescent="0.25">
      <c r="C537" s="2" t="s">
        <v>5775</v>
      </c>
      <c r="D537" s="2" t="s">
        <v>122</v>
      </c>
      <c r="E537" s="2">
        <v>23</v>
      </c>
      <c r="F537" s="2">
        <v>454.07</v>
      </c>
    </row>
    <row r="538" spans="3:6" x14ac:dyDescent="0.25">
      <c r="C538" s="2" t="s">
        <v>5776</v>
      </c>
      <c r="D538" s="2" t="s">
        <v>122</v>
      </c>
      <c r="E538" s="2">
        <v>24</v>
      </c>
      <c r="F538" s="2">
        <v>474.15</v>
      </c>
    </row>
    <row r="539" spans="3:6" x14ac:dyDescent="0.25">
      <c r="C539" s="2" t="s">
        <v>5777</v>
      </c>
      <c r="D539" s="2" t="s">
        <v>122</v>
      </c>
      <c r="E539" s="2">
        <v>22</v>
      </c>
      <c r="F539" s="2">
        <v>489.53</v>
      </c>
    </row>
    <row r="540" spans="3:6" x14ac:dyDescent="0.25">
      <c r="C540" s="2" t="s">
        <v>5778</v>
      </c>
      <c r="D540" s="2" t="s">
        <v>122</v>
      </c>
      <c r="E540" s="2">
        <v>63</v>
      </c>
      <c r="F540" s="2">
        <v>1259.79</v>
      </c>
    </row>
    <row r="541" spans="3:6" x14ac:dyDescent="0.25">
      <c r="C541" s="2" t="s">
        <v>5779</v>
      </c>
      <c r="D541" s="2" t="s">
        <v>122</v>
      </c>
      <c r="E541" s="2">
        <v>22</v>
      </c>
      <c r="F541" s="2">
        <v>454.599</v>
      </c>
    </row>
    <row r="542" spans="3:6" x14ac:dyDescent="0.25">
      <c r="C542" s="2" t="s">
        <v>5780</v>
      </c>
      <c r="D542" s="2" t="s">
        <v>122</v>
      </c>
      <c r="E542" s="2">
        <v>15</v>
      </c>
      <c r="F542" s="2">
        <v>316.52</v>
      </c>
    </row>
    <row r="543" spans="3:6" x14ac:dyDescent="0.25">
      <c r="C543" s="2" t="s">
        <v>5781</v>
      </c>
      <c r="D543" s="2" t="s">
        <v>122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90</v>
      </c>
      <c r="C545" s="2" t="s">
        <v>5782</v>
      </c>
      <c r="D545" s="2" t="s">
        <v>42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5783</v>
      </c>
      <c r="D546" s="2" t="s">
        <v>42</v>
      </c>
      <c r="E546" s="2">
        <v>123</v>
      </c>
      <c r="F546" s="2">
        <v>2466.258</v>
      </c>
    </row>
    <row r="547" spans="3:6" x14ac:dyDescent="0.25">
      <c r="C547" s="2" t="s">
        <v>5784</v>
      </c>
      <c r="D547" s="2" t="s">
        <v>42</v>
      </c>
      <c r="E547" s="2">
        <v>123</v>
      </c>
      <c r="F547" s="2">
        <v>2594.39</v>
      </c>
    </row>
    <row r="548" spans="3:6" x14ac:dyDescent="0.25">
      <c r="C548" s="2" t="s">
        <v>5785</v>
      </c>
      <c r="D548" s="2" t="s">
        <v>42</v>
      </c>
      <c r="E548" s="2">
        <v>84</v>
      </c>
      <c r="F548" s="2">
        <v>1746.37</v>
      </c>
    </row>
    <row r="549" spans="3:6" x14ac:dyDescent="0.25">
      <c r="C549" s="2" t="s">
        <v>5786</v>
      </c>
      <c r="D549" s="2" t="s">
        <v>42</v>
      </c>
      <c r="E549" s="2">
        <v>39</v>
      </c>
      <c r="F549" s="2">
        <v>756.2</v>
      </c>
    </row>
    <row r="550" spans="3:6" x14ac:dyDescent="0.25">
      <c r="C550" s="2" t="s">
        <v>5787</v>
      </c>
      <c r="D550" s="2" t="s">
        <v>42</v>
      </c>
      <c r="E550" s="2">
        <v>141</v>
      </c>
      <c r="F550" s="2">
        <v>2858.87</v>
      </c>
    </row>
    <row r="551" spans="3:6" x14ac:dyDescent="0.25">
      <c r="C551" s="2" t="s">
        <v>5788</v>
      </c>
      <c r="D551" s="2" t="s">
        <v>42</v>
      </c>
      <c r="E551" s="2">
        <v>141</v>
      </c>
      <c r="F551" s="2">
        <v>2717.91</v>
      </c>
    </row>
    <row r="552" spans="3:6" x14ac:dyDescent="0.25">
      <c r="C552" s="2" t="s">
        <v>5789</v>
      </c>
      <c r="D552" s="2" t="s">
        <v>42</v>
      </c>
      <c r="E552" s="2">
        <v>50</v>
      </c>
      <c r="F552" s="2">
        <v>238.74</v>
      </c>
    </row>
    <row r="553" spans="3:6" x14ac:dyDescent="0.25">
      <c r="C553" s="2" t="s">
        <v>5790</v>
      </c>
      <c r="D553" s="2" t="s">
        <v>42</v>
      </c>
      <c r="E553" s="2">
        <v>141</v>
      </c>
      <c r="F553" s="2">
        <v>2808.52</v>
      </c>
    </row>
    <row r="554" spans="3:6" x14ac:dyDescent="0.25">
      <c r="C554" s="2" t="s">
        <v>5791</v>
      </c>
      <c r="D554" s="2" t="s">
        <v>42</v>
      </c>
      <c r="E554" s="2">
        <v>127</v>
      </c>
      <c r="F554" s="2">
        <v>1730.412</v>
      </c>
    </row>
    <row r="555" spans="3:6" x14ac:dyDescent="0.25">
      <c r="C555" s="2" t="s">
        <v>5792</v>
      </c>
      <c r="D555" s="2" t="s">
        <v>42</v>
      </c>
      <c r="E555" s="2">
        <v>89</v>
      </c>
      <c r="F555" s="2">
        <v>1671.419</v>
      </c>
    </row>
    <row r="556" spans="3:6" x14ac:dyDescent="0.25">
      <c r="C556" s="2" t="s">
        <v>5793</v>
      </c>
      <c r="D556" s="2" t="s">
        <v>42</v>
      </c>
      <c r="E556" s="2">
        <v>33</v>
      </c>
      <c r="F556" s="2">
        <v>645</v>
      </c>
    </row>
    <row r="557" spans="3:6" x14ac:dyDescent="0.25">
      <c r="C557" s="2" t="s">
        <v>5794</v>
      </c>
      <c r="D557" s="2" t="s">
        <v>42</v>
      </c>
      <c r="E557" s="2">
        <v>141</v>
      </c>
      <c r="F557" s="2">
        <v>2606.77</v>
      </c>
    </row>
    <row r="558" spans="3:6" x14ac:dyDescent="0.25">
      <c r="C558" s="2" t="s">
        <v>5795</v>
      </c>
      <c r="D558" s="2" t="s">
        <v>42</v>
      </c>
      <c r="E558" s="2">
        <v>60</v>
      </c>
      <c r="F558" s="2">
        <v>290.52</v>
      </c>
    </row>
    <row r="559" spans="3:6" x14ac:dyDescent="0.25">
      <c r="C559" s="2" t="s">
        <v>5796</v>
      </c>
      <c r="D559" s="2" t="s">
        <v>42</v>
      </c>
      <c r="E559" s="2">
        <v>141</v>
      </c>
      <c r="F559" s="2">
        <v>2819.269</v>
      </c>
    </row>
    <row r="560" spans="3:6" x14ac:dyDescent="0.25">
      <c r="C560" s="2" t="s">
        <v>5797</v>
      </c>
      <c r="D560" s="2" t="s">
        <v>42</v>
      </c>
      <c r="E560" s="2">
        <v>105</v>
      </c>
      <c r="F560" s="2">
        <v>1933.904</v>
      </c>
    </row>
    <row r="561" spans="3:6" x14ac:dyDescent="0.25">
      <c r="C561" s="2" t="s">
        <v>5798</v>
      </c>
      <c r="D561" s="2" t="s">
        <v>42</v>
      </c>
      <c r="E561" s="2">
        <v>36</v>
      </c>
      <c r="F561" s="2">
        <v>692.05</v>
      </c>
    </row>
    <row r="562" spans="3:6" x14ac:dyDescent="0.25">
      <c r="C562" s="2" t="s">
        <v>5799</v>
      </c>
      <c r="D562" s="2" t="s">
        <v>42</v>
      </c>
      <c r="E562" s="2">
        <v>71</v>
      </c>
      <c r="F562" s="2">
        <v>1335.369</v>
      </c>
    </row>
    <row r="563" spans="3:6" x14ac:dyDescent="0.25">
      <c r="C563" s="2" t="s">
        <v>5800</v>
      </c>
      <c r="D563" s="2" t="s">
        <v>42</v>
      </c>
      <c r="E563" s="2">
        <v>30</v>
      </c>
      <c r="F563" s="2">
        <v>613.56</v>
      </c>
    </row>
    <row r="564" spans="3:6" x14ac:dyDescent="0.25">
      <c r="C564" s="2" t="s">
        <v>5801</v>
      </c>
      <c r="D564" s="2" t="s">
        <v>42</v>
      </c>
      <c r="E564" s="2">
        <v>40</v>
      </c>
      <c r="F564" s="2">
        <v>784.7</v>
      </c>
    </row>
    <row r="565" spans="3:6" x14ac:dyDescent="0.25">
      <c r="C565" s="2" t="s">
        <v>5802</v>
      </c>
      <c r="D565" s="2" t="s">
        <v>42</v>
      </c>
      <c r="E565" s="2">
        <v>102</v>
      </c>
      <c r="F565" s="2">
        <v>1972.393</v>
      </c>
    </row>
    <row r="566" spans="3:6" x14ac:dyDescent="0.25">
      <c r="C566" s="2" t="s">
        <v>5803</v>
      </c>
      <c r="D566" s="2" t="s">
        <v>42</v>
      </c>
      <c r="E566" s="2">
        <v>15</v>
      </c>
      <c r="F566" s="2">
        <v>291.57</v>
      </c>
    </row>
    <row r="567" spans="3:6" x14ac:dyDescent="0.25">
      <c r="C567" s="2" t="s">
        <v>5804</v>
      </c>
      <c r="D567" s="2" t="s">
        <v>42</v>
      </c>
      <c r="E567" s="2">
        <v>60</v>
      </c>
      <c r="F567" s="2">
        <v>307.42</v>
      </c>
    </row>
    <row r="568" spans="3:6" x14ac:dyDescent="0.25">
      <c r="C568" s="2" t="s">
        <v>5805</v>
      </c>
      <c r="D568" s="2" t="s">
        <v>42</v>
      </c>
      <c r="E568" s="2">
        <v>116</v>
      </c>
      <c r="F568" s="2">
        <v>2158.849</v>
      </c>
    </row>
    <row r="569" spans="3:6" x14ac:dyDescent="0.25">
      <c r="C569" s="2" t="s">
        <v>5806</v>
      </c>
      <c r="D569" s="2" t="s">
        <v>42</v>
      </c>
      <c r="E569" s="2">
        <v>10</v>
      </c>
      <c r="F569" s="2">
        <v>139.38</v>
      </c>
    </row>
    <row r="570" spans="3:6" x14ac:dyDescent="0.25">
      <c r="C570" s="2" t="s">
        <v>5807</v>
      </c>
      <c r="D570" s="2" t="s">
        <v>42</v>
      </c>
      <c r="E570" s="2">
        <v>16</v>
      </c>
      <c r="F570" s="2">
        <v>306.14</v>
      </c>
    </row>
    <row r="571" spans="3:6" x14ac:dyDescent="0.25">
      <c r="C571" s="2" t="s">
        <v>5808</v>
      </c>
      <c r="D571" s="2" t="s">
        <v>42</v>
      </c>
      <c r="E571" s="2">
        <v>79</v>
      </c>
      <c r="F571" s="2">
        <v>1611.98</v>
      </c>
    </row>
    <row r="572" spans="3:6" x14ac:dyDescent="0.25">
      <c r="C572" s="2" t="s">
        <v>5809</v>
      </c>
      <c r="D572" s="2" t="s">
        <v>42</v>
      </c>
      <c r="E572" s="2">
        <v>55</v>
      </c>
      <c r="F572" s="2">
        <v>1054.549</v>
      </c>
    </row>
    <row r="573" spans="3:6" x14ac:dyDescent="0.25">
      <c r="C573" s="2" t="s">
        <v>5810</v>
      </c>
      <c r="D573" s="2" t="s">
        <v>42</v>
      </c>
      <c r="E573" s="2">
        <v>100</v>
      </c>
      <c r="F573" s="2">
        <v>1877.08</v>
      </c>
    </row>
    <row r="574" spans="3:6" x14ac:dyDescent="0.25">
      <c r="C574" s="2" t="s">
        <v>5811</v>
      </c>
      <c r="D574" s="2" t="s">
        <v>42</v>
      </c>
      <c r="E574" s="2">
        <v>35</v>
      </c>
      <c r="F574" s="2">
        <v>609.51</v>
      </c>
    </row>
    <row r="575" spans="3:6" x14ac:dyDescent="0.25">
      <c r="C575" s="2" t="s">
        <v>5812</v>
      </c>
      <c r="D575" s="2" t="s">
        <v>42</v>
      </c>
      <c r="E575" s="2">
        <v>18</v>
      </c>
      <c r="F575" s="2">
        <v>364.74</v>
      </c>
    </row>
    <row r="576" spans="3:6" x14ac:dyDescent="0.25">
      <c r="C576" s="2" t="s">
        <v>5813</v>
      </c>
      <c r="D576" s="2" t="s">
        <v>42</v>
      </c>
      <c r="E576" s="2">
        <v>47</v>
      </c>
      <c r="F576" s="2">
        <v>987.19</v>
      </c>
    </row>
    <row r="577" spans="3:6" x14ac:dyDescent="0.25">
      <c r="C577" s="2" t="s">
        <v>5814</v>
      </c>
      <c r="D577" s="2" t="s">
        <v>42</v>
      </c>
      <c r="E577" s="2">
        <v>67</v>
      </c>
      <c r="F577" s="2">
        <v>1495.69</v>
      </c>
    </row>
    <row r="578" spans="3:6" x14ac:dyDescent="0.25">
      <c r="C578" s="2" t="s">
        <v>5815</v>
      </c>
      <c r="D578" s="2" t="s">
        <v>42</v>
      </c>
      <c r="E578" s="2">
        <v>17</v>
      </c>
      <c r="F578" s="2">
        <v>176.34</v>
      </c>
    </row>
    <row r="579" spans="3:6" x14ac:dyDescent="0.25">
      <c r="C579" s="2" t="s">
        <v>5816</v>
      </c>
      <c r="D579" s="2" t="s">
        <v>42</v>
      </c>
      <c r="E579" s="2">
        <v>20</v>
      </c>
      <c r="F579" s="2">
        <v>346.34</v>
      </c>
    </row>
    <row r="580" spans="3:6" x14ac:dyDescent="0.25">
      <c r="C580" s="2" t="s">
        <v>5817</v>
      </c>
      <c r="D580" s="2" t="s">
        <v>42</v>
      </c>
      <c r="E580" s="2">
        <v>58</v>
      </c>
      <c r="F580" s="2">
        <v>1156.58</v>
      </c>
    </row>
    <row r="581" spans="3:6" x14ac:dyDescent="0.25">
      <c r="C581" s="2" t="s">
        <v>5818</v>
      </c>
      <c r="D581" s="2" t="s">
        <v>42</v>
      </c>
      <c r="E581" s="2">
        <v>15</v>
      </c>
      <c r="F581" s="2">
        <v>244.029</v>
      </c>
    </row>
    <row r="582" spans="3:6" x14ac:dyDescent="0.25">
      <c r="C582" s="2" t="s">
        <v>5819</v>
      </c>
      <c r="D582" s="2" t="s">
        <v>42</v>
      </c>
      <c r="E582" s="2">
        <v>27</v>
      </c>
      <c r="F582" s="2">
        <v>448.199</v>
      </c>
    </row>
    <row r="583" spans="3:6" x14ac:dyDescent="0.25">
      <c r="C583" s="2" t="s">
        <v>5820</v>
      </c>
      <c r="D583" s="2" t="s">
        <v>42</v>
      </c>
      <c r="E583" s="2">
        <v>41</v>
      </c>
      <c r="F583" s="2">
        <v>820</v>
      </c>
    </row>
    <row r="584" spans="3:6" x14ac:dyDescent="0.25">
      <c r="C584" s="2" t="s">
        <v>5821</v>
      </c>
      <c r="D584" s="2" t="s">
        <v>42</v>
      </c>
      <c r="E584" s="2">
        <v>44</v>
      </c>
      <c r="F584" s="2">
        <v>896.69</v>
      </c>
    </row>
    <row r="585" spans="3:6" x14ac:dyDescent="0.25">
      <c r="C585" s="2" t="s">
        <v>5822</v>
      </c>
      <c r="D585" s="2" t="s">
        <v>42</v>
      </c>
      <c r="E585" s="2">
        <v>15</v>
      </c>
      <c r="F585" s="2">
        <v>262.21</v>
      </c>
    </row>
    <row r="586" spans="3:6" x14ac:dyDescent="0.25">
      <c r="C586" s="2" t="s">
        <v>5823</v>
      </c>
      <c r="D586" s="2" t="s">
        <v>42</v>
      </c>
      <c r="E586" s="2">
        <v>5</v>
      </c>
      <c r="F586" s="2">
        <v>136.77</v>
      </c>
    </row>
    <row r="587" spans="3:6" x14ac:dyDescent="0.25">
      <c r="C587" s="2" t="s">
        <v>5824</v>
      </c>
      <c r="D587" s="2" t="s">
        <v>42</v>
      </c>
      <c r="E587" s="2">
        <v>38</v>
      </c>
      <c r="F587" s="2">
        <v>843.31</v>
      </c>
    </row>
    <row r="588" spans="3:6" x14ac:dyDescent="0.25">
      <c r="C588" s="2" t="s">
        <v>5825</v>
      </c>
      <c r="D588" s="2" t="s">
        <v>42</v>
      </c>
      <c r="E588" s="2">
        <v>79</v>
      </c>
      <c r="F588" s="2">
        <v>1361.98</v>
      </c>
    </row>
    <row r="589" spans="3:6" x14ac:dyDescent="0.25">
      <c r="C589" s="2" t="s">
        <v>5826</v>
      </c>
      <c r="D589" s="2" t="s">
        <v>42</v>
      </c>
      <c r="E589" s="2">
        <v>21</v>
      </c>
      <c r="F589" s="2">
        <v>379.58</v>
      </c>
    </row>
    <row r="590" spans="3:6" x14ac:dyDescent="0.25">
      <c r="C590" s="2" t="s">
        <v>5827</v>
      </c>
      <c r="D590" s="2" t="s">
        <v>42</v>
      </c>
      <c r="E590" s="2">
        <v>8</v>
      </c>
      <c r="F590" s="2">
        <v>158.08</v>
      </c>
    </row>
    <row r="591" spans="3:6" x14ac:dyDescent="0.25">
      <c r="C591" s="2" t="s">
        <v>5828</v>
      </c>
      <c r="D591" s="2" t="s">
        <v>42</v>
      </c>
      <c r="E591" s="2">
        <v>53</v>
      </c>
      <c r="F591" s="2">
        <v>1037.39</v>
      </c>
    </row>
    <row r="592" spans="3:6" x14ac:dyDescent="0.25">
      <c r="C592" s="2" t="s">
        <v>5829</v>
      </c>
      <c r="D592" s="2" t="s">
        <v>42</v>
      </c>
      <c r="E592" s="2">
        <v>12</v>
      </c>
      <c r="F592" s="2">
        <v>224.07</v>
      </c>
    </row>
    <row r="593" spans="3:6" x14ac:dyDescent="0.25">
      <c r="C593" s="2" t="s">
        <v>5830</v>
      </c>
      <c r="D593" s="2" t="s">
        <v>42</v>
      </c>
      <c r="E593" s="2">
        <v>27</v>
      </c>
      <c r="F593" s="2">
        <v>509.005</v>
      </c>
    </row>
    <row r="594" spans="3:6" x14ac:dyDescent="0.25">
      <c r="C594" s="2" t="s">
        <v>5831</v>
      </c>
      <c r="D594" s="2" t="s">
        <v>42</v>
      </c>
      <c r="E594" s="2">
        <v>54</v>
      </c>
      <c r="F594" s="2">
        <v>1060.464</v>
      </c>
    </row>
    <row r="595" spans="3:6" x14ac:dyDescent="0.25">
      <c r="C595" s="2" t="s">
        <v>5832</v>
      </c>
      <c r="D595" s="2" t="s">
        <v>42</v>
      </c>
      <c r="E595" s="2">
        <v>87</v>
      </c>
      <c r="F595" s="2">
        <v>1684.71</v>
      </c>
    </row>
    <row r="596" spans="3:6" x14ac:dyDescent="0.25">
      <c r="C596" s="2" t="s">
        <v>5833</v>
      </c>
      <c r="D596" s="2" t="s">
        <v>42</v>
      </c>
      <c r="E596" s="2">
        <v>98</v>
      </c>
      <c r="F596" s="2">
        <v>1781.889</v>
      </c>
    </row>
    <row r="597" spans="3:6" x14ac:dyDescent="0.25">
      <c r="C597" s="2" t="s">
        <v>5834</v>
      </c>
      <c r="D597" s="2" t="s">
        <v>42</v>
      </c>
      <c r="E597" s="2">
        <v>43</v>
      </c>
      <c r="F597" s="2">
        <v>874.4</v>
      </c>
    </row>
    <row r="598" spans="3:6" x14ac:dyDescent="0.25">
      <c r="C598" s="2" t="s">
        <v>5835</v>
      </c>
      <c r="D598" s="2" t="s">
        <v>42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10</v>
      </c>
      <c r="C600" s="2" t="s">
        <v>5836</v>
      </c>
      <c r="D600" s="2" t="s">
        <v>12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5837</v>
      </c>
      <c r="D601" s="2" t="s">
        <v>12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834</v>
      </c>
      <c r="C603" s="2" t="s">
        <v>5838</v>
      </c>
      <c r="D603" s="2" t="s">
        <v>204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5839</v>
      </c>
      <c r="D604" s="2" t="s">
        <v>204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375</v>
      </c>
      <c r="C606" s="2" t="s">
        <v>5840</v>
      </c>
      <c r="D606" s="2" t="s">
        <v>204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5841</v>
      </c>
      <c r="D607" s="2" t="s">
        <v>204</v>
      </c>
      <c r="E607" s="2">
        <v>105</v>
      </c>
      <c r="F607" s="2">
        <v>2137.15</v>
      </c>
    </row>
    <row r="608" spans="3:6" x14ac:dyDescent="0.25">
      <c r="C608" s="2" t="s">
        <v>5842</v>
      </c>
      <c r="D608" s="2" t="s">
        <v>204</v>
      </c>
      <c r="E608" s="2">
        <v>156</v>
      </c>
      <c r="F608" s="2">
        <v>3212.98</v>
      </c>
    </row>
    <row r="609" spans="3:4" x14ac:dyDescent="0.25">
      <c r="C609" s="2" t="s">
        <v>5843</v>
      </c>
      <c r="D609" s="2" t="s">
        <v>204</v>
      </c>
    </row>
    <row r="610" spans="3:6" x14ac:dyDescent="0.25">
      <c r="C610" s="2" t="s">
        <v>5844</v>
      </c>
      <c r="D610" s="2" t="s">
        <v>204</v>
      </c>
      <c r="E610" s="2">
        <v>28</v>
      </c>
      <c r="F610" s="2">
        <v>575.03</v>
      </c>
    </row>
    <row r="611" spans="3:4" x14ac:dyDescent="0.25">
      <c r="C611" s="2" t="s">
        <v>5845</v>
      </c>
      <c r="D611" s="2" t="s">
        <v>214</v>
      </c>
    </row>
    <row r="612" spans="3:6" x14ac:dyDescent="0.25">
      <c r="C612" s="2" t="s">
        <v>5846</v>
      </c>
      <c r="D612" s="2" t="s">
        <v>214</v>
      </c>
      <c r="E612" s="2">
        <v>100</v>
      </c>
      <c r="F612" s="2">
        <v>2125.25</v>
      </c>
    </row>
    <row r="613" spans="3:6" x14ac:dyDescent="0.25">
      <c r="C613" s="2" t="s">
        <v>5847</v>
      </c>
      <c r="D613" s="2" t="s">
        <v>214</v>
      </c>
      <c r="E613" s="2">
        <v>56</v>
      </c>
      <c r="F613" s="2">
        <v>1090.07</v>
      </c>
    </row>
    <row r="614" spans="3:6" x14ac:dyDescent="0.25">
      <c r="C614" s="2" t="s">
        <v>5848</v>
      </c>
      <c r="D614" s="2" t="s">
        <v>214</v>
      </c>
      <c r="E614" s="2">
        <v>56</v>
      </c>
      <c r="F614" s="2">
        <v>1125.57</v>
      </c>
    </row>
    <row r="615" spans="3:6" x14ac:dyDescent="0.25">
      <c r="C615" s="2" t="s">
        <v>5849</v>
      </c>
      <c r="D615" s="2" t="s">
        <v>214</v>
      </c>
      <c r="E615" s="2">
        <v>100</v>
      </c>
      <c r="F615" s="2">
        <v>1984.76</v>
      </c>
    </row>
    <row r="616" spans="3:6" x14ac:dyDescent="0.25">
      <c r="C616" s="2" t="s">
        <v>5850</v>
      </c>
      <c r="D616" s="2" t="s">
        <v>216</v>
      </c>
      <c r="E616" s="2">
        <v>134</v>
      </c>
      <c r="F616" s="2">
        <v>2756.85</v>
      </c>
    </row>
    <row r="617" spans="3:6" x14ac:dyDescent="0.25">
      <c r="C617" s="2" t="s">
        <v>5851</v>
      </c>
      <c r="D617" s="2" t="s">
        <v>216</v>
      </c>
      <c r="E617" s="2">
        <v>134</v>
      </c>
      <c r="F617" s="2">
        <v>2764.76</v>
      </c>
    </row>
    <row r="618" spans="3:6" x14ac:dyDescent="0.25">
      <c r="C618" s="2" t="s">
        <v>5852</v>
      </c>
      <c r="D618" s="2" t="s">
        <v>216</v>
      </c>
      <c r="E618" s="2">
        <v>134</v>
      </c>
      <c r="F618" s="2">
        <v>2606.94</v>
      </c>
    </row>
    <row r="619" spans="3:6" x14ac:dyDescent="0.25">
      <c r="C619" s="2" t="s">
        <v>5853</v>
      </c>
      <c r="D619" s="2" t="s">
        <v>216</v>
      </c>
      <c r="E619" s="2">
        <v>134</v>
      </c>
      <c r="F619" s="2">
        <v>2729.3</v>
      </c>
    </row>
    <row r="620" spans="3:6" x14ac:dyDescent="0.25">
      <c r="C620" s="2" t="s">
        <v>5854</v>
      </c>
      <c r="D620" s="2" t="s">
        <v>216</v>
      </c>
      <c r="E620" s="2">
        <v>134</v>
      </c>
      <c r="F620" s="2">
        <v>2770.04</v>
      </c>
    </row>
    <row r="621" spans="3:6" x14ac:dyDescent="0.25">
      <c r="C621" s="2" t="s">
        <v>5855</v>
      </c>
      <c r="D621" s="2" t="s">
        <v>216</v>
      </c>
      <c r="E621" s="2">
        <v>105</v>
      </c>
      <c r="F621" s="2">
        <v>2138.47</v>
      </c>
    </row>
    <row r="622" spans="3:6" x14ac:dyDescent="0.25">
      <c r="C622" s="2" t="s">
        <v>5856</v>
      </c>
      <c r="D622" s="2" t="s">
        <v>216</v>
      </c>
      <c r="E622" s="2">
        <v>105</v>
      </c>
      <c r="F622" s="2">
        <v>2127.15</v>
      </c>
    </row>
    <row r="623" spans="3:6" x14ac:dyDescent="0.25">
      <c r="C623" s="2" t="s">
        <v>5857</v>
      </c>
      <c r="D623" s="2" t="s">
        <v>236</v>
      </c>
      <c r="E623" s="2">
        <v>25</v>
      </c>
      <c r="F623" s="2">
        <v>501.69</v>
      </c>
    </row>
    <row r="624" spans="3:6" x14ac:dyDescent="0.25">
      <c r="C624" s="2" t="s">
        <v>5858</v>
      </c>
      <c r="D624" s="2" t="s">
        <v>236</v>
      </c>
      <c r="E624" s="2">
        <v>80</v>
      </c>
      <c r="F624" s="2">
        <v>1612.2</v>
      </c>
    </row>
    <row r="625" spans="3:6" x14ac:dyDescent="0.25">
      <c r="C625" s="2" t="s">
        <v>5859</v>
      </c>
      <c r="D625" s="2" t="s">
        <v>236</v>
      </c>
      <c r="E625" s="2">
        <v>60</v>
      </c>
      <c r="F625" s="2">
        <v>1116.64</v>
      </c>
    </row>
    <row r="626" spans="3:6" x14ac:dyDescent="0.25">
      <c r="C626" s="2" t="s">
        <v>5860</v>
      </c>
      <c r="D626" s="2" t="s">
        <v>236</v>
      </c>
      <c r="E626" s="2">
        <v>45</v>
      </c>
      <c r="F626" s="2">
        <v>879.67</v>
      </c>
    </row>
    <row r="627" spans="3:6" x14ac:dyDescent="0.25">
      <c r="C627" s="2" t="s">
        <v>5861</v>
      </c>
      <c r="D627" s="2" t="s">
        <v>342</v>
      </c>
      <c r="E627" s="2">
        <v>75</v>
      </c>
      <c r="F627" s="2">
        <v>1435.62</v>
      </c>
    </row>
    <row r="628" spans="3:6" x14ac:dyDescent="0.25">
      <c r="C628" s="2" t="s">
        <v>5862</v>
      </c>
      <c r="D628" s="2" t="s">
        <v>342</v>
      </c>
      <c r="E628" s="2">
        <v>30</v>
      </c>
      <c r="F628" s="2">
        <v>498.01</v>
      </c>
    </row>
    <row r="629" spans="3:6" x14ac:dyDescent="0.25">
      <c r="C629" s="2" t="s">
        <v>5863</v>
      </c>
      <c r="D629" s="2" t="s">
        <v>347</v>
      </c>
      <c r="E629" s="2">
        <v>100</v>
      </c>
      <c r="F629" s="2">
        <v>1949.809</v>
      </c>
    </row>
    <row r="630" spans="3:6" x14ac:dyDescent="0.25">
      <c r="C630" s="2" t="s">
        <v>5864</v>
      </c>
      <c r="D630" s="2" t="s">
        <v>347</v>
      </c>
      <c r="E630" s="2">
        <v>56</v>
      </c>
      <c r="F630" s="2">
        <v>1102.49</v>
      </c>
    </row>
    <row r="631" spans="3:6" x14ac:dyDescent="0.25">
      <c r="C631" s="2" t="s">
        <v>5865</v>
      </c>
      <c r="D631" s="2" t="s">
        <v>347</v>
      </c>
      <c r="E631" s="2">
        <v>86</v>
      </c>
      <c r="F631" s="2">
        <v>1696.049</v>
      </c>
    </row>
    <row r="632" spans="3:6" x14ac:dyDescent="0.25">
      <c r="C632" s="2" t="s">
        <v>5866</v>
      </c>
      <c r="D632" s="2" t="s">
        <v>347</v>
      </c>
      <c r="E632" s="2">
        <v>48</v>
      </c>
      <c r="F632" s="2">
        <v>901.979</v>
      </c>
    </row>
    <row r="633" spans="3:6" x14ac:dyDescent="0.25">
      <c r="C633" s="2" t="s">
        <v>5867</v>
      </c>
      <c r="D633" s="2" t="s">
        <v>347</v>
      </c>
      <c r="E633" s="2">
        <v>38</v>
      </c>
      <c r="F633" s="2">
        <v>756.51</v>
      </c>
    </row>
    <row r="634" spans="3:6" x14ac:dyDescent="0.25">
      <c r="C634" s="2" t="s">
        <v>5868</v>
      </c>
      <c r="D634" s="2" t="s">
        <v>347</v>
      </c>
      <c r="E634" s="2">
        <v>50</v>
      </c>
      <c r="F634" s="2">
        <v>954.72</v>
      </c>
    </row>
    <row r="635" spans="3:6" x14ac:dyDescent="0.25">
      <c r="C635" s="2" t="s">
        <v>5869</v>
      </c>
      <c r="D635" s="2" t="s">
        <v>347</v>
      </c>
      <c r="E635" s="2">
        <v>17</v>
      </c>
      <c r="F635" s="2">
        <v>335.35</v>
      </c>
    </row>
    <row r="637" spans="2:7" x14ac:dyDescent="0.25">
      <c r="B637" s="2" t="s">
        <v>342</v>
      </c>
      <c r="C637" s="2" t="s">
        <v>5870</v>
      </c>
      <c r="D637" s="2" t="s">
        <v>342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5871</v>
      </c>
      <c r="D638" s="2" t="s">
        <v>342</v>
      </c>
      <c r="E638" s="2">
        <v>13</v>
      </c>
      <c r="F638" s="2">
        <v>253.06</v>
      </c>
    </row>
    <row r="639" spans="3:6" x14ac:dyDescent="0.25">
      <c r="C639" s="2" t="s">
        <v>5872</v>
      </c>
      <c r="D639" s="2" t="s">
        <v>342</v>
      </c>
      <c r="E639" s="2">
        <v>156</v>
      </c>
      <c r="F639" s="2">
        <v>3282.1</v>
      </c>
    </row>
    <row r="641" spans="2:7" x14ac:dyDescent="0.25">
      <c r="B641" s="2" t="s">
        <v>5873</v>
      </c>
      <c r="C641" s="2" t="s">
        <v>5874</v>
      </c>
      <c r="D641" s="2" t="s">
        <v>216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5875</v>
      </c>
      <c r="D642" s="2" t="s">
        <v>216</v>
      </c>
      <c r="E642" s="2">
        <v>156</v>
      </c>
      <c r="F642" s="2">
        <v>2786.057</v>
      </c>
    </row>
    <row r="643" spans="3:6" x14ac:dyDescent="0.25">
      <c r="C643" s="2" t="s">
        <v>5876</v>
      </c>
      <c r="D643" s="2" t="s">
        <v>216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18</v>
      </c>
      <c r="C645" s="2" t="s">
        <v>5877</v>
      </c>
      <c r="D645" s="2" t="s">
        <v>20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5878</v>
      </c>
      <c r="D646" s="2" t="s">
        <v>20</v>
      </c>
      <c r="E646" s="2">
        <v>142</v>
      </c>
      <c r="F646" s="2">
        <v>2810.319</v>
      </c>
    </row>
    <row r="647" spans="3:6" x14ac:dyDescent="0.25">
      <c r="C647" s="2" t="s">
        <v>5879</v>
      </c>
      <c r="D647" s="2" t="s">
        <v>20</v>
      </c>
      <c r="E647" s="2">
        <v>102</v>
      </c>
      <c r="F647" s="2">
        <v>1965.81</v>
      </c>
    </row>
    <row r="648" spans="3:6" x14ac:dyDescent="0.25">
      <c r="C648" s="2" t="s">
        <v>5880</v>
      </c>
      <c r="D648" s="2" t="s">
        <v>20</v>
      </c>
      <c r="E648" s="2">
        <v>281</v>
      </c>
      <c r="F648" s="2">
        <v>5550.01</v>
      </c>
    </row>
    <row r="649" spans="3:6" x14ac:dyDescent="0.25">
      <c r="C649" s="2" t="s">
        <v>5881</v>
      </c>
      <c r="D649" s="2" t="s">
        <v>20</v>
      </c>
      <c r="E649" s="2">
        <v>102</v>
      </c>
      <c r="F649" s="2">
        <v>2028.84</v>
      </c>
    </row>
    <row r="650" spans="3:6" x14ac:dyDescent="0.25">
      <c r="C650" s="2" t="s">
        <v>5882</v>
      </c>
      <c r="D650" s="2" t="s">
        <v>20</v>
      </c>
      <c r="E650" s="2">
        <v>102</v>
      </c>
      <c r="F650" s="2">
        <v>2126.78</v>
      </c>
    </row>
    <row r="651" spans="3:6" x14ac:dyDescent="0.25">
      <c r="C651" s="2" t="s">
        <v>5883</v>
      </c>
      <c r="D651" s="2" t="s">
        <v>20</v>
      </c>
      <c r="E651" s="2">
        <v>244</v>
      </c>
      <c r="F651" s="2">
        <v>4902.219</v>
      </c>
    </row>
    <row r="652" spans="3:6" x14ac:dyDescent="0.25">
      <c r="C652" s="2" t="s">
        <v>5884</v>
      </c>
      <c r="D652" s="2" t="s">
        <v>20</v>
      </c>
      <c r="E652" s="2">
        <v>141</v>
      </c>
      <c r="F652" s="2">
        <v>2813.109</v>
      </c>
    </row>
    <row r="653" spans="3:6" x14ac:dyDescent="0.25">
      <c r="C653" s="2" t="s">
        <v>5885</v>
      </c>
      <c r="D653" s="2" t="s">
        <v>20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324</v>
      </c>
      <c r="C655" s="2" t="s">
        <v>5886</v>
      </c>
      <c r="D655" s="2" t="s">
        <v>27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5887</v>
      </c>
      <c r="D656" s="2" t="s">
        <v>27</v>
      </c>
      <c r="E656" s="2">
        <v>44</v>
      </c>
      <c r="F656" s="2">
        <v>767.39</v>
      </c>
    </row>
    <row r="657" spans="3:6" x14ac:dyDescent="0.25">
      <c r="C657" s="2" t="s">
        <v>5888</v>
      </c>
      <c r="D657" s="2" t="s">
        <v>27</v>
      </c>
      <c r="E657" s="2">
        <v>87</v>
      </c>
      <c r="F657" s="2">
        <v>1777.93</v>
      </c>
    </row>
    <row r="658" spans="3:6" x14ac:dyDescent="0.25">
      <c r="C658" s="2" t="s">
        <v>5889</v>
      </c>
      <c r="D658" s="2" t="s">
        <v>27</v>
      </c>
      <c r="E658" s="2">
        <v>93</v>
      </c>
      <c r="F658" s="2">
        <v>1854.2</v>
      </c>
    </row>
    <row r="659" spans="3:6" x14ac:dyDescent="0.25">
      <c r="C659" s="2" t="s">
        <v>5890</v>
      </c>
      <c r="D659" s="2" t="s">
        <v>27</v>
      </c>
      <c r="E659" s="2">
        <v>89</v>
      </c>
      <c r="F659" s="2">
        <v>1802.77</v>
      </c>
    </row>
    <row r="660" spans="3:6" x14ac:dyDescent="0.25">
      <c r="C660" s="2" t="s">
        <v>5891</v>
      </c>
      <c r="D660" s="2" t="s">
        <v>27</v>
      </c>
      <c r="E660" s="2">
        <v>14</v>
      </c>
      <c r="F660" s="2">
        <v>257.1</v>
      </c>
    </row>
    <row r="661" spans="3:6" x14ac:dyDescent="0.25">
      <c r="C661" s="2" t="s">
        <v>5892</v>
      </c>
      <c r="D661" s="2" t="s">
        <v>27</v>
      </c>
      <c r="E661" s="2">
        <v>47</v>
      </c>
      <c r="F661" s="2">
        <v>769.929</v>
      </c>
    </row>
    <row r="662" spans="3:6" x14ac:dyDescent="0.25">
      <c r="C662" s="2" t="s">
        <v>5893</v>
      </c>
      <c r="D662" s="2" t="s">
        <v>27</v>
      </c>
      <c r="E662" s="2">
        <v>26</v>
      </c>
      <c r="F662" s="2">
        <v>549.46</v>
      </c>
    </row>
    <row r="663" spans="3:6" x14ac:dyDescent="0.25">
      <c r="C663" s="2" t="s">
        <v>5894</v>
      </c>
      <c r="D663" s="2" t="s">
        <v>27</v>
      </c>
      <c r="E663" s="2">
        <v>41</v>
      </c>
      <c r="F663" s="2">
        <v>756.809</v>
      </c>
    </row>
    <row r="664" spans="3:6" x14ac:dyDescent="0.25">
      <c r="C664" s="2" t="s">
        <v>5895</v>
      </c>
      <c r="D664" s="2" t="s">
        <v>27</v>
      </c>
      <c r="E664" s="2">
        <v>83</v>
      </c>
      <c r="F664" s="2">
        <v>1614.569</v>
      </c>
    </row>
    <row r="665" spans="3:6" x14ac:dyDescent="0.25">
      <c r="C665" s="2" t="s">
        <v>5896</v>
      </c>
      <c r="D665" s="2" t="s">
        <v>27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10</v>
      </c>
      <c r="C667" s="2" t="s">
        <v>5897</v>
      </c>
      <c r="D667" s="2" t="s">
        <v>12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5898</v>
      </c>
      <c r="D668" s="2" t="s">
        <v>12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238</v>
      </c>
      <c r="C670" s="2" t="s">
        <v>5899</v>
      </c>
      <c r="D670" s="2" t="s">
        <v>342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5900</v>
      </c>
      <c r="D671" s="2" t="s">
        <v>342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1101</v>
      </c>
      <c r="C673" s="2" t="s">
        <v>5901</v>
      </c>
      <c r="D673" s="2" t="s">
        <v>20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5902</v>
      </c>
      <c r="D674" s="2" t="s">
        <v>20</v>
      </c>
      <c r="E674" s="2">
        <v>63</v>
      </c>
      <c r="F674" s="2">
        <v>1417.091</v>
      </c>
    </row>
    <row r="675" spans="3:6" x14ac:dyDescent="0.25">
      <c r="C675" s="2" t="s">
        <v>5903</v>
      </c>
      <c r="D675" s="2" t="s">
        <v>20</v>
      </c>
      <c r="E675" s="2">
        <v>163</v>
      </c>
      <c r="F675" s="2">
        <v>3159.23</v>
      </c>
    </row>
    <row r="676" spans="3:6" x14ac:dyDescent="0.25">
      <c r="C676" s="2" t="s">
        <v>5904</v>
      </c>
      <c r="D676" s="2" t="s">
        <v>20</v>
      </c>
      <c r="E676" s="2">
        <v>163</v>
      </c>
      <c r="F676" s="2">
        <v>3120.94</v>
      </c>
    </row>
    <row r="677" spans="3:6" x14ac:dyDescent="0.25">
      <c r="C677" s="2" t="s">
        <v>5905</v>
      </c>
      <c r="D677" s="2" t="s">
        <v>20</v>
      </c>
      <c r="E677" s="2">
        <v>105</v>
      </c>
      <c r="F677" s="2">
        <v>2104.6</v>
      </c>
    </row>
    <row r="678" spans="3:6" x14ac:dyDescent="0.25">
      <c r="C678" s="2" t="s">
        <v>5906</v>
      </c>
      <c r="D678" s="2" t="s">
        <v>20</v>
      </c>
      <c r="E678" s="2">
        <v>163</v>
      </c>
      <c r="F678" s="2">
        <v>3057.959</v>
      </c>
    </row>
    <row r="679" spans="3:6" x14ac:dyDescent="0.25">
      <c r="C679" s="2" t="s">
        <v>5907</v>
      </c>
      <c r="D679" s="2" t="s">
        <v>20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10</v>
      </c>
      <c r="C681" s="2" t="s">
        <v>5908</v>
      </c>
      <c r="D681" s="2" t="s">
        <v>12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5909</v>
      </c>
      <c r="D682" s="2" t="s">
        <v>12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120</v>
      </c>
      <c r="C684" s="2" t="s">
        <v>5910</v>
      </c>
      <c r="D684" s="2" t="s">
        <v>42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5911</v>
      </c>
      <c r="D685" s="2" t="s">
        <v>42</v>
      </c>
      <c r="E685" s="2">
        <v>123</v>
      </c>
      <c r="F685" s="2">
        <v>2540.288</v>
      </c>
    </row>
    <row r="686" spans="3:6" x14ac:dyDescent="0.25">
      <c r="C686" s="2" t="s">
        <v>5912</v>
      </c>
      <c r="D686" s="2" t="s">
        <v>42</v>
      </c>
      <c r="E686" s="2">
        <v>60</v>
      </c>
      <c r="F686" s="2">
        <v>316.96</v>
      </c>
    </row>
    <row r="687" spans="3:6" x14ac:dyDescent="0.25">
      <c r="C687" s="2" t="s">
        <v>5913</v>
      </c>
      <c r="D687" s="2" t="s">
        <v>42</v>
      </c>
      <c r="E687" s="2">
        <v>141</v>
      </c>
      <c r="F687" s="2">
        <v>2703.64</v>
      </c>
    </row>
    <row r="688" spans="3:6" x14ac:dyDescent="0.25">
      <c r="C688" s="2" t="s">
        <v>5914</v>
      </c>
      <c r="D688" s="2" t="s">
        <v>42</v>
      </c>
      <c r="E688" s="2">
        <v>141</v>
      </c>
      <c r="F688" s="2">
        <v>3110.27</v>
      </c>
    </row>
    <row r="689" spans="3:6" x14ac:dyDescent="0.25">
      <c r="C689" s="2" t="s">
        <v>5915</v>
      </c>
      <c r="D689" s="2" t="s">
        <v>42</v>
      </c>
      <c r="E689" s="2">
        <v>131</v>
      </c>
      <c r="F689" s="2">
        <v>1840.745</v>
      </c>
    </row>
    <row r="690" spans="3:6" x14ac:dyDescent="0.25">
      <c r="C690" s="2" t="s">
        <v>5916</v>
      </c>
      <c r="D690" s="2" t="s">
        <v>42</v>
      </c>
      <c r="E690" s="2">
        <v>141</v>
      </c>
      <c r="F690" s="2">
        <v>2796.15</v>
      </c>
    </row>
    <row r="691" spans="3:6" x14ac:dyDescent="0.25">
      <c r="C691" s="2" t="s">
        <v>5917</v>
      </c>
      <c r="D691" s="2" t="s">
        <v>42</v>
      </c>
      <c r="E691" s="2">
        <v>65</v>
      </c>
      <c r="F691" s="2">
        <v>1318.969</v>
      </c>
    </row>
    <row r="692" spans="3:6" x14ac:dyDescent="0.25">
      <c r="C692" s="2" t="s">
        <v>5918</v>
      </c>
      <c r="D692" s="2" t="s">
        <v>42</v>
      </c>
      <c r="E692" s="2">
        <v>10</v>
      </c>
      <c r="F692" s="2">
        <v>198.61</v>
      </c>
    </row>
    <row r="693" spans="3:6" x14ac:dyDescent="0.25">
      <c r="C693" s="2" t="s">
        <v>5919</v>
      </c>
      <c r="D693" s="2" t="s">
        <v>42</v>
      </c>
      <c r="E693" s="2">
        <v>123</v>
      </c>
      <c r="F693" s="2">
        <v>2492.279</v>
      </c>
    </row>
    <row r="694" spans="3:6" x14ac:dyDescent="0.25">
      <c r="C694" s="2" t="s">
        <v>5920</v>
      </c>
      <c r="D694" s="2" t="s">
        <v>42</v>
      </c>
      <c r="E694" s="2">
        <v>141</v>
      </c>
      <c r="F694" s="2">
        <v>2779.63</v>
      </c>
    </row>
    <row r="695" spans="3:6" x14ac:dyDescent="0.25">
      <c r="C695" s="2" t="s">
        <v>5921</v>
      </c>
      <c r="D695" s="2" t="s">
        <v>42</v>
      </c>
      <c r="E695" s="2">
        <v>125</v>
      </c>
      <c r="F695" s="2">
        <v>2746.57</v>
      </c>
    </row>
    <row r="696" spans="3:6" x14ac:dyDescent="0.25">
      <c r="C696" s="2" t="s">
        <v>5922</v>
      </c>
      <c r="D696" s="2" t="s">
        <v>42</v>
      </c>
      <c r="E696" s="2">
        <v>16</v>
      </c>
      <c r="F696" s="2">
        <v>263.69</v>
      </c>
    </row>
    <row r="697" spans="3:6" x14ac:dyDescent="0.25">
      <c r="C697" s="2" t="s">
        <v>5923</v>
      </c>
      <c r="D697" s="2" t="s">
        <v>42</v>
      </c>
      <c r="E697" s="2">
        <v>141</v>
      </c>
      <c r="F697" s="2">
        <v>2699.06</v>
      </c>
    </row>
    <row r="698" spans="3:6" x14ac:dyDescent="0.25">
      <c r="C698" s="2" t="s">
        <v>5924</v>
      </c>
      <c r="D698" s="2" t="s">
        <v>42</v>
      </c>
      <c r="E698" s="2">
        <v>54</v>
      </c>
      <c r="F698" s="2">
        <v>1098.399</v>
      </c>
    </row>
    <row r="699" spans="3:6" x14ac:dyDescent="0.25">
      <c r="C699" s="2" t="s">
        <v>5925</v>
      </c>
      <c r="D699" s="2" t="s">
        <v>42</v>
      </c>
      <c r="E699" s="2">
        <v>38</v>
      </c>
      <c r="F699" s="2">
        <v>659.149</v>
      </c>
    </row>
    <row r="700" spans="3:6" x14ac:dyDescent="0.25">
      <c r="C700" s="2" t="s">
        <v>5926</v>
      </c>
      <c r="D700" s="2" t="s">
        <v>42</v>
      </c>
      <c r="E700" s="2">
        <v>100</v>
      </c>
      <c r="F700" s="2">
        <v>2040.509</v>
      </c>
    </row>
    <row r="701" spans="3:6" x14ac:dyDescent="0.25">
      <c r="C701" s="2" t="s">
        <v>5927</v>
      </c>
      <c r="D701" s="2" t="s">
        <v>42</v>
      </c>
      <c r="E701" s="2">
        <v>62</v>
      </c>
      <c r="F701" s="2">
        <v>1200.1</v>
      </c>
    </row>
    <row r="702" spans="3:6" x14ac:dyDescent="0.25">
      <c r="C702" s="2" t="s">
        <v>5928</v>
      </c>
      <c r="D702" s="2" t="s">
        <v>42</v>
      </c>
      <c r="E702" s="2">
        <v>36</v>
      </c>
      <c r="F702" s="2">
        <v>662.575</v>
      </c>
    </row>
    <row r="703" spans="3:6" x14ac:dyDescent="0.25">
      <c r="C703" s="2" t="s">
        <v>5929</v>
      </c>
      <c r="D703" s="2" t="s">
        <v>42</v>
      </c>
      <c r="E703" s="2">
        <v>40</v>
      </c>
      <c r="F703" s="2">
        <v>779.34</v>
      </c>
    </row>
    <row r="704" spans="3:6" x14ac:dyDescent="0.25">
      <c r="C704" s="2" t="s">
        <v>5930</v>
      </c>
      <c r="D704" s="2" t="s">
        <v>42</v>
      </c>
      <c r="E704" s="2">
        <v>17</v>
      </c>
      <c r="F704" s="2">
        <v>324.025</v>
      </c>
    </row>
    <row r="705" spans="3:6" x14ac:dyDescent="0.25">
      <c r="C705" s="2" t="s">
        <v>5931</v>
      </c>
      <c r="D705" s="2" t="s">
        <v>42</v>
      </c>
      <c r="E705" s="2">
        <v>42</v>
      </c>
      <c r="F705" s="2">
        <v>882.51</v>
      </c>
    </row>
    <row r="706" spans="3:6" x14ac:dyDescent="0.25">
      <c r="C706" s="2" t="s">
        <v>5932</v>
      </c>
      <c r="D706" s="2" t="s">
        <v>42</v>
      </c>
      <c r="E706" s="2">
        <v>42</v>
      </c>
      <c r="F706" s="2">
        <v>785.975</v>
      </c>
    </row>
    <row r="707" spans="3:6" x14ac:dyDescent="0.25">
      <c r="C707" s="2" t="s">
        <v>5933</v>
      </c>
      <c r="D707" s="2" t="s">
        <v>42</v>
      </c>
      <c r="E707" s="2">
        <v>21</v>
      </c>
      <c r="F707" s="2">
        <v>418.135</v>
      </c>
    </row>
    <row r="708" spans="3:6" x14ac:dyDescent="0.25">
      <c r="C708" s="2" t="s">
        <v>5934</v>
      </c>
      <c r="D708" s="2" t="s">
        <v>42</v>
      </c>
      <c r="E708" s="2">
        <v>61</v>
      </c>
      <c r="F708" s="2">
        <v>1151.393</v>
      </c>
    </row>
    <row r="709" spans="3:6" x14ac:dyDescent="0.25">
      <c r="C709" s="2" t="s">
        <v>5935</v>
      </c>
      <c r="D709" s="2" t="s">
        <v>42</v>
      </c>
      <c r="E709" s="2">
        <v>23</v>
      </c>
      <c r="F709" s="2">
        <v>496.879</v>
      </c>
    </row>
    <row r="710" spans="3:6" x14ac:dyDescent="0.25">
      <c r="C710" s="2" t="s">
        <v>5936</v>
      </c>
      <c r="D710" s="2" t="s">
        <v>42</v>
      </c>
      <c r="E710" s="2">
        <v>77</v>
      </c>
      <c r="F710" s="2">
        <v>1655.819</v>
      </c>
    </row>
    <row r="711" spans="3:6" x14ac:dyDescent="0.25">
      <c r="C711" s="2" t="s">
        <v>5937</v>
      </c>
      <c r="D711" s="2" t="s">
        <v>42</v>
      </c>
      <c r="E711" s="2">
        <v>90</v>
      </c>
      <c r="F711" s="2">
        <v>1771.21</v>
      </c>
    </row>
    <row r="712" spans="3:6" x14ac:dyDescent="0.25">
      <c r="C712" s="2" t="s">
        <v>5938</v>
      </c>
      <c r="D712" s="2" t="s">
        <v>42</v>
      </c>
      <c r="E712" s="2">
        <v>51</v>
      </c>
      <c r="F712" s="2">
        <v>885.5</v>
      </c>
    </row>
    <row r="713" spans="3:6" x14ac:dyDescent="0.25">
      <c r="C713" s="2" t="s">
        <v>5939</v>
      </c>
      <c r="D713" s="2" t="s">
        <v>42</v>
      </c>
      <c r="E713" s="2">
        <v>45</v>
      </c>
      <c r="F713" s="2">
        <v>223.71</v>
      </c>
    </row>
    <row r="714" spans="3:6" x14ac:dyDescent="0.25">
      <c r="C714" s="2" t="s">
        <v>5940</v>
      </c>
      <c r="D714" s="2" t="s">
        <v>42</v>
      </c>
      <c r="E714" s="2">
        <v>39</v>
      </c>
      <c r="F714" s="2">
        <v>915.92</v>
      </c>
    </row>
    <row r="715" spans="3:6" x14ac:dyDescent="0.25">
      <c r="C715" s="2" t="s">
        <v>5941</v>
      </c>
      <c r="D715" s="2" t="s">
        <v>42</v>
      </c>
      <c r="E715" s="2">
        <v>134</v>
      </c>
      <c r="F715" s="2">
        <v>3020.23</v>
      </c>
    </row>
    <row r="716" spans="3:6" x14ac:dyDescent="0.25">
      <c r="C716" s="2" t="s">
        <v>5942</v>
      </c>
      <c r="D716" s="2" t="s">
        <v>42</v>
      </c>
      <c r="E716" s="2">
        <v>37</v>
      </c>
      <c r="F716" s="2">
        <v>732.03</v>
      </c>
    </row>
    <row r="717" spans="3:6" x14ac:dyDescent="0.25">
      <c r="C717" s="2" t="s">
        <v>5943</v>
      </c>
      <c r="D717" s="2" t="s">
        <v>42</v>
      </c>
      <c r="E717" s="2">
        <v>63</v>
      </c>
      <c r="F717" s="2">
        <v>1255.95</v>
      </c>
    </row>
    <row r="718" spans="3:6" x14ac:dyDescent="0.25">
      <c r="C718" s="2" t="s">
        <v>5944</v>
      </c>
      <c r="D718" s="2" t="s">
        <v>42</v>
      </c>
      <c r="E718" s="2">
        <v>69</v>
      </c>
      <c r="F718" s="2">
        <v>1331.03</v>
      </c>
    </row>
    <row r="719" spans="3:6" x14ac:dyDescent="0.25">
      <c r="C719" s="2" t="s">
        <v>5945</v>
      </c>
      <c r="D719" s="2" t="s">
        <v>42</v>
      </c>
      <c r="E719" s="2">
        <v>33</v>
      </c>
      <c r="F719" s="2">
        <v>648.06</v>
      </c>
    </row>
    <row r="720" spans="3:6" x14ac:dyDescent="0.25">
      <c r="C720" s="2" t="s">
        <v>5946</v>
      </c>
      <c r="D720" s="2" t="s">
        <v>42</v>
      </c>
      <c r="E720" s="2">
        <v>60</v>
      </c>
      <c r="F720" s="2">
        <v>818.467</v>
      </c>
    </row>
    <row r="721" spans="3:6" x14ac:dyDescent="0.25">
      <c r="C721" s="2" t="s">
        <v>5947</v>
      </c>
      <c r="D721" s="2" t="s">
        <v>42</v>
      </c>
      <c r="E721" s="2">
        <v>30</v>
      </c>
      <c r="F721" s="2">
        <v>569.47</v>
      </c>
    </row>
    <row r="722" spans="3:6" x14ac:dyDescent="0.25">
      <c r="C722" s="2" t="s">
        <v>5948</v>
      </c>
      <c r="D722" s="2" t="s">
        <v>42</v>
      </c>
      <c r="E722" s="2">
        <v>45</v>
      </c>
      <c r="F722" s="2">
        <v>224.43</v>
      </c>
    </row>
    <row r="723" spans="3:6" x14ac:dyDescent="0.25">
      <c r="C723" s="2" t="s">
        <v>5949</v>
      </c>
      <c r="D723" s="2" t="s">
        <v>42</v>
      </c>
      <c r="E723" s="2">
        <v>11</v>
      </c>
      <c r="F723" s="2">
        <v>221.6</v>
      </c>
    </row>
    <row r="724" spans="3:6" x14ac:dyDescent="0.25">
      <c r="C724" s="2" t="s">
        <v>5950</v>
      </c>
      <c r="D724" s="2" t="s">
        <v>42</v>
      </c>
      <c r="E724" s="2">
        <v>130</v>
      </c>
      <c r="F724" s="2">
        <v>2625.28</v>
      </c>
    </row>
    <row r="725" spans="3:6" x14ac:dyDescent="0.25">
      <c r="C725" s="2" t="s">
        <v>5951</v>
      </c>
      <c r="D725" s="2" t="s">
        <v>42</v>
      </c>
      <c r="E725" s="2">
        <v>64</v>
      </c>
      <c r="F725" s="2">
        <v>1396.54</v>
      </c>
    </row>
    <row r="726" spans="3:6" x14ac:dyDescent="0.25">
      <c r="C726" s="2" t="s">
        <v>5952</v>
      </c>
      <c r="D726" s="2" t="s">
        <v>42</v>
      </c>
      <c r="E726" s="2">
        <v>74</v>
      </c>
      <c r="F726" s="2">
        <v>1441.52</v>
      </c>
    </row>
    <row r="727" spans="3:6" x14ac:dyDescent="0.25">
      <c r="C727" s="2" t="s">
        <v>5953</v>
      </c>
      <c r="D727" s="2" t="s">
        <v>42</v>
      </c>
      <c r="E727" s="2">
        <v>52</v>
      </c>
      <c r="F727" s="2">
        <v>1106.5</v>
      </c>
    </row>
    <row r="728" spans="3:6" x14ac:dyDescent="0.25">
      <c r="C728" s="2" t="s">
        <v>5954</v>
      </c>
      <c r="D728" s="2" t="s">
        <v>42</v>
      </c>
      <c r="E728" s="2">
        <v>72</v>
      </c>
      <c r="F728" s="2">
        <v>1509.59</v>
      </c>
    </row>
    <row r="729" spans="3:6" x14ac:dyDescent="0.25">
      <c r="C729" s="2" t="s">
        <v>5955</v>
      </c>
      <c r="D729" s="2" t="s">
        <v>42</v>
      </c>
      <c r="E729" s="2">
        <v>25</v>
      </c>
      <c r="F729" s="2">
        <v>526.17</v>
      </c>
    </row>
    <row r="730" spans="3:6" x14ac:dyDescent="0.25">
      <c r="C730" s="2" t="s">
        <v>5956</v>
      </c>
      <c r="D730" s="2" t="s">
        <v>42</v>
      </c>
      <c r="E730" s="2">
        <v>42</v>
      </c>
      <c r="F730" s="2">
        <v>875.4</v>
      </c>
    </row>
    <row r="731" spans="3:6" x14ac:dyDescent="0.25">
      <c r="C731" s="2" t="s">
        <v>5957</v>
      </c>
      <c r="D731" s="2" t="s">
        <v>42</v>
      </c>
      <c r="E731" s="2">
        <v>26</v>
      </c>
      <c r="F731" s="2">
        <v>566.9</v>
      </c>
    </row>
    <row r="732" spans="3:6" x14ac:dyDescent="0.25">
      <c r="C732" s="2" t="s">
        <v>5958</v>
      </c>
      <c r="D732" s="2" t="s">
        <v>42</v>
      </c>
      <c r="E732" s="2">
        <v>41</v>
      </c>
      <c r="F732" s="2">
        <v>804.79</v>
      </c>
    </row>
    <row r="733" spans="3:6" x14ac:dyDescent="0.25">
      <c r="C733" s="2" t="s">
        <v>5959</v>
      </c>
      <c r="D733" s="2" t="s">
        <v>42</v>
      </c>
      <c r="E733" s="2">
        <v>2</v>
      </c>
      <c r="F733" s="2">
        <v>14.25</v>
      </c>
    </row>
    <row r="734" spans="3:6" x14ac:dyDescent="0.25">
      <c r="C734" s="2" t="s">
        <v>5960</v>
      </c>
      <c r="D734" s="2" t="s">
        <v>42</v>
      </c>
      <c r="E734" s="2">
        <v>18</v>
      </c>
      <c r="F734" s="2">
        <v>327.85</v>
      </c>
    </row>
    <row r="735" spans="3:6" x14ac:dyDescent="0.25">
      <c r="C735" s="2" t="s">
        <v>5961</v>
      </c>
      <c r="D735" s="2" t="s">
        <v>42</v>
      </c>
      <c r="E735" s="2">
        <v>37</v>
      </c>
      <c r="F735" s="2">
        <v>780.21</v>
      </c>
    </row>
    <row r="736" spans="3:6" x14ac:dyDescent="0.25">
      <c r="C736" s="2" t="s">
        <v>5962</v>
      </c>
      <c r="D736" s="2" t="s">
        <v>42</v>
      </c>
      <c r="E736" s="2">
        <v>62</v>
      </c>
      <c r="F736" s="2">
        <v>850.798</v>
      </c>
    </row>
    <row r="737" spans="3:6" x14ac:dyDescent="0.25">
      <c r="C737" s="2" t="s">
        <v>5963</v>
      </c>
      <c r="D737" s="2" t="s">
        <v>42</v>
      </c>
      <c r="E737" s="2">
        <v>80</v>
      </c>
      <c r="F737" s="2">
        <v>1610.24</v>
      </c>
    </row>
    <row r="738" spans="3:6" x14ac:dyDescent="0.25">
      <c r="C738" s="2" t="s">
        <v>5964</v>
      </c>
      <c r="D738" s="2" t="s">
        <v>42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212</v>
      </c>
      <c r="C740" s="2" t="s">
        <v>5965</v>
      </c>
      <c r="D740" s="2" t="s">
        <v>204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5966</v>
      </c>
      <c r="D741" s="2" t="s">
        <v>204</v>
      </c>
      <c r="E741" s="2">
        <v>72</v>
      </c>
      <c r="F741" s="2">
        <v>1462.33</v>
      </c>
    </row>
    <row r="742" spans="3:6" x14ac:dyDescent="0.25">
      <c r="C742" s="2" t="s">
        <v>5967</v>
      </c>
      <c r="D742" s="2" t="s">
        <v>236</v>
      </c>
      <c r="E742" s="2">
        <v>25</v>
      </c>
      <c r="F742" s="2">
        <v>527.31</v>
      </c>
    </row>
    <row r="743" spans="3:6" x14ac:dyDescent="0.25">
      <c r="C743" s="2" t="s">
        <v>5968</v>
      </c>
      <c r="D743" s="2" t="s">
        <v>236</v>
      </c>
      <c r="E743" s="2">
        <v>80</v>
      </c>
      <c r="F743" s="2">
        <v>1621.12</v>
      </c>
    </row>
    <row r="744" spans="3:6" x14ac:dyDescent="0.25">
      <c r="C744" s="2" t="s">
        <v>5969</v>
      </c>
      <c r="D744" s="2" t="s">
        <v>236</v>
      </c>
      <c r="E744" s="2">
        <v>45</v>
      </c>
      <c r="F744" s="2">
        <v>815.959</v>
      </c>
    </row>
    <row r="745" spans="3:6" x14ac:dyDescent="0.25">
      <c r="C745" s="2" t="s">
        <v>5970</v>
      </c>
      <c r="D745" s="2" t="s">
        <v>236</v>
      </c>
      <c r="E745" s="2">
        <v>60</v>
      </c>
      <c r="F745" s="2">
        <v>1133.35</v>
      </c>
    </row>
    <row r="746" spans="3:6" x14ac:dyDescent="0.25">
      <c r="C746" s="2" t="s">
        <v>5971</v>
      </c>
      <c r="D746" s="2" t="s">
        <v>214</v>
      </c>
      <c r="E746" s="2">
        <v>105</v>
      </c>
      <c r="F746" s="2">
        <v>2140.95</v>
      </c>
    </row>
    <row r="747" spans="3:6" x14ac:dyDescent="0.25">
      <c r="C747" s="2" t="s">
        <v>5972</v>
      </c>
      <c r="D747" s="2" t="s">
        <v>216</v>
      </c>
      <c r="E747" s="2">
        <v>134</v>
      </c>
      <c r="F747" s="2">
        <v>2646.58</v>
      </c>
    </row>
    <row r="748" spans="3:6" x14ac:dyDescent="0.25">
      <c r="C748" s="2" t="s">
        <v>5973</v>
      </c>
      <c r="D748" s="2" t="s">
        <v>216</v>
      </c>
      <c r="E748" s="2">
        <v>134</v>
      </c>
      <c r="F748" s="2">
        <v>2687.6</v>
      </c>
    </row>
    <row r="749" spans="3:6" x14ac:dyDescent="0.25">
      <c r="C749" s="2" t="s">
        <v>5974</v>
      </c>
      <c r="D749" s="2" t="s">
        <v>216</v>
      </c>
      <c r="E749" s="2">
        <v>134</v>
      </c>
      <c r="F749" s="2">
        <v>2822.47</v>
      </c>
    </row>
    <row r="750" spans="3:6" x14ac:dyDescent="0.25">
      <c r="C750" s="2" t="s">
        <v>5975</v>
      </c>
      <c r="D750" s="2" t="s">
        <v>216</v>
      </c>
      <c r="E750" s="2">
        <v>134</v>
      </c>
      <c r="F750" s="2">
        <v>2828.32</v>
      </c>
    </row>
    <row r="751" spans="3:6" x14ac:dyDescent="0.25">
      <c r="C751" s="2" t="s">
        <v>5976</v>
      </c>
      <c r="D751" s="2" t="s">
        <v>216</v>
      </c>
      <c r="E751" s="2">
        <v>134</v>
      </c>
      <c r="F751" s="2">
        <v>2629.838</v>
      </c>
    </row>
    <row r="752" spans="3:6" x14ac:dyDescent="0.25">
      <c r="C752" s="2" t="s">
        <v>5977</v>
      </c>
      <c r="D752" s="2" t="s">
        <v>216</v>
      </c>
      <c r="E752" s="2">
        <v>134</v>
      </c>
      <c r="F752" s="2">
        <v>2583.97</v>
      </c>
    </row>
    <row r="753" spans="3:6" x14ac:dyDescent="0.25">
      <c r="C753" s="2" t="s">
        <v>5978</v>
      </c>
      <c r="D753" s="2" t="s">
        <v>204</v>
      </c>
      <c r="E753" s="2">
        <v>163</v>
      </c>
      <c r="F753" s="2">
        <v>2982.11</v>
      </c>
    </row>
    <row r="754" spans="3:6" x14ac:dyDescent="0.25">
      <c r="C754" s="2" t="s">
        <v>5979</v>
      </c>
      <c r="D754" s="2" t="s">
        <v>204</v>
      </c>
      <c r="E754" s="2">
        <v>163</v>
      </c>
      <c r="F754" s="2">
        <v>3109.209</v>
      </c>
    </row>
    <row r="755" spans="3:6" x14ac:dyDescent="0.25">
      <c r="C755" s="2" t="s">
        <v>5980</v>
      </c>
      <c r="D755" s="2" t="s">
        <v>204</v>
      </c>
      <c r="E755" s="2">
        <v>163</v>
      </c>
      <c r="F755" s="2">
        <v>3171.37</v>
      </c>
    </row>
    <row r="756" spans="3:6" x14ac:dyDescent="0.25">
      <c r="C756" s="2" t="s">
        <v>5981</v>
      </c>
      <c r="D756" s="2" t="s">
        <v>204</v>
      </c>
      <c r="E756" s="2">
        <v>163</v>
      </c>
      <c r="F756" s="2">
        <v>3189.75</v>
      </c>
    </row>
    <row r="757" spans="3:6" x14ac:dyDescent="0.25">
      <c r="C757" s="2" t="s">
        <v>5982</v>
      </c>
      <c r="D757" s="2" t="s">
        <v>204</v>
      </c>
      <c r="E757" s="2">
        <v>163</v>
      </c>
      <c r="F757" s="2">
        <v>3119.39</v>
      </c>
    </row>
    <row r="758" spans="3:6" x14ac:dyDescent="0.25">
      <c r="C758" s="2" t="s">
        <v>5983</v>
      </c>
      <c r="D758" s="2" t="s">
        <v>204</v>
      </c>
      <c r="E758" s="2">
        <v>163</v>
      </c>
      <c r="F758" s="2">
        <v>3158.48</v>
      </c>
    </row>
    <row r="759" spans="3:6" x14ac:dyDescent="0.25">
      <c r="C759" s="2" t="s">
        <v>5984</v>
      </c>
      <c r="D759" s="2" t="s">
        <v>204</v>
      </c>
      <c r="E759" s="2">
        <v>163</v>
      </c>
      <c r="F759" s="2">
        <v>3132.7</v>
      </c>
    </row>
    <row r="760" spans="3:6" x14ac:dyDescent="0.25">
      <c r="C760" s="2" t="s">
        <v>5985</v>
      </c>
      <c r="D760" s="2" t="s">
        <v>204</v>
      </c>
      <c r="E760" s="2">
        <v>163</v>
      </c>
      <c r="F760" s="2">
        <v>3231.23</v>
      </c>
    </row>
    <row r="761" spans="3:6" x14ac:dyDescent="0.25">
      <c r="C761" s="2" t="s">
        <v>5986</v>
      </c>
      <c r="D761" s="2" t="s">
        <v>204</v>
      </c>
      <c r="E761" s="2">
        <v>163</v>
      </c>
      <c r="F761" s="2">
        <v>2967.24</v>
      </c>
    </row>
    <row r="762" spans="3:6" x14ac:dyDescent="0.25">
      <c r="C762" s="2" t="s">
        <v>5987</v>
      </c>
      <c r="D762" s="2" t="s">
        <v>204</v>
      </c>
      <c r="E762" s="2">
        <v>36</v>
      </c>
      <c r="F762" s="2">
        <v>722.249</v>
      </c>
    </row>
    <row r="763" spans="3:6" x14ac:dyDescent="0.25">
      <c r="C763" s="2" t="s">
        <v>5988</v>
      </c>
      <c r="D763" s="2" t="s">
        <v>204</v>
      </c>
      <c r="E763" s="2">
        <v>163</v>
      </c>
      <c r="F763" s="2">
        <v>3147.07</v>
      </c>
    </row>
    <row r="764" spans="3:6" x14ac:dyDescent="0.25">
      <c r="C764" s="2" t="s">
        <v>5989</v>
      </c>
      <c r="D764" s="2" t="s">
        <v>204</v>
      </c>
      <c r="E764" s="2">
        <v>163</v>
      </c>
      <c r="F764" s="2">
        <v>3192.749</v>
      </c>
    </row>
    <row r="765" spans="3:6" x14ac:dyDescent="0.25">
      <c r="C765" s="2" t="s">
        <v>5990</v>
      </c>
      <c r="D765" s="2" t="s">
        <v>204</v>
      </c>
      <c r="E765" s="2">
        <v>163</v>
      </c>
      <c r="F765" s="2">
        <v>3006.727</v>
      </c>
    </row>
    <row r="766" spans="3:6" x14ac:dyDescent="0.25">
      <c r="C766" s="2" t="s">
        <v>5991</v>
      </c>
      <c r="D766" s="2" t="s">
        <v>236</v>
      </c>
      <c r="E766" s="2">
        <v>45</v>
      </c>
      <c r="F766" s="2">
        <v>867.06</v>
      </c>
    </row>
    <row r="767" spans="3:6" x14ac:dyDescent="0.25">
      <c r="C767" s="2" t="s">
        <v>5992</v>
      </c>
      <c r="D767" s="2" t="s">
        <v>236</v>
      </c>
      <c r="E767" s="2">
        <v>60</v>
      </c>
      <c r="F767" s="2">
        <v>1206.45</v>
      </c>
    </row>
    <row r="768" spans="3:6" x14ac:dyDescent="0.25">
      <c r="C768" s="2" t="s">
        <v>5993</v>
      </c>
      <c r="D768" s="2" t="s">
        <v>204</v>
      </c>
      <c r="E768" s="2">
        <v>33</v>
      </c>
      <c r="F768" s="2">
        <v>628</v>
      </c>
    </row>
    <row r="770" spans="2:7" x14ac:dyDescent="0.25">
      <c r="B770" s="2" t="s">
        <v>2077</v>
      </c>
      <c r="C770" s="2" t="s">
        <v>5994</v>
      </c>
      <c r="D770" s="2" t="s">
        <v>297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5995</v>
      </c>
      <c r="D771" s="2" t="s">
        <v>216</v>
      </c>
      <c r="E771" s="2">
        <v>156</v>
      </c>
      <c r="F771" s="2">
        <v>2802.688</v>
      </c>
    </row>
    <row r="772" spans="3:6" x14ac:dyDescent="0.25">
      <c r="C772" s="2" t="s">
        <v>5996</v>
      </c>
      <c r="D772" s="2" t="s">
        <v>297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335</v>
      </c>
      <c r="C774" s="2" t="s">
        <v>5997</v>
      </c>
      <c r="D774" s="2" t="s">
        <v>20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2375</v>
      </c>
      <c r="C776" s="2" t="s">
        <v>5998</v>
      </c>
      <c r="D776" s="2" t="s">
        <v>342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1434</v>
      </c>
      <c r="C778" s="2" t="s">
        <v>5999</v>
      </c>
      <c r="D778" s="2" t="s">
        <v>122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6000</v>
      </c>
      <c r="D779" s="2" t="s">
        <v>122</v>
      </c>
      <c r="E779" s="2">
        <v>12</v>
      </c>
      <c r="F779" s="2">
        <v>201.29</v>
      </c>
    </row>
    <row r="780" spans="3:6" x14ac:dyDescent="0.25">
      <c r="C780" s="2" t="s">
        <v>6001</v>
      </c>
      <c r="D780" s="2" t="s">
        <v>122</v>
      </c>
      <c r="E780" s="2">
        <v>43</v>
      </c>
      <c r="F780" s="2">
        <v>867.74</v>
      </c>
    </row>
    <row r="781" spans="3:6" x14ac:dyDescent="0.25">
      <c r="C781" s="2" t="s">
        <v>6002</v>
      </c>
      <c r="D781" s="2" t="s">
        <v>122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172</v>
      </c>
      <c r="C783" s="2" t="s">
        <v>6003</v>
      </c>
      <c r="D783" s="2" t="s">
        <v>122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6004</v>
      </c>
      <c r="D784" s="2" t="s">
        <v>122</v>
      </c>
      <c r="E784" s="2">
        <v>141</v>
      </c>
      <c r="F784" s="2">
        <v>2863.96</v>
      </c>
    </row>
    <row r="785" spans="3:6" x14ac:dyDescent="0.25">
      <c r="C785" s="2" t="s">
        <v>6005</v>
      </c>
      <c r="D785" s="2" t="s">
        <v>122</v>
      </c>
      <c r="E785" s="2">
        <v>141</v>
      </c>
      <c r="F785" s="2">
        <v>2862.548</v>
      </c>
    </row>
    <row r="786" spans="3:6" x14ac:dyDescent="0.25">
      <c r="C786" s="2" t="s">
        <v>6006</v>
      </c>
      <c r="D786" s="2" t="s">
        <v>122</v>
      </c>
      <c r="E786" s="2">
        <v>141</v>
      </c>
      <c r="F786" s="2">
        <v>2760.849</v>
      </c>
    </row>
    <row r="787" spans="3:6" x14ac:dyDescent="0.25">
      <c r="C787" s="2" t="s">
        <v>6007</v>
      </c>
      <c r="D787" s="2" t="s">
        <v>122</v>
      </c>
      <c r="E787" s="2">
        <v>141</v>
      </c>
      <c r="F787" s="2">
        <v>2707.948</v>
      </c>
    </row>
    <row r="788" spans="3:6" x14ac:dyDescent="0.25">
      <c r="C788" s="2" t="s">
        <v>6008</v>
      </c>
      <c r="D788" s="2" t="s">
        <v>122</v>
      </c>
      <c r="E788" s="2">
        <v>141</v>
      </c>
      <c r="F788" s="2">
        <v>2908.64</v>
      </c>
    </row>
    <row r="789" spans="3:6" x14ac:dyDescent="0.25">
      <c r="C789" s="2" t="s">
        <v>6009</v>
      </c>
      <c r="D789" s="2" t="s">
        <v>122</v>
      </c>
      <c r="E789" s="2">
        <v>102</v>
      </c>
      <c r="F789" s="2">
        <v>2026.98</v>
      </c>
    </row>
    <row r="790" spans="3:6" x14ac:dyDescent="0.25">
      <c r="C790" s="2" t="s">
        <v>6010</v>
      </c>
      <c r="D790" s="2" t="s">
        <v>122</v>
      </c>
      <c r="E790" s="2">
        <v>74</v>
      </c>
      <c r="F790" s="2">
        <v>329.197</v>
      </c>
    </row>
    <row r="791" spans="3:6" x14ac:dyDescent="0.25">
      <c r="C791" s="2" t="s">
        <v>6011</v>
      </c>
      <c r="D791" s="2" t="s">
        <v>122</v>
      </c>
      <c r="E791" s="2">
        <v>52</v>
      </c>
      <c r="F791" s="2">
        <v>1076.3</v>
      </c>
    </row>
    <row r="792" spans="3:6" x14ac:dyDescent="0.25">
      <c r="C792" s="2" t="s">
        <v>6012</v>
      </c>
      <c r="D792" s="2" t="s">
        <v>122</v>
      </c>
      <c r="E792" s="2">
        <v>50</v>
      </c>
      <c r="F792" s="2">
        <v>1021.36</v>
      </c>
    </row>
    <row r="793" spans="3:6" x14ac:dyDescent="0.25">
      <c r="C793" s="2" t="s">
        <v>6013</v>
      </c>
      <c r="D793" s="2" t="s">
        <v>122</v>
      </c>
      <c r="E793" s="2">
        <v>141</v>
      </c>
      <c r="F793" s="2">
        <v>2855.88</v>
      </c>
    </row>
    <row r="794" spans="3:6" x14ac:dyDescent="0.25">
      <c r="C794" s="2" t="s">
        <v>6014</v>
      </c>
      <c r="D794" s="2" t="s">
        <v>122</v>
      </c>
      <c r="E794" s="2">
        <v>30</v>
      </c>
      <c r="F794" s="2">
        <v>614.01</v>
      </c>
    </row>
    <row r="795" spans="3:6" x14ac:dyDescent="0.25">
      <c r="C795" s="2" t="s">
        <v>6015</v>
      </c>
      <c r="D795" s="2" t="s">
        <v>122</v>
      </c>
      <c r="E795" s="2">
        <v>43</v>
      </c>
      <c r="F795" s="2">
        <v>869.98</v>
      </c>
    </row>
    <row r="796" spans="3:6" x14ac:dyDescent="0.25">
      <c r="C796" s="2" t="s">
        <v>6016</v>
      </c>
      <c r="D796" s="2" t="s">
        <v>122</v>
      </c>
      <c r="E796" s="2">
        <v>68</v>
      </c>
      <c r="F796" s="2">
        <v>1431.61</v>
      </c>
    </row>
    <row r="797" spans="3:6" x14ac:dyDescent="0.25">
      <c r="C797" s="2" t="s">
        <v>6017</v>
      </c>
      <c r="D797" s="2" t="s">
        <v>122</v>
      </c>
      <c r="E797" s="2">
        <v>75</v>
      </c>
      <c r="F797" s="2">
        <v>1570.99</v>
      </c>
    </row>
    <row r="798" spans="3:6" x14ac:dyDescent="0.25">
      <c r="C798" s="2" t="s">
        <v>6018</v>
      </c>
      <c r="D798" s="2" t="s">
        <v>122</v>
      </c>
      <c r="E798" s="2">
        <v>72</v>
      </c>
      <c r="F798" s="2">
        <v>1377.22</v>
      </c>
    </row>
    <row r="799" spans="3:6" x14ac:dyDescent="0.25">
      <c r="C799" s="2" t="s">
        <v>6019</v>
      </c>
      <c r="D799" s="2" t="s">
        <v>122</v>
      </c>
      <c r="E799" s="2">
        <v>29</v>
      </c>
      <c r="F799" s="2">
        <v>501.28</v>
      </c>
    </row>
    <row r="800" spans="3:6" x14ac:dyDescent="0.25">
      <c r="C800" s="2" t="s">
        <v>6020</v>
      </c>
      <c r="D800" s="2" t="s">
        <v>122</v>
      </c>
      <c r="E800" s="2">
        <v>20</v>
      </c>
      <c r="F800" s="2">
        <v>393.39</v>
      </c>
    </row>
    <row r="801" spans="3:6" x14ac:dyDescent="0.25">
      <c r="C801" s="2" t="s">
        <v>6021</v>
      </c>
      <c r="D801" s="2" t="s">
        <v>122</v>
      </c>
      <c r="E801" s="2">
        <v>30</v>
      </c>
      <c r="F801" s="2">
        <v>508.62</v>
      </c>
    </row>
    <row r="802" spans="3:6" x14ac:dyDescent="0.25">
      <c r="C802" s="2" t="s">
        <v>6022</v>
      </c>
      <c r="D802" s="2" t="s">
        <v>122</v>
      </c>
      <c r="E802" s="2">
        <v>31</v>
      </c>
      <c r="F802" s="2">
        <v>627.36</v>
      </c>
    </row>
    <row r="803" spans="3:6" x14ac:dyDescent="0.25">
      <c r="C803" s="2" t="s">
        <v>6023</v>
      </c>
      <c r="D803" s="2" t="s">
        <v>122</v>
      </c>
      <c r="E803" s="2">
        <v>15</v>
      </c>
      <c r="F803" s="2">
        <v>319.41</v>
      </c>
    </row>
    <row r="804" spans="3:6" x14ac:dyDescent="0.25">
      <c r="C804" s="2" t="s">
        <v>6024</v>
      </c>
      <c r="D804" s="2" t="s">
        <v>122</v>
      </c>
      <c r="E804" s="2">
        <v>45</v>
      </c>
      <c r="F804" s="2">
        <v>902.88</v>
      </c>
    </row>
    <row r="805" spans="3:6" x14ac:dyDescent="0.25">
      <c r="C805" s="2" t="s">
        <v>6025</v>
      </c>
      <c r="D805" s="2" t="s">
        <v>122</v>
      </c>
      <c r="E805" s="2">
        <v>50</v>
      </c>
      <c r="F805" s="2">
        <v>1070.17</v>
      </c>
    </row>
    <row r="806" spans="3:6" x14ac:dyDescent="0.25">
      <c r="C806" s="2" t="s">
        <v>6026</v>
      </c>
      <c r="D806" s="2" t="s">
        <v>122</v>
      </c>
      <c r="E806" s="2">
        <v>50</v>
      </c>
      <c r="F806" s="2">
        <v>1019.73</v>
      </c>
    </row>
    <row r="807" spans="3:6" x14ac:dyDescent="0.25">
      <c r="C807" s="2" t="s">
        <v>6027</v>
      </c>
      <c r="D807" s="2" t="s">
        <v>122</v>
      </c>
      <c r="E807" s="2">
        <v>21</v>
      </c>
      <c r="F807" s="2">
        <v>405.44</v>
      </c>
    </row>
    <row r="808" spans="3:6" x14ac:dyDescent="0.25">
      <c r="C808" s="2" t="s">
        <v>6028</v>
      </c>
      <c r="D808" s="2" t="s">
        <v>122</v>
      </c>
      <c r="E808" s="2">
        <v>15</v>
      </c>
      <c r="F808" s="2">
        <v>286.76</v>
      </c>
    </row>
    <row r="809" spans="3:6" x14ac:dyDescent="0.25">
      <c r="C809" s="2" t="s">
        <v>6029</v>
      </c>
      <c r="D809" s="2" t="s">
        <v>122</v>
      </c>
      <c r="E809" s="2">
        <v>8</v>
      </c>
      <c r="F809" s="2">
        <v>158.94</v>
      </c>
    </row>
    <row r="810" spans="3:6" x14ac:dyDescent="0.25">
      <c r="C810" s="2" t="s">
        <v>6030</v>
      </c>
      <c r="D810" s="2" t="s">
        <v>122</v>
      </c>
      <c r="E810" s="2">
        <v>47</v>
      </c>
      <c r="F810" s="2">
        <v>922.57</v>
      </c>
    </row>
    <row r="811" spans="3:6" x14ac:dyDescent="0.25">
      <c r="C811" s="2" t="s">
        <v>6031</v>
      </c>
      <c r="D811" s="2" t="s">
        <v>122</v>
      </c>
      <c r="E811" s="2">
        <v>32</v>
      </c>
      <c r="F811" s="2">
        <v>553.25</v>
      </c>
    </row>
    <row r="812" spans="3:6" x14ac:dyDescent="0.25">
      <c r="C812" s="2" t="s">
        <v>6032</v>
      </c>
      <c r="D812" s="2" t="s">
        <v>122</v>
      </c>
      <c r="E812" s="2">
        <v>35</v>
      </c>
      <c r="F812" s="2">
        <v>697.85</v>
      </c>
    </row>
    <row r="813" spans="3:6" x14ac:dyDescent="0.25">
      <c r="C813" s="2" t="s">
        <v>6033</v>
      </c>
      <c r="D813" s="2" t="s">
        <v>122</v>
      </c>
      <c r="E813" s="2">
        <v>33</v>
      </c>
      <c r="F813" s="2">
        <v>647.41</v>
      </c>
    </row>
    <row r="814" spans="3:6" x14ac:dyDescent="0.25">
      <c r="C814" s="2" t="s">
        <v>6034</v>
      </c>
      <c r="D814" s="2" t="s">
        <v>122</v>
      </c>
      <c r="E814" s="2">
        <v>34</v>
      </c>
      <c r="F814" s="2">
        <v>696.76</v>
      </c>
    </row>
    <row r="815" spans="3:6" x14ac:dyDescent="0.25">
      <c r="C815" s="2" t="s">
        <v>6035</v>
      </c>
      <c r="D815" s="2" t="s">
        <v>122</v>
      </c>
      <c r="E815" s="2">
        <v>45</v>
      </c>
      <c r="F815" s="2">
        <v>209.509</v>
      </c>
    </row>
    <row r="816" spans="3:6" x14ac:dyDescent="0.25">
      <c r="C816" s="2" t="s">
        <v>6036</v>
      </c>
      <c r="D816" s="2" t="s">
        <v>122</v>
      </c>
      <c r="E816" s="2">
        <v>27</v>
      </c>
      <c r="F816" s="2">
        <v>119.95</v>
      </c>
    </row>
    <row r="817" spans="3:6" x14ac:dyDescent="0.25">
      <c r="C817" s="2" t="s">
        <v>6037</v>
      </c>
      <c r="D817" s="2" t="s">
        <v>122</v>
      </c>
      <c r="E817" s="2">
        <v>134</v>
      </c>
      <c r="F817" s="2">
        <v>2677.31</v>
      </c>
    </row>
    <row r="818" spans="3:6" x14ac:dyDescent="0.25">
      <c r="C818" s="2" t="s">
        <v>6038</v>
      </c>
      <c r="D818" s="2" t="s">
        <v>122</v>
      </c>
      <c r="E818" s="2">
        <v>141</v>
      </c>
      <c r="F818" s="2">
        <v>2783.96</v>
      </c>
    </row>
    <row r="819" spans="3:6" x14ac:dyDescent="0.25">
      <c r="C819" s="2" t="s">
        <v>6039</v>
      </c>
      <c r="D819" s="2" t="s">
        <v>122</v>
      </c>
      <c r="E819" s="2">
        <v>141</v>
      </c>
      <c r="F819" s="2">
        <v>2894.29</v>
      </c>
    </row>
    <row r="820" spans="3:6" x14ac:dyDescent="0.25">
      <c r="C820" s="2" t="s">
        <v>6040</v>
      </c>
      <c r="D820" s="2" t="s">
        <v>122</v>
      </c>
      <c r="E820" s="2">
        <v>101</v>
      </c>
      <c r="F820" s="2">
        <v>1944.669</v>
      </c>
    </row>
    <row r="821" spans="3:6" x14ac:dyDescent="0.25">
      <c r="C821" s="2" t="s">
        <v>6041</v>
      </c>
      <c r="D821" s="2" t="s">
        <v>122</v>
      </c>
      <c r="E821" s="2">
        <v>40</v>
      </c>
      <c r="F821" s="2">
        <v>814.67</v>
      </c>
    </row>
    <row r="822" spans="3:6" x14ac:dyDescent="0.25">
      <c r="C822" s="2" t="s">
        <v>6042</v>
      </c>
      <c r="D822" s="2" t="s">
        <v>122</v>
      </c>
      <c r="E822" s="2">
        <v>41</v>
      </c>
      <c r="F822" s="2">
        <v>824.71</v>
      </c>
    </row>
    <row r="823" spans="3:6" x14ac:dyDescent="0.25">
      <c r="C823" s="2" t="s">
        <v>6043</v>
      </c>
      <c r="D823" s="2" t="s">
        <v>122</v>
      </c>
      <c r="E823" s="2">
        <v>50</v>
      </c>
      <c r="F823" s="2">
        <v>987.29</v>
      </c>
    </row>
    <row r="824" spans="3:6" x14ac:dyDescent="0.25">
      <c r="C824" s="2" t="s">
        <v>6044</v>
      </c>
      <c r="D824" s="2" t="s">
        <v>122</v>
      </c>
      <c r="E824" s="2">
        <v>50</v>
      </c>
      <c r="F824" s="2">
        <v>1016.06</v>
      </c>
    </row>
    <row r="825" spans="3:6" x14ac:dyDescent="0.25">
      <c r="C825" s="2" t="s">
        <v>6045</v>
      </c>
      <c r="D825" s="2" t="s">
        <v>122</v>
      </c>
      <c r="E825" s="2">
        <v>91</v>
      </c>
      <c r="F825" s="2">
        <v>1813.93</v>
      </c>
    </row>
    <row r="826" spans="3:6" x14ac:dyDescent="0.25">
      <c r="C826" s="2" t="s">
        <v>6046</v>
      </c>
      <c r="D826" s="2" t="s">
        <v>122</v>
      </c>
      <c r="E826" s="2">
        <v>19</v>
      </c>
      <c r="F826" s="2">
        <v>381.76</v>
      </c>
    </row>
    <row r="827" spans="3:6" x14ac:dyDescent="0.25">
      <c r="C827" s="2" t="s">
        <v>6047</v>
      </c>
      <c r="D827" s="2" t="s">
        <v>122</v>
      </c>
      <c r="E827" s="2">
        <v>31</v>
      </c>
      <c r="F827" s="2">
        <v>589.57</v>
      </c>
    </row>
    <row r="828" spans="3:6" x14ac:dyDescent="0.25">
      <c r="C828" s="2" t="s">
        <v>6048</v>
      </c>
      <c r="D828" s="2" t="s">
        <v>122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10</v>
      </c>
      <c r="C830" s="2" t="s">
        <v>6049</v>
      </c>
      <c r="D830" s="2" t="s">
        <v>12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6050</v>
      </c>
      <c r="D831" s="2" t="s">
        <v>12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6051</v>
      </c>
      <c r="C833" s="2" t="s">
        <v>6052</v>
      </c>
      <c r="D833" s="2" t="s">
        <v>20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6053</v>
      </c>
      <c r="D834" s="2" t="s">
        <v>20</v>
      </c>
      <c r="E834" s="2">
        <v>266</v>
      </c>
      <c r="F834" s="2">
        <v>5162.499</v>
      </c>
    </row>
    <row r="835" spans="3:6" x14ac:dyDescent="0.25">
      <c r="C835" s="2" t="s">
        <v>6054</v>
      </c>
      <c r="D835" s="2" t="s">
        <v>20</v>
      </c>
      <c r="E835" s="2">
        <v>105</v>
      </c>
      <c r="F835" s="2">
        <v>2093.91</v>
      </c>
    </row>
    <row r="836" spans="3:6" x14ac:dyDescent="0.25">
      <c r="C836" s="2" t="s">
        <v>6055</v>
      </c>
      <c r="D836" s="2" t="s">
        <v>20</v>
      </c>
      <c r="E836" s="2">
        <v>163</v>
      </c>
      <c r="F836" s="2">
        <v>3045.299</v>
      </c>
    </row>
    <row r="837" spans="3:6" x14ac:dyDescent="0.25">
      <c r="C837" s="2" t="s">
        <v>6056</v>
      </c>
      <c r="D837" s="2" t="s">
        <v>20</v>
      </c>
      <c r="E837" s="2">
        <v>206</v>
      </c>
      <c r="F837" s="2">
        <v>4087.249</v>
      </c>
    </row>
    <row r="838" spans="3:6" x14ac:dyDescent="0.25">
      <c r="C838" s="2" t="s">
        <v>6057</v>
      </c>
      <c r="D838" s="2" t="s">
        <v>20</v>
      </c>
      <c r="E838" s="2">
        <v>326</v>
      </c>
      <c r="F838" s="2">
        <v>6411.6</v>
      </c>
    </row>
    <row r="839" spans="3:6" x14ac:dyDescent="0.25">
      <c r="C839" s="2" t="s">
        <v>6058</v>
      </c>
      <c r="D839" s="2" t="s">
        <v>20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120</v>
      </c>
      <c r="C841" s="2" t="s">
        <v>6059</v>
      </c>
      <c r="D841" s="2" t="s">
        <v>122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6060</v>
      </c>
      <c r="D842" s="2" t="s">
        <v>122</v>
      </c>
      <c r="E842" s="2">
        <v>28</v>
      </c>
      <c r="F842" s="2">
        <v>579.51</v>
      </c>
    </row>
    <row r="843" spans="3:6" x14ac:dyDescent="0.25">
      <c r="C843" s="2" t="s">
        <v>6061</v>
      </c>
      <c r="D843" s="2" t="s">
        <v>122</v>
      </c>
      <c r="E843" s="2">
        <v>93</v>
      </c>
      <c r="F843" s="2">
        <v>1856.73</v>
      </c>
    </row>
    <row r="844" spans="3:6" x14ac:dyDescent="0.25">
      <c r="C844" s="2" t="s">
        <v>6062</v>
      </c>
      <c r="D844" s="2" t="s">
        <v>122</v>
      </c>
      <c r="E844" s="2">
        <v>17</v>
      </c>
      <c r="F844" s="2">
        <v>227.364</v>
      </c>
    </row>
    <row r="845" spans="3:6" x14ac:dyDescent="0.25">
      <c r="C845" s="2" t="s">
        <v>6063</v>
      </c>
      <c r="D845" s="2" t="s">
        <v>122</v>
      </c>
      <c r="E845" s="2">
        <v>71</v>
      </c>
      <c r="F845" s="2">
        <v>1465.49</v>
      </c>
    </row>
    <row r="846" spans="3:6" x14ac:dyDescent="0.25">
      <c r="C846" s="2" t="s">
        <v>6064</v>
      </c>
      <c r="D846" s="2" t="s">
        <v>122</v>
      </c>
      <c r="E846" s="2">
        <v>40</v>
      </c>
      <c r="F846" s="2">
        <v>837.91</v>
      </c>
    </row>
    <row r="847" spans="3:6" x14ac:dyDescent="0.25">
      <c r="C847" s="2" t="s">
        <v>6065</v>
      </c>
      <c r="D847" s="2" t="s">
        <v>122</v>
      </c>
      <c r="E847" s="2">
        <v>10</v>
      </c>
      <c r="F847" s="2">
        <v>212.93</v>
      </c>
    </row>
    <row r="848" spans="3:6" x14ac:dyDescent="0.25">
      <c r="C848" s="2" t="s">
        <v>6066</v>
      </c>
      <c r="D848" s="2" t="s">
        <v>122</v>
      </c>
      <c r="E848" s="2">
        <v>75</v>
      </c>
      <c r="F848" s="2">
        <v>1413.34</v>
      </c>
    </row>
    <row r="849" spans="3:6" x14ac:dyDescent="0.25">
      <c r="C849" s="2" t="s">
        <v>6067</v>
      </c>
      <c r="D849" s="2" t="s">
        <v>122</v>
      </c>
      <c r="E849" s="2">
        <v>60</v>
      </c>
      <c r="F849" s="2">
        <v>1190.42</v>
      </c>
    </row>
    <row r="850" spans="3:6" x14ac:dyDescent="0.25">
      <c r="C850" s="2" t="s">
        <v>6068</v>
      </c>
      <c r="D850" s="2" t="s">
        <v>122</v>
      </c>
      <c r="E850" s="2">
        <v>17</v>
      </c>
      <c r="F850" s="2">
        <v>330.86</v>
      </c>
    </row>
    <row r="851" spans="3:6" x14ac:dyDescent="0.25">
      <c r="C851" s="2" t="s">
        <v>6069</v>
      </c>
      <c r="D851" s="2" t="s">
        <v>122</v>
      </c>
      <c r="E851" s="2">
        <v>75</v>
      </c>
      <c r="F851" s="2">
        <v>1490.4</v>
      </c>
    </row>
    <row r="852" spans="3:6" x14ac:dyDescent="0.25">
      <c r="C852" s="2" t="s">
        <v>6070</v>
      </c>
      <c r="D852" s="2" t="s">
        <v>122</v>
      </c>
      <c r="E852" s="2">
        <v>10</v>
      </c>
      <c r="F852" s="2">
        <v>187.55</v>
      </c>
    </row>
    <row r="853" spans="3:6" x14ac:dyDescent="0.25">
      <c r="C853" s="2" t="s">
        <v>6071</v>
      </c>
      <c r="D853" s="2" t="s">
        <v>122</v>
      </c>
      <c r="E853" s="2">
        <v>3</v>
      </c>
      <c r="F853" s="2">
        <v>44.63</v>
      </c>
    </row>
    <row r="854" spans="3:6" x14ac:dyDescent="0.25">
      <c r="C854" s="2" t="s">
        <v>6072</v>
      </c>
      <c r="D854" s="2" t="s">
        <v>122</v>
      </c>
      <c r="E854" s="2">
        <v>72</v>
      </c>
      <c r="F854" s="2">
        <v>1467.009</v>
      </c>
    </row>
    <row r="855" spans="3:6" x14ac:dyDescent="0.25">
      <c r="C855" s="2" t="s">
        <v>6073</v>
      </c>
      <c r="D855" s="2" t="s">
        <v>122</v>
      </c>
      <c r="E855" s="2">
        <v>121</v>
      </c>
      <c r="F855" s="2">
        <v>2309.329</v>
      </c>
    </row>
    <row r="856" spans="3:6" x14ac:dyDescent="0.25">
      <c r="C856" s="2" t="s">
        <v>6074</v>
      </c>
      <c r="D856" s="2" t="s">
        <v>122</v>
      </c>
      <c r="E856" s="2">
        <v>25</v>
      </c>
      <c r="F856" s="2">
        <v>514.57</v>
      </c>
    </row>
    <row r="857" spans="3:6" x14ac:dyDescent="0.25">
      <c r="C857" s="2" t="s">
        <v>6075</v>
      </c>
      <c r="D857" s="2" t="s">
        <v>122</v>
      </c>
      <c r="E857" s="2">
        <v>25</v>
      </c>
      <c r="F857" s="2">
        <v>514.69</v>
      </c>
    </row>
    <row r="858" spans="3:6" x14ac:dyDescent="0.25">
      <c r="C858" s="2" t="s">
        <v>6076</v>
      </c>
      <c r="D858" s="2" t="s">
        <v>122</v>
      </c>
      <c r="E858" s="2">
        <v>15</v>
      </c>
      <c r="F858" s="2">
        <v>275.389</v>
      </c>
    </row>
    <row r="859" spans="3:6" x14ac:dyDescent="0.25">
      <c r="C859" s="2" t="s">
        <v>6077</v>
      </c>
      <c r="D859" s="2" t="s">
        <v>122</v>
      </c>
      <c r="E859" s="2">
        <v>76</v>
      </c>
      <c r="F859" s="2">
        <v>1471.15</v>
      </c>
    </row>
    <row r="860" spans="3:6" x14ac:dyDescent="0.25">
      <c r="C860" s="2" t="s">
        <v>6078</v>
      </c>
      <c r="D860" s="2" t="s">
        <v>122</v>
      </c>
      <c r="E860" s="2">
        <v>30</v>
      </c>
      <c r="F860" s="2">
        <v>135.31</v>
      </c>
    </row>
    <row r="861" spans="3:6" x14ac:dyDescent="0.25">
      <c r="C861" s="2" t="s">
        <v>6079</v>
      </c>
      <c r="D861" s="2" t="s">
        <v>122</v>
      </c>
      <c r="E861" s="2">
        <v>20</v>
      </c>
      <c r="F861" s="2">
        <v>364.78</v>
      </c>
    </row>
    <row r="862" spans="3:6" x14ac:dyDescent="0.25">
      <c r="C862" s="2" t="s">
        <v>6080</v>
      </c>
      <c r="D862" s="2" t="s">
        <v>122</v>
      </c>
      <c r="E862" s="2">
        <v>52</v>
      </c>
      <c r="F862" s="2">
        <v>1023.01</v>
      </c>
    </row>
    <row r="863" spans="3:6" x14ac:dyDescent="0.25">
      <c r="C863" s="2" t="s">
        <v>6081</v>
      </c>
      <c r="D863" s="2" t="s">
        <v>122</v>
      </c>
      <c r="E863" s="2">
        <v>44</v>
      </c>
      <c r="F863" s="2">
        <v>849.63</v>
      </c>
    </row>
    <row r="864" spans="3:6" x14ac:dyDescent="0.25">
      <c r="C864" s="2" t="s">
        <v>6082</v>
      </c>
      <c r="D864" s="2" t="s">
        <v>122</v>
      </c>
      <c r="E864" s="2">
        <v>24</v>
      </c>
      <c r="F864" s="2">
        <v>446.36</v>
      </c>
    </row>
    <row r="865" spans="3:6" x14ac:dyDescent="0.25">
      <c r="C865" s="2" t="s">
        <v>6083</v>
      </c>
      <c r="D865" s="2" t="s">
        <v>122</v>
      </c>
      <c r="E865" s="2">
        <v>141</v>
      </c>
      <c r="F865" s="2">
        <v>2744.148</v>
      </c>
    </row>
    <row r="866" spans="3:6" x14ac:dyDescent="0.25">
      <c r="C866" s="2" t="s">
        <v>6084</v>
      </c>
      <c r="D866" s="2" t="s">
        <v>122</v>
      </c>
      <c r="E866" s="2">
        <v>71</v>
      </c>
      <c r="F866" s="2">
        <v>1419.55</v>
      </c>
    </row>
    <row r="867" spans="3:6" x14ac:dyDescent="0.25">
      <c r="C867" s="2" t="s">
        <v>6085</v>
      </c>
      <c r="D867" s="2" t="s">
        <v>122</v>
      </c>
      <c r="E867" s="2">
        <v>70</v>
      </c>
      <c r="F867" s="2">
        <v>1244.979</v>
      </c>
    </row>
    <row r="868" spans="3:6" x14ac:dyDescent="0.25">
      <c r="C868" s="2" t="s">
        <v>6086</v>
      </c>
      <c r="D868" s="2" t="s">
        <v>122</v>
      </c>
      <c r="E868" s="2">
        <v>141</v>
      </c>
      <c r="F868" s="2">
        <v>2766.71</v>
      </c>
    </row>
    <row r="869" spans="3:6" x14ac:dyDescent="0.25">
      <c r="C869" s="2" t="s">
        <v>6087</v>
      </c>
      <c r="D869" s="2" t="s">
        <v>122</v>
      </c>
      <c r="E869" s="2">
        <v>42</v>
      </c>
      <c r="F869" s="2">
        <v>183.509</v>
      </c>
    </row>
    <row r="870" spans="3:6" x14ac:dyDescent="0.25">
      <c r="C870" s="2" t="s">
        <v>6088</v>
      </c>
      <c r="D870" s="2" t="s">
        <v>122</v>
      </c>
      <c r="E870" s="2">
        <v>37</v>
      </c>
      <c r="F870" s="2">
        <v>162.96</v>
      </c>
    </row>
    <row r="871" spans="3:6" x14ac:dyDescent="0.25">
      <c r="C871" s="2" t="s">
        <v>6089</v>
      </c>
      <c r="D871" s="2" t="s">
        <v>122</v>
      </c>
      <c r="E871" s="2">
        <v>27</v>
      </c>
      <c r="F871" s="2">
        <v>465.7</v>
      </c>
    </row>
    <row r="872" spans="3:6" x14ac:dyDescent="0.25">
      <c r="C872" s="2" t="s">
        <v>6090</v>
      </c>
      <c r="D872" s="2" t="s">
        <v>122</v>
      </c>
      <c r="E872" s="2">
        <v>29</v>
      </c>
      <c r="F872" s="2">
        <v>600.9</v>
      </c>
    </row>
    <row r="873" spans="3:6" x14ac:dyDescent="0.25">
      <c r="C873" s="2" t="s">
        <v>6091</v>
      </c>
      <c r="D873" s="2" t="s">
        <v>122</v>
      </c>
      <c r="E873" s="2">
        <v>85</v>
      </c>
      <c r="F873" s="2">
        <v>1703.05</v>
      </c>
    </row>
    <row r="874" spans="3:6" x14ac:dyDescent="0.25">
      <c r="C874" s="2" t="s">
        <v>6092</v>
      </c>
      <c r="D874" s="2" t="s">
        <v>122</v>
      </c>
      <c r="E874" s="2">
        <v>51</v>
      </c>
      <c r="F874" s="2">
        <v>908.549</v>
      </c>
    </row>
    <row r="875" spans="3:6" x14ac:dyDescent="0.25">
      <c r="C875" s="2" t="s">
        <v>6093</v>
      </c>
      <c r="D875" s="2" t="s">
        <v>122</v>
      </c>
      <c r="E875" s="2">
        <v>51</v>
      </c>
      <c r="F875" s="2">
        <v>993.34</v>
      </c>
    </row>
    <row r="876" spans="3:6" x14ac:dyDescent="0.25">
      <c r="C876" s="2" t="s">
        <v>6094</v>
      </c>
      <c r="D876" s="2" t="s">
        <v>122</v>
      </c>
      <c r="E876" s="2">
        <v>40</v>
      </c>
      <c r="F876" s="2">
        <v>778.91</v>
      </c>
    </row>
    <row r="877" spans="3:6" x14ac:dyDescent="0.25">
      <c r="C877" s="2" t="s">
        <v>6095</v>
      </c>
      <c r="D877" s="2" t="s">
        <v>122</v>
      </c>
      <c r="E877" s="2">
        <v>62</v>
      </c>
      <c r="F877" s="2">
        <v>1190.53</v>
      </c>
    </row>
    <row r="878" spans="3:6" x14ac:dyDescent="0.25">
      <c r="C878" s="2" t="s">
        <v>6096</v>
      </c>
      <c r="D878" s="2" t="s">
        <v>122</v>
      </c>
      <c r="E878" s="2">
        <v>62</v>
      </c>
      <c r="F878" s="2">
        <v>1024.619</v>
      </c>
    </row>
    <row r="879" spans="3:6" x14ac:dyDescent="0.25">
      <c r="C879" s="2" t="s">
        <v>6097</v>
      </c>
      <c r="D879" s="2" t="s">
        <v>122</v>
      </c>
      <c r="E879" s="2">
        <v>8</v>
      </c>
      <c r="F879" s="2">
        <v>152.41</v>
      </c>
    </row>
    <row r="880" spans="3:6" x14ac:dyDescent="0.25">
      <c r="C880" s="2" t="s">
        <v>6098</v>
      </c>
      <c r="D880" s="2" t="s">
        <v>122</v>
      </c>
      <c r="E880" s="2">
        <v>22</v>
      </c>
      <c r="F880" s="2">
        <v>344.57</v>
      </c>
    </row>
    <row r="881" spans="3:6" x14ac:dyDescent="0.25">
      <c r="C881" s="2" t="s">
        <v>6099</v>
      </c>
      <c r="D881" s="2" t="s">
        <v>122</v>
      </c>
      <c r="E881" s="2">
        <v>10</v>
      </c>
      <c r="F881" s="2">
        <v>170.12</v>
      </c>
    </row>
    <row r="882" spans="3:6" x14ac:dyDescent="0.25">
      <c r="C882" s="2" t="s">
        <v>6100</v>
      </c>
      <c r="D882" s="2" t="s">
        <v>122</v>
      </c>
      <c r="E882" s="2">
        <v>141</v>
      </c>
      <c r="F882" s="2">
        <v>2881.149</v>
      </c>
    </row>
    <row r="883" spans="3:6" x14ac:dyDescent="0.25">
      <c r="C883" s="2" t="s">
        <v>6101</v>
      </c>
      <c r="D883" s="2" t="s">
        <v>122</v>
      </c>
      <c r="E883" s="2">
        <v>141</v>
      </c>
      <c r="F883" s="2">
        <v>2769.789</v>
      </c>
    </row>
    <row r="884" spans="3:6" x14ac:dyDescent="0.25">
      <c r="C884" s="2" t="s">
        <v>6102</v>
      </c>
      <c r="D884" s="2" t="s">
        <v>122</v>
      </c>
      <c r="E884" s="2">
        <v>141</v>
      </c>
      <c r="F884" s="2">
        <v>2835.58</v>
      </c>
    </row>
    <row r="885" spans="3:6" x14ac:dyDescent="0.25">
      <c r="C885" s="2" t="s">
        <v>6103</v>
      </c>
      <c r="D885" s="2" t="s">
        <v>122</v>
      </c>
      <c r="E885" s="2">
        <v>64</v>
      </c>
      <c r="F885" s="2">
        <v>1312.9</v>
      </c>
    </row>
    <row r="886" spans="3:6" x14ac:dyDescent="0.25">
      <c r="C886" s="2" t="s">
        <v>6104</v>
      </c>
      <c r="D886" s="2" t="s">
        <v>122</v>
      </c>
      <c r="E886" s="2">
        <v>31</v>
      </c>
      <c r="F886" s="2">
        <v>651.23</v>
      </c>
    </row>
    <row r="887" spans="3:6" x14ac:dyDescent="0.25">
      <c r="C887" s="2" t="s">
        <v>6105</v>
      </c>
      <c r="D887" s="2" t="s">
        <v>122</v>
      </c>
      <c r="E887" s="2">
        <v>46</v>
      </c>
      <c r="F887" s="2">
        <v>941.02</v>
      </c>
    </row>
    <row r="888" spans="3:6" x14ac:dyDescent="0.25">
      <c r="C888" s="2" t="s">
        <v>6106</v>
      </c>
      <c r="D888" s="2" t="s">
        <v>122</v>
      </c>
      <c r="E888" s="2">
        <v>38</v>
      </c>
      <c r="F888" s="2">
        <v>748.62</v>
      </c>
    </row>
    <row r="889" spans="3:6" x14ac:dyDescent="0.25">
      <c r="C889" s="2" t="s">
        <v>6107</v>
      </c>
      <c r="D889" s="2" t="s">
        <v>122</v>
      </c>
      <c r="E889" s="2">
        <v>34</v>
      </c>
      <c r="F889" s="2">
        <v>666.33</v>
      </c>
    </row>
    <row r="890" spans="3:6" x14ac:dyDescent="0.25">
      <c r="C890" s="2" t="s">
        <v>6108</v>
      </c>
      <c r="D890" s="2" t="s">
        <v>122</v>
      </c>
      <c r="E890" s="2">
        <v>30</v>
      </c>
      <c r="F890" s="2">
        <v>575.63</v>
      </c>
    </row>
    <row r="891" spans="3:6" x14ac:dyDescent="0.25">
      <c r="C891" s="2" t="s">
        <v>6109</v>
      </c>
      <c r="D891" s="2" t="s">
        <v>122</v>
      </c>
      <c r="E891" s="2">
        <v>82</v>
      </c>
      <c r="F891" s="2">
        <v>1617.61</v>
      </c>
    </row>
    <row r="892" spans="3:6" x14ac:dyDescent="0.25">
      <c r="C892" s="2" t="s">
        <v>6110</v>
      </c>
      <c r="D892" s="2" t="s">
        <v>122</v>
      </c>
      <c r="E892" s="2">
        <v>53</v>
      </c>
      <c r="F892" s="2">
        <v>1047.11</v>
      </c>
    </row>
    <row r="893" spans="3:6" x14ac:dyDescent="0.25">
      <c r="C893" s="2" t="s">
        <v>6111</v>
      </c>
      <c r="D893" s="2" t="s">
        <v>122</v>
      </c>
      <c r="E893" s="2">
        <v>6</v>
      </c>
      <c r="F893" s="2">
        <v>112.01</v>
      </c>
    </row>
    <row r="894" spans="3:6" x14ac:dyDescent="0.25">
      <c r="C894" s="2" t="s">
        <v>6112</v>
      </c>
      <c r="D894" s="2" t="s">
        <v>122</v>
      </c>
      <c r="E894" s="2">
        <v>61</v>
      </c>
      <c r="F894" s="2">
        <v>1315.83</v>
      </c>
    </row>
    <row r="895" spans="3:6" x14ac:dyDescent="0.25">
      <c r="C895" s="2" t="s">
        <v>6113</v>
      </c>
      <c r="D895" s="2" t="s">
        <v>122</v>
      </c>
      <c r="E895" s="2">
        <v>37</v>
      </c>
      <c r="F895" s="2">
        <v>758.16</v>
      </c>
    </row>
    <row r="896" spans="3:6" x14ac:dyDescent="0.25">
      <c r="C896" s="2" t="s">
        <v>6114</v>
      </c>
      <c r="D896" s="2" t="s">
        <v>122</v>
      </c>
      <c r="E896" s="2">
        <v>34</v>
      </c>
      <c r="F896" s="2">
        <v>657.02</v>
      </c>
    </row>
    <row r="897" spans="3:6" x14ac:dyDescent="0.25">
      <c r="C897" s="2" t="s">
        <v>6115</v>
      </c>
      <c r="D897" s="2" t="s">
        <v>122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40</v>
      </c>
      <c r="C899" s="2" t="s">
        <v>6116</v>
      </c>
      <c r="D899" s="2" t="s">
        <v>42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6117</v>
      </c>
      <c r="D900" s="2" t="s">
        <v>42</v>
      </c>
      <c r="E900" s="2">
        <v>31</v>
      </c>
      <c r="F900" s="2">
        <v>613.1</v>
      </c>
    </row>
    <row r="901" spans="3:6" x14ac:dyDescent="0.25">
      <c r="C901" s="2" t="s">
        <v>6118</v>
      </c>
      <c r="D901" s="2" t="s">
        <v>42</v>
      </c>
      <c r="E901" s="2">
        <v>50</v>
      </c>
      <c r="F901" s="2">
        <v>234.65</v>
      </c>
    </row>
    <row r="902" spans="3:6" x14ac:dyDescent="0.25">
      <c r="C902" s="2" t="s">
        <v>6119</v>
      </c>
      <c r="D902" s="2" t="s">
        <v>42</v>
      </c>
      <c r="E902" s="2">
        <v>141</v>
      </c>
      <c r="F902" s="2">
        <v>3140.35</v>
      </c>
    </row>
    <row r="903" spans="3:6" x14ac:dyDescent="0.25">
      <c r="C903" s="2" t="s">
        <v>6120</v>
      </c>
      <c r="D903" s="2" t="s">
        <v>42</v>
      </c>
      <c r="E903" s="2">
        <v>141</v>
      </c>
      <c r="F903" s="2">
        <v>2716.088</v>
      </c>
    </row>
    <row r="904" spans="3:6" x14ac:dyDescent="0.25">
      <c r="C904" s="2" t="s">
        <v>6121</v>
      </c>
      <c r="D904" s="2" t="s">
        <v>42</v>
      </c>
      <c r="E904" s="2">
        <v>141</v>
      </c>
      <c r="F904" s="2">
        <v>3107.74</v>
      </c>
    </row>
    <row r="905" spans="3:6" x14ac:dyDescent="0.25">
      <c r="C905" s="2" t="s">
        <v>6122</v>
      </c>
      <c r="D905" s="2" t="s">
        <v>42</v>
      </c>
      <c r="E905" s="2">
        <v>141</v>
      </c>
      <c r="F905" s="2">
        <v>2820.72</v>
      </c>
    </row>
    <row r="906" spans="3:6" x14ac:dyDescent="0.25">
      <c r="C906" s="2" t="s">
        <v>6123</v>
      </c>
      <c r="D906" s="2" t="s">
        <v>42</v>
      </c>
      <c r="E906" s="2">
        <v>43</v>
      </c>
      <c r="F906" s="2">
        <v>841.29</v>
      </c>
    </row>
    <row r="907" spans="3:6" x14ac:dyDescent="0.25">
      <c r="C907" s="2" t="s">
        <v>6124</v>
      </c>
      <c r="D907" s="2" t="s">
        <v>42</v>
      </c>
      <c r="E907" s="2">
        <v>32</v>
      </c>
      <c r="F907" s="2">
        <v>763.15</v>
      </c>
    </row>
    <row r="908" spans="3:6" x14ac:dyDescent="0.25">
      <c r="C908" s="2" t="s">
        <v>6125</v>
      </c>
      <c r="D908" s="2" t="s">
        <v>42</v>
      </c>
      <c r="E908" s="2">
        <v>123</v>
      </c>
      <c r="F908" s="2">
        <v>2408.03</v>
      </c>
    </row>
    <row r="909" spans="3:6" x14ac:dyDescent="0.25">
      <c r="C909" s="2" t="s">
        <v>6126</v>
      </c>
      <c r="D909" s="2" t="s">
        <v>42</v>
      </c>
      <c r="E909" s="2">
        <v>134</v>
      </c>
      <c r="F909" s="2">
        <v>2532.77</v>
      </c>
    </row>
    <row r="910" spans="3:6" x14ac:dyDescent="0.25">
      <c r="C910" s="2" t="s">
        <v>6127</v>
      </c>
      <c r="D910" s="2" t="s">
        <v>42</v>
      </c>
      <c r="E910" s="2">
        <v>45</v>
      </c>
      <c r="F910" s="2">
        <v>229.99</v>
      </c>
    </row>
    <row r="911" spans="3:6" x14ac:dyDescent="0.25">
      <c r="C911" s="2" t="s">
        <v>6128</v>
      </c>
      <c r="D911" s="2" t="s">
        <v>42</v>
      </c>
      <c r="E911" s="2">
        <v>21</v>
      </c>
      <c r="F911" s="2">
        <v>375.87</v>
      </c>
    </row>
    <row r="912" spans="3:6" x14ac:dyDescent="0.25">
      <c r="C912" s="2" t="s">
        <v>6129</v>
      </c>
      <c r="D912" s="2" t="s">
        <v>42</v>
      </c>
      <c r="E912" s="2">
        <v>34</v>
      </c>
      <c r="F912" s="2">
        <v>676.59</v>
      </c>
    </row>
    <row r="913" spans="3:6" x14ac:dyDescent="0.25">
      <c r="C913" s="2" t="s">
        <v>6130</v>
      </c>
      <c r="D913" s="2" t="s">
        <v>42</v>
      </c>
      <c r="E913" s="2">
        <v>107</v>
      </c>
      <c r="F913" s="2">
        <v>2074.13</v>
      </c>
    </row>
    <row r="914" spans="3:6" x14ac:dyDescent="0.25">
      <c r="C914" s="2" t="s">
        <v>6131</v>
      </c>
      <c r="D914" s="2" t="s">
        <v>42</v>
      </c>
      <c r="E914" s="2">
        <v>80</v>
      </c>
      <c r="F914" s="2">
        <v>1734.73</v>
      </c>
    </row>
    <row r="915" spans="3:6" x14ac:dyDescent="0.25">
      <c r="C915" s="2" t="s">
        <v>6132</v>
      </c>
      <c r="D915" s="2" t="s">
        <v>42</v>
      </c>
      <c r="E915" s="2">
        <v>34</v>
      </c>
      <c r="F915" s="2">
        <v>629.209</v>
      </c>
    </row>
    <row r="916" spans="3:6" x14ac:dyDescent="0.25">
      <c r="C916" s="2" t="s">
        <v>6133</v>
      </c>
      <c r="D916" s="2" t="s">
        <v>42</v>
      </c>
      <c r="E916" s="2">
        <v>61</v>
      </c>
      <c r="F916" s="2">
        <v>1234.12</v>
      </c>
    </row>
    <row r="917" spans="3:6" x14ac:dyDescent="0.25">
      <c r="C917" s="2" t="s">
        <v>6134</v>
      </c>
      <c r="D917" s="2" t="s">
        <v>42</v>
      </c>
      <c r="E917" s="2">
        <v>123</v>
      </c>
      <c r="F917" s="2">
        <v>2441.999</v>
      </c>
    </row>
    <row r="918" spans="3:6" x14ac:dyDescent="0.25">
      <c r="C918" s="2" t="s">
        <v>6135</v>
      </c>
      <c r="D918" s="2" t="s">
        <v>42</v>
      </c>
      <c r="E918" s="2">
        <v>65</v>
      </c>
      <c r="F918" s="2">
        <v>1276.79</v>
      </c>
    </row>
    <row r="919" spans="3:6" x14ac:dyDescent="0.25">
      <c r="C919" s="2" t="s">
        <v>6136</v>
      </c>
      <c r="D919" s="2" t="s">
        <v>42</v>
      </c>
      <c r="E919" s="2">
        <v>10</v>
      </c>
      <c r="F919" s="2">
        <v>195.15</v>
      </c>
    </row>
    <row r="920" spans="3:6" x14ac:dyDescent="0.25">
      <c r="C920" s="2" t="s">
        <v>6137</v>
      </c>
      <c r="D920" s="2" t="s">
        <v>42</v>
      </c>
      <c r="E920" s="2">
        <v>42</v>
      </c>
      <c r="F920" s="2">
        <v>939.15</v>
      </c>
    </row>
    <row r="921" spans="3:6" x14ac:dyDescent="0.25">
      <c r="C921" s="2" t="s">
        <v>6138</v>
      </c>
      <c r="D921" s="2" t="s">
        <v>42</v>
      </c>
      <c r="E921" s="2">
        <v>58</v>
      </c>
      <c r="F921" s="2">
        <v>1152.4</v>
      </c>
    </row>
    <row r="922" spans="3:6" x14ac:dyDescent="0.25">
      <c r="C922" s="2" t="s">
        <v>6139</v>
      </c>
      <c r="D922" s="2" t="s">
        <v>42</v>
      </c>
      <c r="E922" s="2">
        <v>99</v>
      </c>
      <c r="F922" s="2">
        <v>1825.26</v>
      </c>
    </row>
    <row r="923" spans="3:6" x14ac:dyDescent="0.25">
      <c r="C923" s="2" t="s">
        <v>6140</v>
      </c>
      <c r="D923" s="2" t="s">
        <v>42</v>
      </c>
      <c r="E923" s="2">
        <v>83</v>
      </c>
      <c r="F923" s="2">
        <v>1576.77</v>
      </c>
    </row>
    <row r="924" spans="3:6" x14ac:dyDescent="0.25">
      <c r="C924" s="2" t="s">
        <v>6141</v>
      </c>
      <c r="D924" s="2" t="s">
        <v>42</v>
      </c>
      <c r="E924" s="2">
        <v>33</v>
      </c>
      <c r="F924" s="2">
        <v>636.79</v>
      </c>
    </row>
    <row r="925" spans="3:6" x14ac:dyDescent="0.25">
      <c r="C925" s="2" t="s">
        <v>6142</v>
      </c>
      <c r="D925" s="2" t="s">
        <v>42</v>
      </c>
      <c r="E925" s="2">
        <v>23</v>
      </c>
      <c r="F925" s="2">
        <v>438.17</v>
      </c>
    </row>
    <row r="926" spans="3:6" x14ac:dyDescent="0.25">
      <c r="C926" s="2" t="s">
        <v>6143</v>
      </c>
      <c r="D926" s="2" t="s">
        <v>42</v>
      </c>
      <c r="E926" s="2">
        <v>22</v>
      </c>
      <c r="F926" s="2">
        <v>389.91</v>
      </c>
    </row>
    <row r="927" spans="3:6" x14ac:dyDescent="0.25">
      <c r="C927" s="2" t="s">
        <v>6144</v>
      </c>
      <c r="D927" s="2" t="s">
        <v>42</v>
      </c>
      <c r="E927" s="2">
        <v>60</v>
      </c>
      <c r="F927" s="2">
        <v>292.03</v>
      </c>
    </row>
    <row r="928" spans="3:6" x14ac:dyDescent="0.25">
      <c r="C928" s="2" t="s">
        <v>6145</v>
      </c>
      <c r="D928" s="2" t="s">
        <v>42</v>
      </c>
      <c r="E928" s="2">
        <v>100</v>
      </c>
      <c r="F928" s="2">
        <v>1822.959</v>
      </c>
    </row>
    <row r="929" spans="3:6" x14ac:dyDescent="0.25">
      <c r="C929" s="2" t="s">
        <v>6146</v>
      </c>
      <c r="D929" s="2" t="s">
        <v>42</v>
      </c>
      <c r="E929" s="2">
        <v>15</v>
      </c>
      <c r="F929" s="2">
        <v>279.895</v>
      </c>
    </row>
    <row r="930" spans="3:6" x14ac:dyDescent="0.25">
      <c r="C930" s="2" t="s">
        <v>6147</v>
      </c>
      <c r="D930" s="2" t="s">
        <v>42</v>
      </c>
      <c r="E930" s="2">
        <v>49</v>
      </c>
      <c r="F930" s="2">
        <v>909.51</v>
      </c>
    </row>
    <row r="931" spans="3:6" x14ac:dyDescent="0.25">
      <c r="C931" s="2" t="s">
        <v>6148</v>
      </c>
      <c r="D931" s="2" t="s">
        <v>42</v>
      </c>
      <c r="E931" s="2">
        <v>55</v>
      </c>
      <c r="F931" s="2">
        <v>1051.539</v>
      </c>
    </row>
    <row r="932" spans="3:6" x14ac:dyDescent="0.25">
      <c r="C932" s="2" t="s">
        <v>6149</v>
      </c>
      <c r="D932" s="2" t="s">
        <v>42</v>
      </c>
      <c r="E932" s="2">
        <v>22</v>
      </c>
      <c r="F932" s="2">
        <v>524.11</v>
      </c>
    </row>
    <row r="933" spans="3:6" x14ac:dyDescent="0.25">
      <c r="C933" s="2" t="s">
        <v>6150</v>
      </c>
      <c r="D933" s="2" t="s">
        <v>42</v>
      </c>
      <c r="E933" s="2">
        <v>36</v>
      </c>
      <c r="F933" s="2">
        <v>692.529</v>
      </c>
    </row>
    <row r="934" spans="3:6" x14ac:dyDescent="0.25">
      <c r="C934" s="2" t="s">
        <v>6151</v>
      </c>
      <c r="D934" s="2" t="s">
        <v>42</v>
      </c>
      <c r="E934" s="2">
        <v>48</v>
      </c>
      <c r="F934" s="2">
        <v>925.289</v>
      </c>
    </row>
    <row r="935" spans="3:6" x14ac:dyDescent="0.25">
      <c r="C935" s="2" t="s">
        <v>6152</v>
      </c>
      <c r="D935" s="2" t="s">
        <v>42</v>
      </c>
      <c r="E935" s="2">
        <v>21</v>
      </c>
      <c r="F935" s="2">
        <v>331.91</v>
      </c>
    </row>
    <row r="936" spans="3:6" x14ac:dyDescent="0.25">
      <c r="C936" s="2" t="s">
        <v>6153</v>
      </c>
      <c r="D936" s="2" t="s">
        <v>42</v>
      </c>
      <c r="E936" s="2">
        <v>36</v>
      </c>
      <c r="F936" s="2">
        <v>729.02</v>
      </c>
    </row>
    <row r="937" spans="3:6" x14ac:dyDescent="0.25">
      <c r="C937" s="2" t="s">
        <v>6154</v>
      </c>
      <c r="D937" s="2" t="s">
        <v>42</v>
      </c>
      <c r="E937" s="2">
        <v>42</v>
      </c>
      <c r="F937" s="2">
        <v>866.49</v>
      </c>
    </row>
    <row r="938" spans="3:6" x14ac:dyDescent="0.25">
      <c r="C938" s="2" t="s">
        <v>6155</v>
      </c>
      <c r="D938" s="2" t="s">
        <v>42</v>
      </c>
      <c r="E938" s="2">
        <v>33</v>
      </c>
      <c r="F938" s="2">
        <v>588.09</v>
      </c>
    </row>
    <row r="939" spans="3:6" x14ac:dyDescent="0.25">
      <c r="C939" s="2" t="s">
        <v>6156</v>
      </c>
      <c r="D939" s="2" t="s">
        <v>42</v>
      </c>
      <c r="E939" s="2">
        <v>8</v>
      </c>
      <c r="F939" s="2">
        <v>138.1</v>
      </c>
    </row>
    <row r="940" spans="3:6" x14ac:dyDescent="0.25">
      <c r="C940" s="2" t="s">
        <v>6157</v>
      </c>
      <c r="D940" s="2" t="s">
        <v>42</v>
      </c>
      <c r="E940" s="2">
        <v>92</v>
      </c>
      <c r="F940" s="2">
        <v>2012.24</v>
      </c>
    </row>
    <row r="941" spans="3:6" x14ac:dyDescent="0.25">
      <c r="C941" s="2" t="s">
        <v>6158</v>
      </c>
      <c r="D941" s="2" t="s">
        <v>42</v>
      </c>
      <c r="E941" s="2">
        <v>58</v>
      </c>
      <c r="F941" s="2">
        <v>1162.92</v>
      </c>
    </row>
    <row r="942" spans="3:6" x14ac:dyDescent="0.25">
      <c r="C942" s="2" t="s">
        <v>6159</v>
      </c>
      <c r="D942" s="2" t="s">
        <v>42</v>
      </c>
      <c r="E942" s="2">
        <v>55</v>
      </c>
      <c r="F942" s="2">
        <v>1104.009</v>
      </c>
    </row>
    <row r="943" spans="3:6" x14ac:dyDescent="0.25">
      <c r="C943" s="2" t="s">
        <v>6160</v>
      </c>
      <c r="D943" s="2" t="s">
        <v>42</v>
      </c>
      <c r="E943" s="2">
        <v>10</v>
      </c>
      <c r="F943" s="2">
        <v>144.79</v>
      </c>
    </row>
    <row r="944" spans="3:6" x14ac:dyDescent="0.25">
      <c r="C944" s="2" t="s">
        <v>6161</v>
      </c>
      <c r="D944" s="2" t="s">
        <v>42</v>
      </c>
      <c r="E944" s="2">
        <v>67</v>
      </c>
      <c r="F944" s="2">
        <v>1367.41</v>
      </c>
    </row>
    <row r="945" spans="3:6" x14ac:dyDescent="0.25">
      <c r="C945" s="2" t="s">
        <v>6162</v>
      </c>
      <c r="D945" s="2" t="s">
        <v>42</v>
      </c>
      <c r="E945" s="2">
        <v>123</v>
      </c>
      <c r="F945" s="2">
        <v>2363.62</v>
      </c>
    </row>
    <row r="946" spans="3:6" x14ac:dyDescent="0.25">
      <c r="C946" s="2" t="s">
        <v>6163</v>
      </c>
      <c r="D946" s="2" t="s">
        <v>42</v>
      </c>
      <c r="E946" s="2">
        <v>47</v>
      </c>
      <c r="F946" s="2">
        <v>880.38</v>
      </c>
    </row>
    <row r="947" spans="3:6" x14ac:dyDescent="0.25">
      <c r="C947" s="2" t="s">
        <v>6164</v>
      </c>
      <c r="D947" s="2" t="s">
        <v>42</v>
      </c>
      <c r="E947" s="2">
        <v>63</v>
      </c>
      <c r="F947" s="2">
        <v>1383.97</v>
      </c>
    </row>
    <row r="948" spans="3:6" x14ac:dyDescent="0.25">
      <c r="C948" s="2" t="s">
        <v>6165</v>
      </c>
      <c r="D948" s="2" t="s">
        <v>42</v>
      </c>
      <c r="E948" s="2">
        <v>11</v>
      </c>
      <c r="F948" s="2">
        <v>114.01</v>
      </c>
    </row>
    <row r="949" spans="3:6" x14ac:dyDescent="0.25">
      <c r="C949" s="2" t="s">
        <v>6166</v>
      </c>
      <c r="D949" s="2" t="s">
        <v>42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90</v>
      </c>
      <c r="C951" s="2" t="s">
        <v>6167</v>
      </c>
      <c r="D951" s="2" t="s">
        <v>9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6168</v>
      </c>
      <c r="D952" s="2" t="s">
        <v>9</v>
      </c>
      <c r="E952" s="2">
        <v>123</v>
      </c>
      <c r="F952" s="2">
        <v>2419.47</v>
      </c>
    </row>
    <row r="953" spans="3:6" x14ac:dyDescent="0.25">
      <c r="C953" s="2" t="s">
        <v>6169</v>
      </c>
      <c r="D953" s="2" t="s">
        <v>9</v>
      </c>
      <c r="E953" s="2">
        <v>123</v>
      </c>
      <c r="F953" s="2">
        <v>2493.02</v>
      </c>
    </row>
    <row r="954" spans="3:6" x14ac:dyDescent="0.25">
      <c r="C954" s="2" t="s">
        <v>6170</v>
      </c>
      <c r="D954" s="2" t="s">
        <v>9</v>
      </c>
      <c r="E954" s="2">
        <v>134</v>
      </c>
      <c r="F954" s="2">
        <v>2567.99</v>
      </c>
    </row>
    <row r="955" spans="3:6" x14ac:dyDescent="0.25">
      <c r="C955" s="2" t="s">
        <v>6171</v>
      </c>
      <c r="D955" s="2" t="s">
        <v>9</v>
      </c>
      <c r="E955" s="2">
        <v>75</v>
      </c>
      <c r="F955" s="2">
        <v>321.014</v>
      </c>
    </row>
    <row r="956" spans="3:6" x14ac:dyDescent="0.25">
      <c r="C956" s="2" t="s">
        <v>6172</v>
      </c>
      <c r="D956" s="2" t="s">
        <v>9</v>
      </c>
      <c r="E956" s="2">
        <v>102</v>
      </c>
      <c r="F956" s="2">
        <v>2091.14</v>
      </c>
    </row>
    <row r="957" spans="3:6" x14ac:dyDescent="0.25">
      <c r="C957" s="2" t="s">
        <v>6173</v>
      </c>
      <c r="D957" s="2" t="s">
        <v>9</v>
      </c>
      <c r="E957" s="2">
        <v>141</v>
      </c>
      <c r="F957" s="2">
        <v>2878.65</v>
      </c>
    </row>
    <row r="958" spans="3:6" x14ac:dyDescent="0.25">
      <c r="C958" s="2" t="s">
        <v>6174</v>
      </c>
      <c r="D958" s="2" t="s">
        <v>9</v>
      </c>
      <c r="E958" s="2">
        <v>141</v>
      </c>
      <c r="F958" s="2">
        <v>2876.97</v>
      </c>
    </row>
    <row r="959" spans="3:6" x14ac:dyDescent="0.25">
      <c r="C959" s="2" t="s">
        <v>6175</v>
      </c>
      <c r="D959" s="2" t="s">
        <v>9</v>
      </c>
      <c r="E959" s="2">
        <v>123</v>
      </c>
      <c r="F959" s="2">
        <v>2420.76</v>
      </c>
    </row>
    <row r="960" spans="3:6" x14ac:dyDescent="0.25">
      <c r="C960" s="2" t="s">
        <v>6176</v>
      </c>
      <c r="D960" s="2" t="s">
        <v>9</v>
      </c>
      <c r="E960" s="2">
        <v>142</v>
      </c>
      <c r="F960" s="2">
        <v>2933.8</v>
      </c>
    </row>
    <row r="961" spans="3:6" x14ac:dyDescent="0.25">
      <c r="C961" s="2" t="s">
        <v>6177</v>
      </c>
      <c r="D961" s="2" t="s">
        <v>9</v>
      </c>
      <c r="E961" s="2">
        <v>141</v>
      </c>
      <c r="F961" s="2">
        <v>2906.82</v>
      </c>
    </row>
    <row r="962" spans="3:6" x14ac:dyDescent="0.25">
      <c r="C962" s="2" t="s">
        <v>6178</v>
      </c>
      <c r="D962" s="2" t="s">
        <v>9</v>
      </c>
      <c r="E962" s="2">
        <v>142</v>
      </c>
      <c r="F962" s="2">
        <v>2854.21</v>
      </c>
    </row>
    <row r="963" spans="3:6" x14ac:dyDescent="0.25">
      <c r="C963" s="2" t="s">
        <v>6179</v>
      </c>
      <c r="D963" s="2" t="s">
        <v>9</v>
      </c>
      <c r="E963" s="2">
        <v>105</v>
      </c>
      <c r="F963" s="2">
        <v>1909.529</v>
      </c>
    </row>
    <row r="964" spans="3:6" x14ac:dyDescent="0.25">
      <c r="C964" s="2" t="s">
        <v>6180</v>
      </c>
      <c r="D964" s="2" t="s">
        <v>9</v>
      </c>
      <c r="E964" s="2">
        <v>75</v>
      </c>
      <c r="F964" s="2">
        <v>337.82</v>
      </c>
    </row>
    <row r="965" spans="3:6" x14ac:dyDescent="0.25">
      <c r="C965" s="2" t="s">
        <v>6181</v>
      </c>
      <c r="D965" s="2" t="s">
        <v>9</v>
      </c>
      <c r="E965" s="2">
        <v>141</v>
      </c>
      <c r="F965" s="2">
        <v>2760.629</v>
      </c>
    </row>
    <row r="966" spans="3:6" x14ac:dyDescent="0.25">
      <c r="C966" s="2" t="s">
        <v>6182</v>
      </c>
      <c r="D966" s="2" t="s">
        <v>9</v>
      </c>
      <c r="E966" s="2">
        <v>141</v>
      </c>
      <c r="F966" s="2">
        <v>2496.748</v>
      </c>
    </row>
    <row r="967" spans="3:6" x14ac:dyDescent="0.25">
      <c r="C967" s="2" t="s">
        <v>6183</v>
      </c>
      <c r="D967" s="2" t="s">
        <v>9</v>
      </c>
      <c r="E967" s="2">
        <v>141</v>
      </c>
      <c r="F967" s="2">
        <v>2731.419</v>
      </c>
    </row>
    <row r="968" spans="3:6" x14ac:dyDescent="0.25">
      <c r="C968" s="2" t="s">
        <v>6184</v>
      </c>
      <c r="D968" s="2" t="s">
        <v>9</v>
      </c>
      <c r="E968" s="2">
        <v>141</v>
      </c>
      <c r="F968" s="2">
        <v>2702.11</v>
      </c>
    </row>
    <row r="969" spans="3:6" x14ac:dyDescent="0.25">
      <c r="C969" s="2" t="s">
        <v>6185</v>
      </c>
      <c r="D969" s="2" t="s">
        <v>9</v>
      </c>
      <c r="E969" s="2">
        <v>141</v>
      </c>
      <c r="F969" s="2">
        <v>2813.51</v>
      </c>
    </row>
    <row r="970" spans="3:6" x14ac:dyDescent="0.25">
      <c r="C970" s="2" t="s">
        <v>6186</v>
      </c>
      <c r="D970" s="2" t="s">
        <v>9</v>
      </c>
      <c r="E970" s="2">
        <v>143</v>
      </c>
      <c r="F970" s="2">
        <v>2550.779</v>
      </c>
    </row>
    <row r="971" spans="3:6" x14ac:dyDescent="0.25">
      <c r="C971" s="2" t="s">
        <v>6187</v>
      </c>
      <c r="D971" s="2" t="s">
        <v>9</v>
      </c>
      <c r="E971" s="2">
        <v>141</v>
      </c>
      <c r="F971" s="2">
        <v>2552.679</v>
      </c>
    </row>
    <row r="972" spans="3:6" x14ac:dyDescent="0.25">
      <c r="C972" s="2" t="s">
        <v>6188</v>
      </c>
      <c r="D972" s="2" t="s">
        <v>9</v>
      </c>
      <c r="E972" s="2">
        <v>74</v>
      </c>
      <c r="F972" s="2">
        <v>1440.41</v>
      </c>
    </row>
    <row r="973" spans="3:6" x14ac:dyDescent="0.25">
      <c r="C973" s="2" t="s">
        <v>6189</v>
      </c>
      <c r="D973" s="2" t="s">
        <v>9</v>
      </c>
      <c r="E973" s="2">
        <v>28</v>
      </c>
      <c r="F973" s="2">
        <v>574.569</v>
      </c>
    </row>
    <row r="974" spans="3:6" x14ac:dyDescent="0.25">
      <c r="C974" s="2" t="s">
        <v>6190</v>
      </c>
      <c r="D974" s="2" t="s">
        <v>9</v>
      </c>
      <c r="E974" s="2">
        <v>141</v>
      </c>
      <c r="F974" s="2">
        <v>2862.55</v>
      </c>
    </row>
    <row r="975" spans="3:6" x14ac:dyDescent="0.25">
      <c r="C975" s="2" t="s">
        <v>6191</v>
      </c>
      <c r="D975" s="2" t="s">
        <v>9</v>
      </c>
      <c r="E975" s="2">
        <v>141</v>
      </c>
      <c r="F975" s="2">
        <v>2730.468</v>
      </c>
    </row>
    <row r="976" spans="3:6" x14ac:dyDescent="0.25">
      <c r="C976" s="2" t="s">
        <v>6192</v>
      </c>
      <c r="D976" s="2" t="s">
        <v>9</v>
      </c>
      <c r="E976" s="2">
        <v>141</v>
      </c>
      <c r="F976" s="2">
        <v>2723.78</v>
      </c>
    </row>
    <row r="977" spans="3:6" x14ac:dyDescent="0.25">
      <c r="C977" s="2" t="s">
        <v>6193</v>
      </c>
      <c r="D977" s="2" t="s">
        <v>9</v>
      </c>
      <c r="E977" s="2">
        <v>102</v>
      </c>
      <c r="F977" s="2">
        <v>2060.4</v>
      </c>
    </row>
    <row r="978" spans="3:6" x14ac:dyDescent="0.25">
      <c r="C978" s="2" t="s">
        <v>6194</v>
      </c>
      <c r="D978" s="2" t="s">
        <v>9</v>
      </c>
      <c r="E978" s="2">
        <v>44</v>
      </c>
      <c r="F978" s="2">
        <v>893.7</v>
      </c>
    </row>
    <row r="979" spans="3:6" x14ac:dyDescent="0.25">
      <c r="C979" s="2" t="s">
        <v>6195</v>
      </c>
      <c r="D979" s="2" t="s">
        <v>9</v>
      </c>
      <c r="E979" s="2">
        <v>25</v>
      </c>
      <c r="F979" s="2">
        <v>479.79</v>
      </c>
    </row>
    <row r="980" spans="3:6" x14ac:dyDescent="0.25">
      <c r="C980" s="2" t="s">
        <v>6196</v>
      </c>
      <c r="D980" s="2" t="s">
        <v>9</v>
      </c>
      <c r="E980" s="2">
        <v>11</v>
      </c>
      <c r="F980" s="2">
        <v>225.58</v>
      </c>
    </row>
    <row r="981" spans="3:6" x14ac:dyDescent="0.25">
      <c r="C981" s="2" t="s">
        <v>6197</v>
      </c>
      <c r="D981" s="2" t="s">
        <v>9</v>
      </c>
      <c r="E981" s="2">
        <v>23</v>
      </c>
      <c r="F981" s="2">
        <v>401.409</v>
      </c>
    </row>
    <row r="982" spans="3:6" x14ac:dyDescent="0.25">
      <c r="C982" s="2" t="s">
        <v>6198</v>
      </c>
      <c r="D982" s="2" t="s">
        <v>9</v>
      </c>
      <c r="E982" s="2">
        <v>14</v>
      </c>
      <c r="F982" s="2">
        <v>92.91</v>
      </c>
    </row>
    <row r="983" spans="3:6" x14ac:dyDescent="0.25">
      <c r="C983" s="2" t="s">
        <v>6199</v>
      </c>
      <c r="D983" s="2" t="s">
        <v>9</v>
      </c>
      <c r="E983" s="2">
        <v>5</v>
      </c>
      <c r="F983" s="2">
        <v>91.31</v>
      </c>
    </row>
    <row r="984" spans="3:6" x14ac:dyDescent="0.25">
      <c r="C984" s="2" t="s">
        <v>6200</v>
      </c>
      <c r="D984" s="2" t="s">
        <v>9</v>
      </c>
      <c r="E984" s="2">
        <v>3</v>
      </c>
      <c r="F984" s="2">
        <v>49.17</v>
      </c>
    </row>
    <row r="985" spans="3:6" x14ac:dyDescent="0.25">
      <c r="C985" s="2" t="s">
        <v>6201</v>
      </c>
      <c r="D985" s="2" t="s">
        <v>9</v>
      </c>
      <c r="E985" s="2">
        <v>1</v>
      </c>
      <c r="F985" s="2">
        <v>0.83</v>
      </c>
    </row>
    <row r="986" spans="3:6" x14ac:dyDescent="0.25">
      <c r="C986" s="2" t="s">
        <v>6202</v>
      </c>
      <c r="D986" s="2" t="s">
        <v>9</v>
      </c>
      <c r="E986" s="2">
        <v>37</v>
      </c>
      <c r="F986" s="2">
        <v>687.54</v>
      </c>
    </row>
    <row r="987" spans="3:6" x14ac:dyDescent="0.25">
      <c r="C987" s="2" t="s">
        <v>6203</v>
      </c>
      <c r="D987" s="2" t="s">
        <v>9</v>
      </c>
      <c r="E987" s="2">
        <v>20</v>
      </c>
      <c r="F987" s="2">
        <v>394.15</v>
      </c>
    </row>
    <row r="988" spans="3:6" x14ac:dyDescent="0.25">
      <c r="C988" s="2" t="s">
        <v>6204</v>
      </c>
      <c r="D988" s="2" t="s">
        <v>9</v>
      </c>
      <c r="E988" s="2">
        <v>55</v>
      </c>
      <c r="F988" s="2">
        <v>1054.269</v>
      </c>
    </row>
    <row r="989" spans="3:6" x14ac:dyDescent="0.25">
      <c r="C989" s="2" t="s">
        <v>6205</v>
      </c>
      <c r="D989" s="2" t="s">
        <v>9</v>
      </c>
      <c r="E989" s="2">
        <v>47</v>
      </c>
      <c r="F989" s="2">
        <v>806.31</v>
      </c>
    </row>
    <row r="990" spans="3:6" x14ac:dyDescent="0.25">
      <c r="C990" s="2" t="s">
        <v>6206</v>
      </c>
      <c r="D990" s="2" t="s">
        <v>9</v>
      </c>
      <c r="E990" s="2">
        <v>102</v>
      </c>
      <c r="F990" s="2">
        <v>2115.23</v>
      </c>
    </row>
    <row r="991" spans="3:6" x14ac:dyDescent="0.25">
      <c r="C991" s="2" t="s">
        <v>6207</v>
      </c>
      <c r="D991" s="2" t="s">
        <v>9</v>
      </c>
      <c r="E991" s="2">
        <v>90</v>
      </c>
      <c r="F991" s="2">
        <v>1849.65</v>
      </c>
    </row>
    <row r="992" spans="3:6" x14ac:dyDescent="0.25">
      <c r="C992" s="2" t="s">
        <v>6208</v>
      </c>
      <c r="D992" s="2" t="s">
        <v>9</v>
      </c>
      <c r="E992" s="2">
        <v>51</v>
      </c>
      <c r="F992" s="2">
        <v>1074.46</v>
      </c>
    </row>
    <row r="993" spans="3:6" x14ac:dyDescent="0.25">
      <c r="C993" s="2" t="s">
        <v>6209</v>
      </c>
      <c r="D993" s="2" t="s">
        <v>9</v>
      </c>
      <c r="E993" s="2">
        <v>109</v>
      </c>
      <c r="F993" s="2">
        <v>2294.22</v>
      </c>
    </row>
    <row r="994" spans="3:6" x14ac:dyDescent="0.25">
      <c r="C994" s="2" t="s">
        <v>6210</v>
      </c>
      <c r="D994" s="2" t="s">
        <v>9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10</v>
      </c>
      <c r="C996" s="2" t="s">
        <v>6211</v>
      </c>
      <c r="D996" s="2" t="s">
        <v>12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6212</v>
      </c>
      <c r="D997" s="2" t="s">
        <v>12</v>
      </c>
      <c r="E997" s="2">
        <v>150</v>
      </c>
      <c r="F997" s="2">
        <v>3040.388</v>
      </c>
    </row>
    <row r="998" spans="3:6" x14ac:dyDescent="0.25">
      <c r="C998" s="2" t="s">
        <v>6213</v>
      </c>
      <c r="D998" s="2" t="s">
        <v>12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10</v>
      </c>
      <c r="C1000" s="2" t="s">
        <v>6214</v>
      </c>
      <c r="D1000" s="2" t="s">
        <v>12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6215</v>
      </c>
      <c r="D1001" s="2" t="s">
        <v>12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1101</v>
      </c>
      <c r="C1003" s="2" t="s">
        <v>6216</v>
      </c>
      <c r="D1003" s="2" t="s">
        <v>20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6217</v>
      </c>
      <c r="D1004" s="2" t="s">
        <v>20</v>
      </c>
      <c r="E1004" s="2">
        <v>163</v>
      </c>
      <c r="F1004" s="2">
        <v>3146.31</v>
      </c>
    </row>
    <row r="1005" spans="3:6" x14ac:dyDescent="0.25">
      <c r="C1005" s="2" t="s">
        <v>6218</v>
      </c>
      <c r="D1005" s="2" t="s">
        <v>20</v>
      </c>
      <c r="E1005" s="2">
        <v>105</v>
      </c>
      <c r="F1005" s="2">
        <v>2081.76</v>
      </c>
    </row>
    <row r="1006" spans="3:6" x14ac:dyDescent="0.25">
      <c r="C1006" s="2" t="s">
        <v>6219</v>
      </c>
      <c r="D1006" s="2" t="s">
        <v>20</v>
      </c>
      <c r="E1006" s="2">
        <v>210</v>
      </c>
      <c r="F1006" s="2">
        <v>3945.897</v>
      </c>
    </row>
    <row r="1007" spans="3:6" x14ac:dyDescent="0.25">
      <c r="C1007" s="2" t="s">
        <v>6220</v>
      </c>
      <c r="D1007" s="2" t="s">
        <v>20</v>
      </c>
      <c r="E1007" s="2">
        <v>159</v>
      </c>
      <c r="F1007" s="2">
        <v>2875.719</v>
      </c>
    </row>
    <row r="1008" spans="3:6" x14ac:dyDescent="0.25">
      <c r="C1008" s="2" t="s">
        <v>6221</v>
      </c>
      <c r="D1008" s="2" t="s">
        <v>20</v>
      </c>
      <c r="E1008" s="2">
        <v>163</v>
      </c>
      <c r="F1008" s="2">
        <v>3138.33</v>
      </c>
    </row>
    <row r="1009" spans="3:6" x14ac:dyDescent="0.25">
      <c r="C1009" s="2" t="s">
        <v>6222</v>
      </c>
      <c r="D1009" s="2" t="s">
        <v>20</v>
      </c>
      <c r="E1009" s="2">
        <v>163</v>
      </c>
      <c r="F1009" s="2">
        <v>3203.329</v>
      </c>
    </row>
    <row r="1010" spans="3:6" x14ac:dyDescent="0.25">
      <c r="C1010" s="2" t="s">
        <v>6223</v>
      </c>
      <c r="D1010" s="2" t="s">
        <v>20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380</v>
      </c>
      <c r="C1012" s="2" t="s">
        <v>6224</v>
      </c>
      <c r="D1012" s="2" t="s">
        <v>20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6225</v>
      </c>
      <c r="D1013" s="2" t="s">
        <v>20</v>
      </c>
      <c r="E1013" s="2">
        <v>142</v>
      </c>
      <c r="F1013" s="2">
        <v>2906.01</v>
      </c>
    </row>
    <row r="1014" spans="3:6" x14ac:dyDescent="0.25">
      <c r="C1014" s="2" t="s">
        <v>6226</v>
      </c>
      <c r="D1014" s="2" t="s">
        <v>20</v>
      </c>
      <c r="E1014" s="2">
        <v>249</v>
      </c>
      <c r="F1014" s="2">
        <v>4688.006</v>
      </c>
    </row>
    <row r="1015" spans="3:6" x14ac:dyDescent="0.25">
      <c r="C1015" s="2" t="s">
        <v>6227</v>
      </c>
      <c r="D1015" s="2" t="s">
        <v>20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6228</v>
      </c>
      <c r="C1017" s="2" t="s">
        <v>6229</v>
      </c>
      <c r="D1017" s="2" t="s">
        <v>20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2097</v>
      </c>
      <c r="C1019" s="2" t="s">
        <v>6230</v>
      </c>
      <c r="D1019" s="2" t="s">
        <v>27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6231</v>
      </c>
      <c r="D1020" s="2" t="s">
        <v>27</v>
      </c>
      <c r="E1020" s="2">
        <v>12</v>
      </c>
      <c r="F1020" s="2">
        <v>168.98</v>
      </c>
    </row>
    <row r="1021" spans="3:6" x14ac:dyDescent="0.25">
      <c r="C1021" s="2" t="s">
        <v>6232</v>
      </c>
      <c r="D1021" s="2" t="s">
        <v>27</v>
      </c>
      <c r="E1021" s="2">
        <v>44</v>
      </c>
      <c r="F1021" s="2">
        <v>705.73</v>
      </c>
    </row>
    <row r="1022" spans="3:6" x14ac:dyDescent="0.25">
      <c r="C1022" s="2" t="s">
        <v>6233</v>
      </c>
      <c r="D1022" s="2" t="s">
        <v>27</v>
      </c>
      <c r="E1022" s="2">
        <v>32</v>
      </c>
      <c r="F1022" s="2">
        <v>572.15</v>
      </c>
    </row>
    <row r="1023" spans="3:6" x14ac:dyDescent="0.25">
      <c r="C1023" s="2" t="s">
        <v>6234</v>
      </c>
      <c r="D1023" s="2" t="s">
        <v>27</v>
      </c>
      <c r="E1023" s="2">
        <v>11</v>
      </c>
      <c r="F1023" s="2">
        <v>235</v>
      </c>
    </row>
    <row r="1024" spans="3:6" x14ac:dyDescent="0.25">
      <c r="C1024" s="2" t="s">
        <v>6235</v>
      </c>
      <c r="D1024" s="2" t="s">
        <v>27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10</v>
      </c>
      <c r="C1026" s="2" t="s">
        <v>6236</v>
      </c>
      <c r="D1026" s="2" t="s">
        <v>12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6237</v>
      </c>
      <c r="D1027" s="2" t="s">
        <v>12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4182</v>
      </c>
      <c r="C1029" s="2" t="s">
        <v>6238</v>
      </c>
      <c r="D1029" s="2" t="s">
        <v>122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32</v>
      </c>
      <c r="C1031" s="2" t="s">
        <v>6239</v>
      </c>
      <c r="D1031" s="2" t="s">
        <v>20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6240</v>
      </c>
      <c r="D1032" s="2" t="s">
        <v>20</v>
      </c>
      <c r="E1032" s="2">
        <v>65</v>
      </c>
      <c r="F1032" s="2">
        <v>1497.578</v>
      </c>
    </row>
    <row r="1033" spans="3:6" x14ac:dyDescent="0.25">
      <c r="C1033" s="2" t="s">
        <v>6241</v>
      </c>
      <c r="D1033" s="2" t="s">
        <v>20</v>
      </c>
      <c r="E1033" s="2">
        <v>163</v>
      </c>
      <c r="F1033" s="2">
        <v>3097.009</v>
      </c>
    </row>
    <row r="1034" spans="3:6" x14ac:dyDescent="0.25">
      <c r="C1034" s="2" t="s">
        <v>6242</v>
      </c>
      <c r="D1034" s="2" t="s">
        <v>20</v>
      </c>
      <c r="E1034" s="2">
        <v>105</v>
      </c>
      <c r="F1034" s="2">
        <v>2018.799</v>
      </c>
    </row>
    <row r="1035" spans="3:6" x14ac:dyDescent="0.25">
      <c r="C1035" s="2" t="s">
        <v>6243</v>
      </c>
      <c r="D1035" s="2" t="s">
        <v>20</v>
      </c>
      <c r="E1035" s="2">
        <v>319</v>
      </c>
      <c r="F1035" s="2">
        <v>6174.89</v>
      </c>
    </row>
    <row r="1036" spans="3:6" x14ac:dyDescent="0.25">
      <c r="C1036" s="2" t="s">
        <v>6244</v>
      </c>
      <c r="D1036" s="2" t="s">
        <v>20</v>
      </c>
      <c r="E1036" s="2">
        <v>105</v>
      </c>
      <c r="F1036" s="2">
        <v>2031.86</v>
      </c>
    </row>
    <row r="1037" spans="3:6" x14ac:dyDescent="0.25">
      <c r="C1037" s="2" t="s">
        <v>6245</v>
      </c>
      <c r="D1037" s="2" t="s">
        <v>20</v>
      </c>
      <c r="E1037" s="2">
        <v>163</v>
      </c>
      <c r="F1037" s="2">
        <v>3135.829</v>
      </c>
    </row>
    <row r="1038" spans="3:6" x14ac:dyDescent="0.25">
      <c r="C1038" s="2" t="s">
        <v>6246</v>
      </c>
      <c r="D1038" s="2" t="s">
        <v>20</v>
      </c>
      <c r="E1038" s="2">
        <v>268</v>
      </c>
      <c r="F1038" s="2">
        <v>5404.03</v>
      </c>
    </row>
    <row r="1039" spans="3:6" x14ac:dyDescent="0.25">
      <c r="C1039" s="2" t="s">
        <v>6247</v>
      </c>
      <c r="D1039" s="2" t="s">
        <v>20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6248</v>
      </c>
      <c r="C1041" s="2" t="s">
        <v>6249</v>
      </c>
      <c r="D1041" s="2" t="s">
        <v>27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6250</v>
      </c>
      <c r="D1042" s="2" t="s">
        <v>27</v>
      </c>
      <c r="E1042" s="2">
        <v>86</v>
      </c>
      <c r="F1042" s="2">
        <v>1735.718</v>
      </c>
    </row>
    <row r="1043" spans="3:6" x14ac:dyDescent="0.25">
      <c r="C1043" s="2" t="s">
        <v>6251</v>
      </c>
      <c r="D1043" s="2" t="s">
        <v>27</v>
      </c>
      <c r="E1043" s="2">
        <v>47</v>
      </c>
      <c r="F1043" s="2">
        <v>854.22</v>
      </c>
    </row>
    <row r="1044" spans="3:6" x14ac:dyDescent="0.25">
      <c r="C1044" s="2" t="s">
        <v>6252</v>
      </c>
      <c r="D1044" s="2" t="s">
        <v>27</v>
      </c>
      <c r="E1044" s="2">
        <v>42</v>
      </c>
      <c r="F1044" s="2">
        <v>739.039</v>
      </c>
    </row>
    <row r="1045" spans="3:6" x14ac:dyDescent="0.25">
      <c r="C1045" s="2" t="s">
        <v>6253</v>
      </c>
      <c r="D1045" s="2" t="s">
        <v>27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5633</v>
      </c>
      <c r="C1047" s="2" t="s">
        <v>6254</v>
      </c>
      <c r="D1047" s="2" t="s">
        <v>27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6255</v>
      </c>
      <c r="D1048" s="2" t="s">
        <v>27</v>
      </c>
      <c r="E1048" s="2">
        <v>32</v>
      </c>
      <c r="F1048" s="2">
        <v>529.019</v>
      </c>
    </row>
    <row r="1049" spans="3:6" x14ac:dyDescent="0.25">
      <c r="C1049" s="2" t="s">
        <v>6256</v>
      </c>
      <c r="D1049" s="2" t="s">
        <v>27</v>
      </c>
      <c r="E1049" s="2">
        <v>36</v>
      </c>
      <c r="F1049" s="2">
        <v>628.388</v>
      </c>
    </row>
    <row r="1050" spans="3:6" x14ac:dyDescent="0.25">
      <c r="C1050" s="2" t="s">
        <v>6257</v>
      </c>
      <c r="D1050" s="2" t="s">
        <v>27</v>
      </c>
      <c r="E1050" s="2">
        <v>93</v>
      </c>
      <c r="F1050" s="2">
        <v>1876.36</v>
      </c>
    </row>
    <row r="1051" spans="3:6" x14ac:dyDescent="0.25">
      <c r="C1051" s="2" t="s">
        <v>6258</v>
      </c>
      <c r="D1051" s="2" t="s">
        <v>27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2097</v>
      </c>
      <c r="C1053" s="2" t="s">
        <v>6259</v>
      </c>
      <c r="D1053" s="2" t="s">
        <v>27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6260</v>
      </c>
      <c r="D1054" s="2" t="s">
        <v>27</v>
      </c>
      <c r="E1054" s="2">
        <v>92</v>
      </c>
      <c r="F1054" s="2">
        <v>1792.02</v>
      </c>
    </row>
    <row r="1055" spans="3:6" x14ac:dyDescent="0.25">
      <c r="C1055" s="2" t="s">
        <v>6261</v>
      </c>
      <c r="D1055" s="2" t="s">
        <v>27</v>
      </c>
      <c r="E1055" s="2">
        <v>48</v>
      </c>
      <c r="F1055" s="2">
        <v>895.63</v>
      </c>
    </row>
    <row r="1056" spans="3:6" x14ac:dyDescent="0.25">
      <c r="C1056" s="2" t="s">
        <v>6262</v>
      </c>
      <c r="D1056" s="2" t="s">
        <v>27</v>
      </c>
      <c r="E1056" s="2">
        <v>52</v>
      </c>
      <c r="F1056" s="2">
        <v>935.42</v>
      </c>
    </row>
    <row r="1057" spans="3:6" x14ac:dyDescent="0.25">
      <c r="C1057" s="2" t="s">
        <v>6263</v>
      </c>
      <c r="D1057" s="2" t="s">
        <v>27</v>
      </c>
      <c r="E1057" s="2">
        <v>12</v>
      </c>
      <c r="F1057" s="2">
        <v>235.52</v>
      </c>
    </row>
    <row r="1058" spans="3:6" x14ac:dyDescent="0.25">
      <c r="C1058" s="2" t="s">
        <v>6264</v>
      </c>
      <c r="D1058" s="2" t="s">
        <v>27</v>
      </c>
      <c r="E1058" s="2">
        <v>16</v>
      </c>
      <c r="F1058" s="2">
        <v>265.589</v>
      </c>
    </row>
    <row r="1059" spans="3:6" x14ac:dyDescent="0.25">
      <c r="C1059" s="2" t="s">
        <v>6265</v>
      </c>
      <c r="D1059" s="2" t="s">
        <v>27</v>
      </c>
      <c r="E1059" s="2">
        <v>65</v>
      </c>
      <c r="F1059" s="2">
        <v>1264.91</v>
      </c>
    </row>
    <row r="1060" spans="3:6" x14ac:dyDescent="0.25">
      <c r="C1060" s="2" t="s">
        <v>6266</v>
      </c>
      <c r="D1060" s="2" t="s">
        <v>27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183</v>
      </c>
      <c r="C1062" s="2" t="s">
        <v>6267</v>
      </c>
      <c r="D1062" s="2" t="s">
        <v>122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6268</v>
      </c>
      <c r="D1063" s="2" t="s">
        <v>122</v>
      </c>
      <c r="E1063" s="2">
        <v>42</v>
      </c>
      <c r="F1063" s="2">
        <v>780.81</v>
      </c>
    </row>
    <row r="1064" spans="3:6" x14ac:dyDescent="0.25">
      <c r="C1064" s="2" t="s">
        <v>6269</v>
      </c>
      <c r="D1064" s="2" t="s">
        <v>122</v>
      </c>
      <c r="E1064" s="2">
        <v>50</v>
      </c>
      <c r="F1064" s="2">
        <v>897.05</v>
      </c>
    </row>
    <row r="1065" spans="3:6" x14ac:dyDescent="0.25">
      <c r="C1065" s="2" t="s">
        <v>6270</v>
      </c>
      <c r="D1065" s="2" t="s">
        <v>122</v>
      </c>
      <c r="E1065" s="2">
        <v>45</v>
      </c>
      <c r="F1065" s="2">
        <v>929.76</v>
      </c>
    </row>
    <row r="1066" spans="3:6" x14ac:dyDescent="0.25">
      <c r="C1066" s="2" t="s">
        <v>6271</v>
      </c>
      <c r="D1066" s="2" t="s">
        <v>122</v>
      </c>
      <c r="E1066" s="2">
        <v>48</v>
      </c>
      <c r="F1066" s="2">
        <v>982.63</v>
      </c>
    </row>
    <row r="1067" spans="3:6" x14ac:dyDescent="0.25">
      <c r="C1067" s="2" t="s">
        <v>6272</v>
      </c>
      <c r="D1067" s="2" t="s">
        <v>122</v>
      </c>
      <c r="E1067" s="2">
        <v>40</v>
      </c>
      <c r="F1067" s="2">
        <v>830.9</v>
      </c>
    </row>
    <row r="1068" spans="3:6" x14ac:dyDescent="0.25">
      <c r="C1068" s="2" t="s">
        <v>6273</v>
      </c>
      <c r="D1068" s="2" t="s">
        <v>122</v>
      </c>
      <c r="E1068" s="2">
        <v>35</v>
      </c>
      <c r="F1068" s="2">
        <v>712.84</v>
      </c>
    </row>
    <row r="1069" spans="3:6" x14ac:dyDescent="0.25">
      <c r="C1069" s="2" t="s">
        <v>6274</v>
      </c>
      <c r="D1069" s="2" t="s">
        <v>122</v>
      </c>
      <c r="E1069" s="2">
        <v>71</v>
      </c>
      <c r="F1069" s="2">
        <v>301.969</v>
      </c>
    </row>
    <row r="1070" spans="3:6" x14ac:dyDescent="0.25">
      <c r="C1070" s="2" t="s">
        <v>6275</v>
      </c>
      <c r="D1070" s="2" t="s">
        <v>122</v>
      </c>
      <c r="E1070" s="2">
        <v>82</v>
      </c>
      <c r="F1070" s="2">
        <v>353.069</v>
      </c>
    </row>
    <row r="1071" spans="3:6" x14ac:dyDescent="0.25">
      <c r="C1071" s="2" t="s">
        <v>6276</v>
      </c>
      <c r="D1071" s="2" t="s">
        <v>122</v>
      </c>
      <c r="E1071" s="2">
        <v>141</v>
      </c>
      <c r="F1071" s="2">
        <v>2896.77</v>
      </c>
    </row>
    <row r="1072" spans="3:6" x14ac:dyDescent="0.25">
      <c r="C1072" s="2" t="s">
        <v>6277</v>
      </c>
      <c r="D1072" s="2" t="s">
        <v>122</v>
      </c>
      <c r="E1072" s="2">
        <v>141</v>
      </c>
      <c r="F1072" s="2">
        <v>2914.239</v>
      </c>
    </row>
    <row r="1073" spans="3:6" x14ac:dyDescent="0.25">
      <c r="C1073" s="2" t="s">
        <v>6278</v>
      </c>
      <c r="D1073" s="2" t="s">
        <v>122</v>
      </c>
      <c r="E1073" s="2">
        <v>140</v>
      </c>
      <c r="F1073" s="2">
        <v>912.596</v>
      </c>
    </row>
    <row r="1074" spans="3:6" x14ac:dyDescent="0.25">
      <c r="C1074" s="2" t="s">
        <v>6279</v>
      </c>
      <c r="D1074" s="2" t="s">
        <v>122</v>
      </c>
      <c r="E1074" s="2">
        <v>130</v>
      </c>
      <c r="F1074" s="2">
        <v>1847.7</v>
      </c>
    </row>
    <row r="1075" spans="3:6" x14ac:dyDescent="0.25">
      <c r="C1075" s="2" t="s">
        <v>6280</v>
      </c>
      <c r="D1075" s="2" t="s">
        <v>122</v>
      </c>
      <c r="E1075" s="2">
        <v>127</v>
      </c>
      <c r="F1075" s="2">
        <v>1840.019</v>
      </c>
    </row>
    <row r="1076" spans="3:6" x14ac:dyDescent="0.25">
      <c r="C1076" s="2" t="s">
        <v>6281</v>
      </c>
      <c r="D1076" s="2" t="s">
        <v>122</v>
      </c>
      <c r="E1076" s="2">
        <v>121</v>
      </c>
      <c r="F1076" s="2">
        <v>1183.346</v>
      </c>
    </row>
    <row r="1077" spans="3:6" x14ac:dyDescent="0.25">
      <c r="C1077" s="2" t="s">
        <v>6282</v>
      </c>
      <c r="D1077" s="2" t="s">
        <v>122</v>
      </c>
      <c r="E1077" s="2">
        <v>121</v>
      </c>
      <c r="F1077" s="2">
        <v>1135.519</v>
      </c>
    </row>
    <row r="1078" spans="3:6" x14ac:dyDescent="0.25">
      <c r="C1078" s="2" t="s">
        <v>6283</v>
      </c>
      <c r="D1078" s="2" t="s">
        <v>122</v>
      </c>
      <c r="E1078" s="2">
        <v>121</v>
      </c>
      <c r="F1078" s="2">
        <v>1496.696</v>
      </c>
    </row>
    <row r="1079" spans="3:6" x14ac:dyDescent="0.25">
      <c r="C1079" s="2" t="s">
        <v>6284</v>
      </c>
      <c r="D1079" s="2" t="s">
        <v>122</v>
      </c>
      <c r="E1079" s="2">
        <v>22</v>
      </c>
      <c r="F1079" s="2">
        <v>423.02</v>
      </c>
    </row>
    <row r="1080" spans="3:6" x14ac:dyDescent="0.25">
      <c r="C1080" s="2" t="s">
        <v>6285</v>
      </c>
      <c r="D1080" s="2" t="s">
        <v>122</v>
      </c>
      <c r="E1080" s="2">
        <v>21</v>
      </c>
      <c r="F1080" s="2">
        <v>427.71</v>
      </c>
    </row>
    <row r="1081" spans="3:6" x14ac:dyDescent="0.25">
      <c r="C1081" s="2" t="s">
        <v>6286</v>
      </c>
      <c r="D1081" s="2" t="s">
        <v>122</v>
      </c>
      <c r="E1081" s="2">
        <v>50</v>
      </c>
      <c r="F1081" s="2">
        <v>973.61</v>
      </c>
    </row>
    <row r="1082" spans="3:6" x14ac:dyDescent="0.25">
      <c r="C1082" s="2" t="s">
        <v>6287</v>
      </c>
      <c r="D1082" s="2" t="s">
        <v>122</v>
      </c>
      <c r="E1082" s="2">
        <v>10</v>
      </c>
      <c r="F1082" s="2">
        <v>169.92</v>
      </c>
    </row>
    <row r="1083" spans="3:6" x14ac:dyDescent="0.25">
      <c r="C1083" s="2" t="s">
        <v>6288</v>
      </c>
      <c r="D1083" s="2" t="s">
        <v>122</v>
      </c>
      <c r="E1083" s="2">
        <v>24</v>
      </c>
      <c r="F1083" s="2">
        <v>493.83</v>
      </c>
    </row>
    <row r="1084" spans="3:6" x14ac:dyDescent="0.25">
      <c r="C1084" s="2" t="s">
        <v>6289</v>
      </c>
      <c r="D1084" s="2" t="s">
        <v>122</v>
      </c>
      <c r="E1084" s="2">
        <v>48</v>
      </c>
      <c r="F1084" s="2">
        <v>943.219</v>
      </c>
    </row>
    <row r="1085" spans="3:6" x14ac:dyDescent="0.25">
      <c r="C1085" s="2" t="s">
        <v>6290</v>
      </c>
      <c r="D1085" s="2" t="s">
        <v>122</v>
      </c>
      <c r="E1085" s="2">
        <v>49</v>
      </c>
      <c r="F1085" s="2">
        <v>1024</v>
      </c>
    </row>
    <row r="1086" spans="3:6" x14ac:dyDescent="0.25">
      <c r="C1086" s="2" t="s">
        <v>6291</v>
      </c>
      <c r="D1086" s="2" t="s">
        <v>122</v>
      </c>
      <c r="E1086" s="2">
        <v>121</v>
      </c>
      <c r="F1086" s="2">
        <v>2180.447</v>
      </c>
    </row>
    <row r="1087" spans="3:6" x14ac:dyDescent="0.25">
      <c r="C1087" s="2" t="s">
        <v>6292</v>
      </c>
      <c r="D1087" s="2" t="s">
        <v>122</v>
      </c>
      <c r="E1087" s="2">
        <v>70</v>
      </c>
      <c r="F1087" s="2">
        <v>1374.65</v>
      </c>
    </row>
    <row r="1088" spans="3:6" x14ac:dyDescent="0.25">
      <c r="C1088" s="2" t="s">
        <v>6293</v>
      </c>
      <c r="D1088" s="2" t="s">
        <v>122</v>
      </c>
      <c r="E1088" s="2">
        <v>64</v>
      </c>
      <c r="F1088" s="2">
        <v>1249.74</v>
      </c>
    </row>
    <row r="1089" spans="3:6" x14ac:dyDescent="0.25">
      <c r="C1089" s="2" t="s">
        <v>6294</v>
      </c>
      <c r="D1089" s="2" t="s">
        <v>122</v>
      </c>
      <c r="E1089" s="2">
        <v>70</v>
      </c>
      <c r="F1089" s="2">
        <v>1253.57</v>
      </c>
    </row>
    <row r="1090" spans="3:6" x14ac:dyDescent="0.25">
      <c r="C1090" s="2" t="s">
        <v>6295</v>
      </c>
      <c r="D1090" s="2" t="s">
        <v>122</v>
      </c>
      <c r="E1090" s="2">
        <v>32</v>
      </c>
      <c r="F1090" s="2">
        <v>630.95</v>
      </c>
    </row>
    <row r="1091" spans="3:6" x14ac:dyDescent="0.25">
      <c r="C1091" s="2" t="s">
        <v>6296</v>
      </c>
      <c r="D1091" s="2" t="s">
        <v>122</v>
      </c>
      <c r="E1091" s="2">
        <v>52</v>
      </c>
      <c r="F1091" s="2">
        <v>1070.679</v>
      </c>
    </row>
    <row r="1092" spans="3:6" x14ac:dyDescent="0.25">
      <c r="C1092" s="2" t="s">
        <v>6297</v>
      </c>
      <c r="D1092" s="2" t="s">
        <v>122</v>
      </c>
      <c r="E1092" s="2">
        <v>50</v>
      </c>
      <c r="F1092" s="2">
        <v>999.11</v>
      </c>
    </row>
    <row r="1093" spans="3:6" x14ac:dyDescent="0.25">
      <c r="C1093" s="2" t="s">
        <v>6298</v>
      </c>
      <c r="D1093" s="2" t="s">
        <v>122</v>
      </c>
      <c r="E1093" s="2">
        <v>25</v>
      </c>
      <c r="F1093" s="2">
        <v>493.81</v>
      </c>
    </row>
    <row r="1094" spans="3:6" x14ac:dyDescent="0.25">
      <c r="C1094" s="2" t="s">
        <v>6299</v>
      </c>
      <c r="D1094" s="2" t="s">
        <v>122</v>
      </c>
      <c r="E1094" s="2">
        <v>8</v>
      </c>
      <c r="F1094" s="2">
        <v>153.84</v>
      </c>
    </row>
    <row r="1095" spans="3:6" x14ac:dyDescent="0.25">
      <c r="C1095" s="2" t="s">
        <v>6300</v>
      </c>
      <c r="D1095" s="2" t="s">
        <v>122</v>
      </c>
      <c r="E1095" s="2">
        <v>40</v>
      </c>
      <c r="F1095" s="2">
        <v>802.73</v>
      </c>
    </row>
    <row r="1096" spans="3:6" x14ac:dyDescent="0.25">
      <c r="C1096" s="2" t="s">
        <v>6301</v>
      </c>
      <c r="D1096" s="2" t="s">
        <v>122</v>
      </c>
      <c r="E1096" s="2">
        <v>9</v>
      </c>
      <c r="F1096" s="2">
        <v>191.12</v>
      </c>
    </row>
    <row r="1097" spans="3:6" x14ac:dyDescent="0.25">
      <c r="C1097" s="2" t="s">
        <v>6302</v>
      </c>
      <c r="D1097" s="2" t="s">
        <v>122</v>
      </c>
      <c r="E1097" s="2">
        <v>20</v>
      </c>
      <c r="F1097" s="2">
        <v>355.279</v>
      </c>
    </row>
    <row r="1098" spans="3:6" x14ac:dyDescent="0.25">
      <c r="C1098" s="2" t="s">
        <v>6303</v>
      </c>
      <c r="D1098" s="2" t="s">
        <v>122</v>
      </c>
      <c r="E1098" s="2">
        <v>96</v>
      </c>
      <c r="F1098" s="2">
        <v>1943.34</v>
      </c>
    </row>
    <row r="1099" spans="3:6" x14ac:dyDescent="0.25">
      <c r="C1099" s="2" t="s">
        <v>6304</v>
      </c>
      <c r="D1099" s="2" t="s">
        <v>122</v>
      </c>
      <c r="E1099" s="2">
        <v>46</v>
      </c>
      <c r="F1099" s="2">
        <v>856.35</v>
      </c>
    </row>
    <row r="1100" spans="3:6" x14ac:dyDescent="0.25">
      <c r="C1100" s="2" t="s">
        <v>6305</v>
      </c>
      <c r="D1100" s="2" t="s">
        <v>122</v>
      </c>
      <c r="E1100" s="2">
        <v>101</v>
      </c>
      <c r="F1100" s="2">
        <v>2049.469</v>
      </c>
    </row>
    <row r="1101" spans="3:6" x14ac:dyDescent="0.25">
      <c r="C1101" s="2" t="s">
        <v>6306</v>
      </c>
      <c r="D1101" s="2" t="s">
        <v>122</v>
      </c>
      <c r="E1101" s="2">
        <v>40</v>
      </c>
      <c r="F1101" s="2">
        <v>749.77</v>
      </c>
    </row>
    <row r="1102" spans="3:6" x14ac:dyDescent="0.25">
      <c r="C1102" s="2" t="s">
        <v>6307</v>
      </c>
      <c r="D1102" s="2" t="s">
        <v>122</v>
      </c>
      <c r="E1102" s="2">
        <v>16</v>
      </c>
      <c r="F1102" s="2">
        <v>296.08</v>
      </c>
    </row>
    <row r="1103" spans="3:6" x14ac:dyDescent="0.25">
      <c r="C1103" s="2" t="s">
        <v>6308</v>
      </c>
      <c r="D1103" s="2" t="s">
        <v>122</v>
      </c>
      <c r="E1103" s="2">
        <v>28</v>
      </c>
      <c r="F1103" s="2">
        <v>540.96</v>
      </c>
    </row>
    <row r="1104" spans="3:6" x14ac:dyDescent="0.25">
      <c r="C1104" s="2" t="s">
        <v>6309</v>
      </c>
      <c r="D1104" s="2" t="s">
        <v>122</v>
      </c>
      <c r="E1104" s="2">
        <v>81</v>
      </c>
      <c r="F1104" s="2">
        <v>1579.699</v>
      </c>
    </row>
    <row r="1105" spans="3:6" x14ac:dyDescent="0.25">
      <c r="C1105" s="2" t="s">
        <v>6310</v>
      </c>
      <c r="D1105" s="2" t="s">
        <v>122</v>
      </c>
      <c r="E1105" s="2">
        <v>16</v>
      </c>
      <c r="F1105" s="2">
        <v>290.88</v>
      </c>
    </row>
    <row r="1106" spans="3:6" x14ac:dyDescent="0.25">
      <c r="C1106" s="2" t="s">
        <v>6311</v>
      </c>
      <c r="D1106" s="2" t="s">
        <v>122</v>
      </c>
      <c r="E1106" s="2">
        <v>66</v>
      </c>
      <c r="F1106" s="2">
        <v>1284.67</v>
      </c>
    </row>
    <row r="1107" spans="3:6" x14ac:dyDescent="0.25">
      <c r="C1107" s="2" t="s">
        <v>6312</v>
      </c>
      <c r="D1107" s="2" t="s">
        <v>122</v>
      </c>
      <c r="E1107" s="2">
        <v>35</v>
      </c>
      <c r="F1107" s="2">
        <v>539.829</v>
      </c>
    </row>
    <row r="1108" spans="3:6" x14ac:dyDescent="0.25">
      <c r="C1108" s="2" t="s">
        <v>6313</v>
      </c>
      <c r="D1108" s="2" t="s">
        <v>122</v>
      </c>
      <c r="E1108" s="2">
        <v>29</v>
      </c>
      <c r="F1108" s="2">
        <v>518.87</v>
      </c>
    </row>
    <row r="1109" spans="3:6" x14ac:dyDescent="0.25">
      <c r="C1109" s="2" t="s">
        <v>6314</v>
      </c>
      <c r="D1109" s="2" t="s">
        <v>122</v>
      </c>
      <c r="E1109" s="2">
        <v>12</v>
      </c>
      <c r="F1109" s="2">
        <v>245.53</v>
      </c>
    </row>
    <row r="1110" spans="3:6" x14ac:dyDescent="0.25">
      <c r="C1110" s="2" t="s">
        <v>6315</v>
      </c>
      <c r="D1110" s="2" t="s">
        <v>122</v>
      </c>
      <c r="E1110" s="2">
        <v>47</v>
      </c>
      <c r="F1110" s="2">
        <v>927.08</v>
      </c>
    </row>
    <row r="1111" spans="3:6" x14ac:dyDescent="0.25">
      <c r="C1111" s="2" t="s">
        <v>6316</v>
      </c>
      <c r="D1111" s="2" t="s">
        <v>122</v>
      </c>
      <c r="E1111" s="2">
        <v>26</v>
      </c>
      <c r="F1111" s="2">
        <v>514.21</v>
      </c>
    </row>
    <row r="1112" spans="3:6" x14ac:dyDescent="0.25">
      <c r="C1112" s="2" t="s">
        <v>6317</v>
      </c>
      <c r="D1112" s="2" t="s">
        <v>122</v>
      </c>
      <c r="E1112" s="2">
        <v>21</v>
      </c>
      <c r="F1112" s="2">
        <v>330.13</v>
      </c>
    </row>
    <row r="1113" spans="3:6" x14ac:dyDescent="0.25">
      <c r="C1113" s="2" t="s">
        <v>6318</v>
      </c>
      <c r="D1113" s="2" t="s">
        <v>122</v>
      </c>
      <c r="E1113" s="2">
        <v>18</v>
      </c>
      <c r="F1113" s="2">
        <v>337.19</v>
      </c>
    </row>
    <row r="1114" spans="3:6" x14ac:dyDescent="0.25">
      <c r="C1114" s="2" t="s">
        <v>6319</v>
      </c>
      <c r="D1114" s="2" t="s">
        <v>122</v>
      </c>
      <c r="E1114" s="2">
        <v>17</v>
      </c>
      <c r="F1114" s="2">
        <v>357.56</v>
      </c>
    </row>
    <row r="1115" spans="3:6" x14ac:dyDescent="0.25">
      <c r="C1115" s="2" t="s">
        <v>6320</v>
      </c>
      <c r="D1115" s="2" t="s">
        <v>122</v>
      </c>
      <c r="E1115" s="2">
        <v>12</v>
      </c>
      <c r="F1115" s="2">
        <v>242.17</v>
      </c>
    </row>
    <row r="1116" spans="3:6" x14ac:dyDescent="0.25">
      <c r="C1116" s="2" t="s">
        <v>6321</v>
      </c>
      <c r="D1116" s="2" t="s">
        <v>122</v>
      </c>
      <c r="E1116" s="2">
        <v>141</v>
      </c>
      <c r="F1116" s="2">
        <v>2684.379</v>
      </c>
    </row>
    <row r="1117" spans="3:6" x14ac:dyDescent="0.25">
      <c r="C1117" s="2" t="s">
        <v>6322</v>
      </c>
      <c r="D1117" s="2" t="s">
        <v>122</v>
      </c>
      <c r="E1117" s="2">
        <v>75</v>
      </c>
      <c r="F1117" s="2">
        <v>1450.03</v>
      </c>
    </row>
    <row r="1118" spans="3:6" x14ac:dyDescent="0.25">
      <c r="C1118" s="2" t="s">
        <v>6323</v>
      </c>
      <c r="D1118" s="2" t="s">
        <v>122</v>
      </c>
      <c r="E1118" s="2">
        <v>31</v>
      </c>
      <c r="F1118" s="2">
        <v>540.33</v>
      </c>
    </row>
    <row r="1119" spans="3:6" x14ac:dyDescent="0.25">
      <c r="C1119" s="2" t="s">
        <v>6324</v>
      </c>
      <c r="D1119" s="2" t="s">
        <v>122</v>
      </c>
      <c r="E1119" s="2">
        <v>18</v>
      </c>
      <c r="F1119" s="2">
        <v>355.2</v>
      </c>
    </row>
    <row r="1120" spans="3:6" x14ac:dyDescent="0.25">
      <c r="C1120" s="2" t="s">
        <v>6325</v>
      </c>
      <c r="D1120" s="2" t="s">
        <v>122</v>
      </c>
      <c r="E1120" s="2">
        <v>17</v>
      </c>
      <c r="F1120" s="2">
        <v>347.86</v>
      </c>
    </row>
    <row r="1121" spans="3:6" x14ac:dyDescent="0.25">
      <c r="C1121" s="2" t="s">
        <v>6326</v>
      </c>
      <c r="D1121" s="2" t="s">
        <v>122</v>
      </c>
      <c r="E1121" s="2">
        <v>121</v>
      </c>
      <c r="F1121" s="2">
        <v>1136.312</v>
      </c>
    </row>
    <row r="1122" spans="3:6" x14ac:dyDescent="0.25">
      <c r="C1122" s="2" t="s">
        <v>6327</v>
      </c>
      <c r="D1122" s="2" t="s">
        <v>122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398</v>
      </c>
      <c r="C1124" s="2" t="s">
        <v>6328</v>
      </c>
      <c r="D1124" s="2" t="s">
        <v>12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6329</v>
      </c>
      <c r="D1125" s="2" t="s">
        <v>12</v>
      </c>
      <c r="E1125" s="2">
        <v>150</v>
      </c>
      <c r="F1125" s="2">
        <v>2893.436</v>
      </c>
    </row>
    <row r="1126" spans="3:6" x14ac:dyDescent="0.25">
      <c r="C1126" s="2" t="s">
        <v>6330</v>
      </c>
      <c r="D1126" s="2" t="s">
        <v>12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10</v>
      </c>
      <c r="C1128" s="2" t="s">
        <v>6331</v>
      </c>
      <c r="D1128" s="2" t="s">
        <v>12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6332</v>
      </c>
      <c r="D1129" s="2" t="s">
        <v>12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32</v>
      </c>
      <c r="C1131" s="2" t="s">
        <v>6333</v>
      </c>
      <c r="D1131" s="2" t="s">
        <v>20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6334</v>
      </c>
      <c r="D1132" s="2" t="s">
        <v>20</v>
      </c>
      <c r="E1132" s="2">
        <v>265</v>
      </c>
      <c r="F1132" s="2">
        <v>5037.847</v>
      </c>
    </row>
    <row r="1133" spans="3:6" x14ac:dyDescent="0.25">
      <c r="C1133" s="2" t="s">
        <v>6335</v>
      </c>
      <c r="D1133" s="2" t="s">
        <v>20</v>
      </c>
      <c r="E1133" s="2">
        <v>163</v>
      </c>
      <c r="F1133" s="2">
        <v>3042.409</v>
      </c>
    </row>
    <row r="1134" spans="3:6" x14ac:dyDescent="0.25">
      <c r="C1134" s="2" t="s">
        <v>6336</v>
      </c>
      <c r="D1134" s="2" t="s">
        <v>20</v>
      </c>
      <c r="E1134" s="2">
        <v>268</v>
      </c>
      <c r="F1134" s="2">
        <v>5318.435</v>
      </c>
    </row>
    <row r="1135" spans="3:6" x14ac:dyDescent="0.25">
      <c r="C1135" s="2" t="s">
        <v>6337</v>
      </c>
      <c r="D1135" s="2" t="s">
        <v>20</v>
      </c>
      <c r="E1135" s="2">
        <v>105</v>
      </c>
      <c r="F1135" s="2">
        <v>2029.64</v>
      </c>
    </row>
    <row r="1136" spans="3:6" x14ac:dyDescent="0.25">
      <c r="C1136" s="2" t="s">
        <v>6338</v>
      </c>
      <c r="D1136" s="2" t="s">
        <v>20</v>
      </c>
      <c r="E1136" s="2">
        <v>160</v>
      </c>
      <c r="F1136" s="2">
        <v>3025.929</v>
      </c>
    </row>
    <row r="1137" spans="3:6" x14ac:dyDescent="0.25">
      <c r="C1137" s="2" t="s">
        <v>6339</v>
      </c>
      <c r="D1137" s="2" t="s">
        <v>20</v>
      </c>
      <c r="E1137" s="2">
        <v>163</v>
      </c>
      <c r="F1137" s="2">
        <v>3113.36</v>
      </c>
    </row>
    <row r="1138" spans="3:6" x14ac:dyDescent="0.25">
      <c r="C1138" s="2" t="s">
        <v>6340</v>
      </c>
      <c r="D1138" s="2" t="s">
        <v>20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2196</v>
      </c>
      <c r="C1140" s="2" t="s">
        <v>6341</v>
      </c>
      <c r="D1140" s="2" t="s">
        <v>9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6342</v>
      </c>
      <c r="D1141" s="2" t="s">
        <v>9</v>
      </c>
      <c r="E1141" s="2">
        <v>123</v>
      </c>
      <c r="F1141" s="2">
        <v>2391.47</v>
      </c>
    </row>
    <row r="1142" spans="3:6" x14ac:dyDescent="0.25">
      <c r="C1142" s="2" t="s">
        <v>6343</v>
      </c>
      <c r="D1142" s="2" t="s">
        <v>9</v>
      </c>
      <c r="E1142" s="2">
        <v>123</v>
      </c>
      <c r="F1142" s="2">
        <v>2579.279</v>
      </c>
    </row>
    <row r="1143" spans="3:6" x14ac:dyDescent="0.25">
      <c r="C1143" s="2" t="s">
        <v>6344</v>
      </c>
      <c r="D1143" s="2" t="s">
        <v>9</v>
      </c>
      <c r="E1143" s="2">
        <v>46</v>
      </c>
      <c r="F1143" s="2">
        <v>928.73</v>
      </c>
    </row>
    <row r="1144" spans="3:6" x14ac:dyDescent="0.25">
      <c r="C1144" s="2" t="s">
        <v>6345</v>
      </c>
      <c r="D1144" s="2" t="s">
        <v>9</v>
      </c>
      <c r="E1144" s="2">
        <v>88</v>
      </c>
      <c r="F1144" s="2">
        <v>1831.209</v>
      </c>
    </row>
    <row r="1145" spans="3:6" x14ac:dyDescent="0.25">
      <c r="C1145" s="2" t="s">
        <v>6346</v>
      </c>
      <c r="D1145" s="2" t="s">
        <v>9</v>
      </c>
      <c r="E1145" s="2">
        <v>59</v>
      </c>
      <c r="F1145" s="2">
        <v>1179.88</v>
      </c>
    </row>
    <row r="1146" spans="3:6" x14ac:dyDescent="0.25">
      <c r="C1146" s="2" t="s">
        <v>6347</v>
      </c>
      <c r="D1146" s="2" t="s">
        <v>9</v>
      </c>
      <c r="E1146" s="2">
        <v>55</v>
      </c>
      <c r="F1146" s="2">
        <v>1034.43</v>
      </c>
    </row>
    <row r="1147" spans="3:6" x14ac:dyDescent="0.25">
      <c r="C1147" s="2" t="s">
        <v>6348</v>
      </c>
      <c r="D1147" s="2" t="s">
        <v>9</v>
      </c>
      <c r="E1147" s="2">
        <v>141</v>
      </c>
      <c r="F1147" s="2">
        <v>2891.07</v>
      </c>
    </row>
    <row r="1148" spans="3:6" x14ac:dyDescent="0.25">
      <c r="C1148" s="2" t="s">
        <v>6349</v>
      </c>
      <c r="D1148" s="2" t="s">
        <v>9</v>
      </c>
      <c r="E1148" s="2">
        <v>90</v>
      </c>
      <c r="F1148" s="2">
        <v>387.269</v>
      </c>
    </row>
    <row r="1149" spans="3:6" x14ac:dyDescent="0.25">
      <c r="C1149" s="2" t="s">
        <v>6350</v>
      </c>
      <c r="D1149" s="2" t="s">
        <v>9</v>
      </c>
      <c r="E1149" s="2">
        <v>102</v>
      </c>
      <c r="F1149" s="2">
        <v>2063.37</v>
      </c>
    </row>
    <row r="1150" spans="3:6" x14ac:dyDescent="0.25">
      <c r="C1150" s="2" t="s">
        <v>6351</v>
      </c>
      <c r="D1150" s="2" t="s">
        <v>9</v>
      </c>
      <c r="E1150" s="2">
        <v>142</v>
      </c>
      <c r="F1150" s="2">
        <v>2838.96</v>
      </c>
    </row>
    <row r="1151" spans="3:6" x14ac:dyDescent="0.25">
      <c r="C1151" s="2" t="s">
        <v>6352</v>
      </c>
      <c r="D1151" s="2" t="s">
        <v>9</v>
      </c>
      <c r="E1151" s="2">
        <v>141</v>
      </c>
      <c r="F1151" s="2">
        <v>2886.58</v>
      </c>
    </row>
    <row r="1152" spans="3:6" x14ac:dyDescent="0.25">
      <c r="C1152" s="2" t="s">
        <v>6353</v>
      </c>
      <c r="D1152" s="2" t="s">
        <v>9</v>
      </c>
      <c r="E1152" s="2">
        <v>142</v>
      </c>
      <c r="F1152" s="2">
        <v>2786.33</v>
      </c>
    </row>
    <row r="1153" spans="3:6" x14ac:dyDescent="0.25">
      <c r="C1153" s="2" t="s">
        <v>6354</v>
      </c>
      <c r="D1153" s="2" t="s">
        <v>9</v>
      </c>
      <c r="E1153" s="2">
        <v>60</v>
      </c>
      <c r="F1153" s="2">
        <v>262.517</v>
      </c>
    </row>
    <row r="1154" spans="3:6" x14ac:dyDescent="0.25">
      <c r="C1154" s="2" t="s">
        <v>6355</v>
      </c>
      <c r="D1154" s="2" t="s">
        <v>9</v>
      </c>
      <c r="E1154" s="2">
        <v>141</v>
      </c>
      <c r="F1154" s="2">
        <v>2878.75</v>
      </c>
    </row>
    <row r="1155" spans="3:6" x14ac:dyDescent="0.25">
      <c r="C1155" s="2" t="s">
        <v>6356</v>
      </c>
      <c r="D1155" s="2" t="s">
        <v>9</v>
      </c>
      <c r="E1155" s="2">
        <v>144</v>
      </c>
      <c r="F1155" s="2">
        <v>2409.889</v>
      </c>
    </row>
    <row r="1156" spans="3:6" x14ac:dyDescent="0.25">
      <c r="C1156" s="2" t="s">
        <v>6357</v>
      </c>
      <c r="D1156" s="2" t="s">
        <v>9</v>
      </c>
      <c r="E1156" s="2">
        <v>141</v>
      </c>
      <c r="F1156" s="2">
        <v>2874.879</v>
      </c>
    </row>
    <row r="1157" spans="3:6" x14ac:dyDescent="0.25">
      <c r="C1157" s="2" t="s">
        <v>6358</v>
      </c>
      <c r="D1157" s="2" t="s">
        <v>9</v>
      </c>
      <c r="E1157" s="2">
        <v>141</v>
      </c>
      <c r="F1157" s="2">
        <v>2545.64</v>
      </c>
    </row>
    <row r="1158" spans="3:6" x14ac:dyDescent="0.25">
      <c r="C1158" s="2" t="s">
        <v>6359</v>
      </c>
      <c r="D1158" s="2" t="s">
        <v>9</v>
      </c>
      <c r="E1158" s="2">
        <v>93</v>
      </c>
      <c r="F1158" s="2">
        <v>1915.059</v>
      </c>
    </row>
    <row r="1159" spans="3:6" x14ac:dyDescent="0.25">
      <c r="C1159" s="2" t="s">
        <v>6360</v>
      </c>
      <c r="D1159" s="2" t="s">
        <v>9</v>
      </c>
      <c r="E1159" s="2">
        <v>48</v>
      </c>
      <c r="F1159" s="2">
        <v>1012.28</v>
      </c>
    </row>
    <row r="1160" spans="3:6" x14ac:dyDescent="0.25">
      <c r="C1160" s="2" t="s">
        <v>6361</v>
      </c>
      <c r="D1160" s="2" t="s">
        <v>9</v>
      </c>
      <c r="E1160" s="2">
        <v>102</v>
      </c>
      <c r="F1160" s="2">
        <v>2111.4</v>
      </c>
    </row>
    <row r="1161" spans="3:6" x14ac:dyDescent="0.25">
      <c r="C1161" s="2" t="s">
        <v>6362</v>
      </c>
      <c r="D1161" s="2" t="s">
        <v>9</v>
      </c>
      <c r="E1161" s="2">
        <v>141</v>
      </c>
      <c r="F1161" s="2">
        <v>2760.699</v>
      </c>
    </row>
    <row r="1162" spans="3:6" x14ac:dyDescent="0.25">
      <c r="C1162" s="2" t="s">
        <v>6363</v>
      </c>
      <c r="D1162" s="2" t="s">
        <v>9</v>
      </c>
      <c r="E1162" s="2">
        <v>57</v>
      </c>
      <c r="F1162" s="2">
        <v>1140.23</v>
      </c>
    </row>
    <row r="1163" spans="3:6" x14ac:dyDescent="0.25">
      <c r="C1163" s="2" t="s">
        <v>6364</v>
      </c>
      <c r="D1163" s="2" t="s">
        <v>9</v>
      </c>
      <c r="E1163" s="2">
        <v>84</v>
      </c>
      <c r="F1163" s="2">
        <v>1668.399</v>
      </c>
    </row>
    <row r="1164" spans="3:6" x14ac:dyDescent="0.25">
      <c r="C1164" s="2" t="s">
        <v>6365</v>
      </c>
      <c r="D1164" s="2" t="s">
        <v>9</v>
      </c>
      <c r="E1164" s="2">
        <v>141</v>
      </c>
      <c r="F1164" s="2">
        <v>2457.669</v>
      </c>
    </row>
    <row r="1165" spans="3:6" x14ac:dyDescent="0.25">
      <c r="C1165" s="2" t="s">
        <v>6366</v>
      </c>
      <c r="D1165" s="2" t="s">
        <v>9</v>
      </c>
      <c r="E1165" s="2">
        <v>102</v>
      </c>
      <c r="F1165" s="2">
        <v>1906.53</v>
      </c>
    </row>
    <row r="1166" spans="3:6" x14ac:dyDescent="0.25">
      <c r="C1166" s="2" t="s">
        <v>6367</v>
      </c>
      <c r="D1166" s="2" t="s">
        <v>9</v>
      </c>
      <c r="E1166" s="2">
        <v>47</v>
      </c>
      <c r="F1166" s="2">
        <v>871.33</v>
      </c>
    </row>
    <row r="1167" spans="3:6" x14ac:dyDescent="0.25">
      <c r="C1167" s="2" t="s">
        <v>6368</v>
      </c>
      <c r="D1167" s="2" t="s">
        <v>9</v>
      </c>
      <c r="E1167" s="2">
        <v>44</v>
      </c>
      <c r="F1167" s="2">
        <v>770.89</v>
      </c>
    </row>
    <row r="1168" spans="3:6" x14ac:dyDescent="0.25">
      <c r="C1168" s="2" t="s">
        <v>6369</v>
      </c>
      <c r="D1168" s="2" t="s">
        <v>9</v>
      </c>
      <c r="E1168" s="2">
        <v>9</v>
      </c>
      <c r="F1168" s="2">
        <v>199.62</v>
      </c>
    </row>
    <row r="1169" spans="3:6" x14ac:dyDescent="0.25">
      <c r="C1169" s="2" t="s">
        <v>6370</v>
      </c>
      <c r="D1169" s="2" t="s">
        <v>9</v>
      </c>
      <c r="E1169" s="2">
        <v>41</v>
      </c>
      <c r="F1169" s="2">
        <v>772.65</v>
      </c>
    </row>
    <row r="1170" spans="3:6" x14ac:dyDescent="0.25">
      <c r="C1170" s="2" t="s">
        <v>6371</v>
      </c>
      <c r="D1170" s="2" t="s">
        <v>9</v>
      </c>
      <c r="E1170" s="2">
        <v>60</v>
      </c>
      <c r="F1170" s="2">
        <v>1148.12</v>
      </c>
    </row>
    <row r="1171" spans="3:6" x14ac:dyDescent="0.25">
      <c r="C1171" s="2" t="s">
        <v>6372</v>
      </c>
      <c r="D1171" s="2" t="s">
        <v>9</v>
      </c>
      <c r="E1171" s="2">
        <v>43</v>
      </c>
      <c r="F1171" s="2">
        <v>873.38</v>
      </c>
    </row>
    <row r="1172" spans="3:6" x14ac:dyDescent="0.25">
      <c r="C1172" s="2" t="s">
        <v>6373</v>
      </c>
      <c r="D1172" s="2" t="s">
        <v>9</v>
      </c>
      <c r="E1172" s="2">
        <v>141</v>
      </c>
      <c r="F1172" s="2">
        <v>2736.649</v>
      </c>
    </row>
    <row r="1173" spans="3:6" x14ac:dyDescent="0.25">
      <c r="C1173" s="2" t="s">
        <v>6374</v>
      </c>
      <c r="D1173" s="2" t="s">
        <v>9</v>
      </c>
      <c r="E1173" s="2">
        <v>51</v>
      </c>
      <c r="F1173" s="2">
        <v>981.448</v>
      </c>
    </row>
    <row r="1174" spans="3:6" x14ac:dyDescent="0.25">
      <c r="C1174" s="2" t="s">
        <v>6375</v>
      </c>
      <c r="D1174" s="2" t="s">
        <v>9</v>
      </c>
      <c r="E1174" s="2">
        <v>3</v>
      </c>
      <c r="F1174" s="2">
        <v>58.44</v>
      </c>
    </row>
    <row r="1175" spans="3:6" x14ac:dyDescent="0.25">
      <c r="C1175" s="2" t="s">
        <v>6376</v>
      </c>
      <c r="D1175" s="2" t="s">
        <v>9</v>
      </c>
      <c r="E1175" s="2">
        <v>5</v>
      </c>
      <c r="F1175" s="2">
        <v>88.57</v>
      </c>
    </row>
    <row r="1176" spans="3:6" x14ac:dyDescent="0.25">
      <c r="C1176" s="2" t="s">
        <v>6377</v>
      </c>
      <c r="D1176" s="2" t="s">
        <v>9</v>
      </c>
      <c r="E1176" s="2">
        <v>10</v>
      </c>
      <c r="F1176" s="2">
        <v>76.67</v>
      </c>
    </row>
    <row r="1177" spans="3:6" x14ac:dyDescent="0.25">
      <c r="C1177" s="2" t="s">
        <v>6378</v>
      </c>
      <c r="D1177" s="2" t="s">
        <v>9</v>
      </c>
      <c r="E1177" s="2">
        <v>9</v>
      </c>
      <c r="F1177" s="2">
        <v>168.5</v>
      </c>
    </row>
    <row r="1178" spans="3:6" x14ac:dyDescent="0.25">
      <c r="C1178" s="2" t="s">
        <v>6379</v>
      </c>
      <c r="D1178" s="2" t="s">
        <v>9</v>
      </c>
      <c r="E1178" s="2">
        <v>131</v>
      </c>
      <c r="F1178" s="2">
        <v>2618.93</v>
      </c>
    </row>
    <row r="1179" spans="3:6" x14ac:dyDescent="0.25">
      <c r="C1179" s="2" t="s">
        <v>6380</v>
      </c>
      <c r="D1179" s="2" t="s">
        <v>9</v>
      </c>
      <c r="E1179" s="2">
        <v>96</v>
      </c>
      <c r="F1179" s="2">
        <v>1900.75</v>
      </c>
    </row>
    <row r="1180" spans="3:6" x14ac:dyDescent="0.25">
      <c r="C1180" s="2" t="s">
        <v>6381</v>
      </c>
      <c r="D1180" s="2" t="s">
        <v>9</v>
      </c>
      <c r="E1180" s="2">
        <v>141</v>
      </c>
      <c r="F1180" s="2">
        <v>2578.92</v>
      </c>
    </row>
    <row r="1181" spans="3:6" x14ac:dyDescent="0.25">
      <c r="C1181" s="2" t="s">
        <v>6382</v>
      </c>
      <c r="D1181" s="2" t="s">
        <v>9</v>
      </c>
      <c r="E1181" s="2">
        <v>57</v>
      </c>
      <c r="F1181" s="2">
        <v>1088.46</v>
      </c>
    </row>
    <row r="1182" spans="3:6" x14ac:dyDescent="0.25">
      <c r="C1182" s="2" t="s">
        <v>6383</v>
      </c>
      <c r="D1182" s="2" t="s">
        <v>9</v>
      </c>
      <c r="E1182" s="2">
        <v>46</v>
      </c>
      <c r="F1182" s="2">
        <v>813.11</v>
      </c>
    </row>
    <row r="1183" spans="3:6" x14ac:dyDescent="0.25">
      <c r="C1183" s="2" t="s">
        <v>6384</v>
      </c>
      <c r="D1183" s="2" t="s">
        <v>9</v>
      </c>
      <c r="E1183" s="2">
        <v>37</v>
      </c>
      <c r="F1183" s="2">
        <v>730.56</v>
      </c>
    </row>
    <row r="1184" spans="3:6" x14ac:dyDescent="0.25">
      <c r="C1184" s="2" t="s">
        <v>6385</v>
      </c>
      <c r="D1184" s="2" t="s">
        <v>9</v>
      </c>
      <c r="E1184" s="2">
        <v>65</v>
      </c>
      <c r="F1184" s="2">
        <v>1284.89</v>
      </c>
    </row>
    <row r="1185" spans="3:6" x14ac:dyDescent="0.25">
      <c r="C1185" s="2" t="s">
        <v>6386</v>
      </c>
      <c r="D1185" s="2" t="s">
        <v>9</v>
      </c>
      <c r="E1185" s="2">
        <v>78</v>
      </c>
      <c r="F1185" s="2">
        <v>1351.909</v>
      </c>
    </row>
    <row r="1186" spans="3:6" x14ac:dyDescent="0.25">
      <c r="C1186" s="2" t="s">
        <v>6387</v>
      </c>
      <c r="D1186" s="2" t="s">
        <v>9</v>
      </c>
      <c r="E1186" s="2">
        <v>34</v>
      </c>
      <c r="F1186" s="2">
        <v>599.11</v>
      </c>
    </row>
    <row r="1187" spans="3:6" x14ac:dyDescent="0.25">
      <c r="C1187" s="2" t="s">
        <v>6388</v>
      </c>
      <c r="D1187" s="2" t="s">
        <v>9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120</v>
      </c>
      <c r="C1189" s="2" t="s">
        <v>6389</v>
      </c>
      <c r="D1189" s="2" t="s">
        <v>122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6390</v>
      </c>
      <c r="D1190" s="2" t="s">
        <v>122</v>
      </c>
      <c r="E1190" s="2">
        <v>82</v>
      </c>
      <c r="F1190" s="2">
        <v>1512.84</v>
      </c>
    </row>
    <row r="1191" spans="3:6" x14ac:dyDescent="0.25">
      <c r="C1191" s="2" t="s">
        <v>6391</v>
      </c>
      <c r="D1191" s="2" t="s">
        <v>122</v>
      </c>
      <c r="E1191" s="2">
        <v>85</v>
      </c>
      <c r="F1191" s="2">
        <v>2254.484</v>
      </c>
    </row>
    <row r="1192" spans="3:6" x14ac:dyDescent="0.25">
      <c r="C1192" s="2" t="s">
        <v>6392</v>
      </c>
      <c r="D1192" s="2" t="s">
        <v>122</v>
      </c>
      <c r="E1192" s="2">
        <v>75</v>
      </c>
      <c r="F1192" s="2">
        <v>1638.243</v>
      </c>
    </row>
    <row r="1193" spans="3:6" x14ac:dyDescent="0.25">
      <c r="C1193" s="2" t="s">
        <v>6393</v>
      </c>
      <c r="D1193" s="2" t="s">
        <v>122</v>
      </c>
      <c r="E1193" s="2">
        <v>102</v>
      </c>
      <c r="F1193" s="2">
        <v>1863.98</v>
      </c>
    </row>
    <row r="1194" spans="3:6" x14ac:dyDescent="0.25">
      <c r="C1194" s="2" t="s">
        <v>6394</v>
      </c>
      <c r="D1194" s="2" t="s">
        <v>122</v>
      </c>
      <c r="E1194" s="2">
        <v>80</v>
      </c>
      <c r="F1194" s="2">
        <v>1656.54</v>
      </c>
    </row>
    <row r="1195" spans="3:6" x14ac:dyDescent="0.25">
      <c r="C1195" s="2" t="s">
        <v>6395</v>
      </c>
      <c r="D1195" s="2" t="s">
        <v>122</v>
      </c>
      <c r="E1195" s="2">
        <v>22</v>
      </c>
      <c r="F1195" s="2">
        <v>435.79</v>
      </c>
    </row>
    <row r="1196" spans="3:6" x14ac:dyDescent="0.25">
      <c r="C1196" s="2" t="s">
        <v>6396</v>
      </c>
      <c r="D1196" s="2" t="s">
        <v>122</v>
      </c>
      <c r="E1196" s="2">
        <v>68</v>
      </c>
      <c r="F1196" s="2">
        <v>1396.518</v>
      </c>
    </row>
    <row r="1197" spans="3:6" x14ac:dyDescent="0.25">
      <c r="C1197" s="2" t="s">
        <v>6397</v>
      </c>
      <c r="D1197" s="2" t="s">
        <v>122</v>
      </c>
      <c r="E1197" s="2">
        <v>33</v>
      </c>
      <c r="F1197" s="2">
        <v>640.06</v>
      </c>
    </row>
    <row r="1198" spans="3:6" x14ac:dyDescent="0.25">
      <c r="C1198" s="2" t="s">
        <v>6398</v>
      </c>
      <c r="D1198" s="2" t="s">
        <v>122</v>
      </c>
      <c r="E1198" s="2">
        <v>7</v>
      </c>
      <c r="F1198" s="2">
        <v>118.85</v>
      </c>
    </row>
    <row r="1199" spans="3:6" x14ac:dyDescent="0.25">
      <c r="C1199" s="2" t="s">
        <v>6399</v>
      </c>
      <c r="D1199" s="2" t="s">
        <v>122</v>
      </c>
      <c r="E1199" s="2">
        <v>8</v>
      </c>
      <c r="F1199" s="2">
        <v>103.5</v>
      </c>
    </row>
    <row r="1200" spans="3:6" x14ac:dyDescent="0.25">
      <c r="C1200" s="2" t="s">
        <v>6400</v>
      </c>
      <c r="D1200" s="2" t="s">
        <v>122</v>
      </c>
      <c r="E1200" s="2">
        <v>7</v>
      </c>
      <c r="F1200" s="2">
        <v>95.55</v>
      </c>
    </row>
    <row r="1201" spans="3:6" x14ac:dyDescent="0.25">
      <c r="C1201" s="2" t="s">
        <v>6401</v>
      </c>
      <c r="D1201" s="2" t="s">
        <v>122</v>
      </c>
      <c r="E1201" s="2">
        <v>6</v>
      </c>
      <c r="F1201" s="2">
        <v>96.5</v>
      </c>
    </row>
    <row r="1202" spans="3:6" x14ac:dyDescent="0.25">
      <c r="C1202" s="2" t="s">
        <v>6402</v>
      </c>
      <c r="D1202" s="2" t="s">
        <v>122</v>
      </c>
      <c r="E1202" s="2">
        <v>5</v>
      </c>
      <c r="F1202" s="2">
        <v>25.1</v>
      </c>
    </row>
    <row r="1203" spans="3:6" x14ac:dyDescent="0.25">
      <c r="C1203" s="2" t="s">
        <v>6403</v>
      </c>
      <c r="D1203" s="2" t="s">
        <v>122</v>
      </c>
      <c r="E1203" s="2">
        <v>49</v>
      </c>
      <c r="F1203" s="2">
        <v>916.49</v>
      </c>
    </row>
    <row r="1204" spans="3:6" x14ac:dyDescent="0.25">
      <c r="C1204" s="2" t="s">
        <v>6404</v>
      </c>
      <c r="D1204" s="2" t="s">
        <v>122</v>
      </c>
      <c r="E1204" s="2">
        <v>23</v>
      </c>
      <c r="F1204" s="2">
        <v>458.06</v>
      </c>
    </row>
    <row r="1205" spans="3:6" x14ac:dyDescent="0.25">
      <c r="C1205" s="2" t="s">
        <v>6405</v>
      </c>
      <c r="D1205" s="2" t="s">
        <v>122</v>
      </c>
      <c r="E1205" s="2">
        <v>57</v>
      </c>
      <c r="F1205" s="2">
        <v>1127</v>
      </c>
    </row>
    <row r="1206" spans="3:6" x14ac:dyDescent="0.25">
      <c r="C1206" s="2" t="s">
        <v>6406</v>
      </c>
      <c r="D1206" s="2" t="s">
        <v>122</v>
      </c>
      <c r="E1206" s="2">
        <v>7</v>
      </c>
      <c r="F1206" s="2">
        <v>132.55</v>
      </c>
    </row>
    <row r="1207" spans="3:6" x14ac:dyDescent="0.25">
      <c r="C1207" s="2" t="s">
        <v>6407</v>
      </c>
      <c r="D1207" s="2" t="s">
        <v>122</v>
      </c>
      <c r="E1207" s="2">
        <v>11</v>
      </c>
      <c r="F1207" s="2">
        <v>223.05</v>
      </c>
    </row>
    <row r="1208" spans="3:6" x14ac:dyDescent="0.25">
      <c r="C1208" s="2" t="s">
        <v>6408</v>
      </c>
      <c r="D1208" s="2" t="s">
        <v>122</v>
      </c>
      <c r="E1208" s="2">
        <v>60</v>
      </c>
      <c r="F1208" s="2">
        <v>257.29</v>
      </c>
    </row>
    <row r="1209" spans="3:6" x14ac:dyDescent="0.25">
      <c r="C1209" s="2" t="s">
        <v>6409</v>
      </c>
      <c r="D1209" s="2" t="s">
        <v>122</v>
      </c>
      <c r="E1209" s="2">
        <v>74</v>
      </c>
      <c r="F1209" s="2">
        <v>1466.409</v>
      </c>
    </row>
    <row r="1210" spans="3:6" x14ac:dyDescent="0.25">
      <c r="C1210" s="2" t="s">
        <v>6410</v>
      </c>
      <c r="D1210" s="2" t="s">
        <v>122</v>
      </c>
      <c r="E1210" s="2">
        <v>40</v>
      </c>
      <c r="F1210" s="2">
        <v>786.66</v>
      </c>
    </row>
    <row r="1211" spans="3:6" x14ac:dyDescent="0.25">
      <c r="C1211" s="2" t="s">
        <v>6411</v>
      </c>
      <c r="D1211" s="2" t="s">
        <v>122</v>
      </c>
      <c r="E1211" s="2">
        <v>27</v>
      </c>
      <c r="F1211" s="2">
        <v>497.3</v>
      </c>
    </row>
    <row r="1212" spans="3:6" x14ac:dyDescent="0.25">
      <c r="C1212" s="2" t="s">
        <v>6412</v>
      </c>
      <c r="D1212" s="2" t="s">
        <v>122</v>
      </c>
      <c r="E1212" s="2">
        <v>73</v>
      </c>
      <c r="F1212" s="2">
        <v>1537.359</v>
      </c>
    </row>
    <row r="1213" spans="3:6" x14ac:dyDescent="0.25">
      <c r="C1213" s="2" t="s">
        <v>6413</v>
      </c>
      <c r="D1213" s="2" t="s">
        <v>122</v>
      </c>
      <c r="E1213" s="2">
        <v>48</v>
      </c>
      <c r="F1213" s="2">
        <v>996.329</v>
      </c>
    </row>
    <row r="1214" spans="3:6" x14ac:dyDescent="0.25">
      <c r="C1214" s="2" t="s">
        <v>6414</v>
      </c>
      <c r="D1214" s="2" t="s">
        <v>122</v>
      </c>
      <c r="E1214" s="2">
        <v>20</v>
      </c>
      <c r="F1214" s="2">
        <v>382.1</v>
      </c>
    </row>
    <row r="1215" spans="3:6" x14ac:dyDescent="0.25">
      <c r="C1215" s="2" t="s">
        <v>6415</v>
      </c>
      <c r="D1215" s="2" t="s">
        <v>122</v>
      </c>
      <c r="E1215" s="2">
        <v>97</v>
      </c>
      <c r="F1215" s="2">
        <v>1791.579</v>
      </c>
    </row>
    <row r="1216" spans="3:6" x14ac:dyDescent="0.25">
      <c r="C1216" s="2" t="s">
        <v>6416</v>
      </c>
      <c r="D1216" s="2" t="s">
        <v>122</v>
      </c>
      <c r="E1216" s="2">
        <v>45</v>
      </c>
      <c r="F1216" s="2">
        <v>880.61</v>
      </c>
    </row>
    <row r="1217" spans="3:6" x14ac:dyDescent="0.25">
      <c r="C1217" s="2" t="s">
        <v>6417</v>
      </c>
      <c r="D1217" s="2" t="s">
        <v>122</v>
      </c>
      <c r="E1217" s="2">
        <v>19</v>
      </c>
      <c r="F1217" s="2">
        <v>382.21</v>
      </c>
    </row>
    <row r="1218" spans="3:6" x14ac:dyDescent="0.25">
      <c r="C1218" s="2" t="s">
        <v>6418</v>
      </c>
      <c r="D1218" s="2" t="s">
        <v>122</v>
      </c>
      <c r="E1218" s="2">
        <v>63</v>
      </c>
      <c r="F1218" s="2">
        <v>1180.02</v>
      </c>
    </row>
    <row r="1219" spans="3:6" x14ac:dyDescent="0.25">
      <c r="C1219" s="2" t="s">
        <v>6419</v>
      </c>
      <c r="D1219" s="2" t="s">
        <v>122</v>
      </c>
      <c r="E1219" s="2">
        <v>36</v>
      </c>
      <c r="F1219" s="2">
        <v>391.102</v>
      </c>
    </row>
    <row r="1220" spans="3:6" x14ac:dyDescent="0.25">
      <c r="C1220" s="2" t="s">
        <v>6420</v>
      </c>
      <c r="D1220" s="2" t="s">
        <v>122</v>
      </c>
      <c r="E1220" s="2">
        <v>9</v>
      </c>
      <c r="F1220" s="2">
        <v>171.31</v>
      </c>
    </row>
    <row r="1221" spans="3:6" x14ac:dyDescent="0.25">
      <c r="C1221" s="2" t="s">
        <v>6421</v>
      </c>
      <c r="D1221" s="2" t="s">
        <v>122</v>
      </c>
      <c r="E1221" s="2">
        <v>95</v>
      </c>
      <c r="F1221" s="2">
        <v>417.739</v>
      </c>
    </row>
    <row r="1222" spans="3:6" x14ac:dyDescent="0.25">
      <c r="C1222" s="2" t="s">
        <v>6422</v>
      </c>
      <c r="D1222" s="2" t="s">
        <v>122</v>
      </c>
      <c r="E1222" s="2">
        <v>55</v>
      </c>
      <c r="F1222" s="2">
        <v>1112.02</v>
      </c>
    </row>
    <row r="1223" spans="3:6" x14ac:dyDescent="0.25">
      <c r="C1223" s="2" t="s">
        <v>6423</v>
      </c>
      <c r="D1223" s="2" t="s">
        <v>122</v>
      </c>
      <c r="E1223" s="2">
        <v>46</v>
      </c>
      <c r="F1223" s="2">
        <v>865.92</v>
      </c>
    </row>
    <row r="1224" spans="3:6" x14ac:dyDescent="0.25">
      <c r="C1224" s="2" t="s">
        <v>6424</v>
      </c>
      <c r="D1224" s="2" t="s">
        <v>122</v>
      </c>
      <c r="E1224" s="2">
        <v>27</v>
      </c>
      <c r="F1224" s="2">
        <v>529.39</v>
      </c>
    </row>
    <row r="1225" spans="3:6" x14ac:dyDescent="0.25">
      <c r="C1225" s="2" t="s">
        <v>6425</v>
      </c>
      <c r="D1225" s="2" t="s">
        <v>122</v>
      </c>
      <c r="E1225" s="2">
        <v>13</v>
      </c>
      <c r="F1225" s="2">
        <v>268.77</v>
      </c>
    </row>
    <row r="1226" spans="3:6" x14ac:dyDescent="0.25">
      <c r="C1226" s="2" t="s">
        <v>6426</v>
      </c>
      <c r="D1226" s="2" t="s">
        <v>122</v>
      </c>
      <c r="E1226" s="2">
        <v>32</v>
      </c>
      <c r="F1226" s="2">
        <v>643.95</v>
      </c>
    </row>
    <row r="1227" spans="3:6" x14ac:dyDescent="0.25">
      <c r="C1227" s="2" t="s">
        <v>6427</v>
      </c>
      <c r="D1227" s="2" t="s">
        <v>122</v>
      </c>
      <c r="E1227" s="2">
        <v>35</v>
      </c>
      <c r="F1227" s="2">
        <v>1251.92</v>
      </c>
    </row>
    <row r="1228" spans="3:6" x14ac:dyDescent="0.25">
      <c r="C1228" s="2" t="s">
        <v>6428</v>
      </c>
      <c r="D1228" s="2" t="s">
        <v>122</v>
      </c>
      <c r="E1228" s="2">
        <v>30</v>
      </c>
      <c r="F1228" s="2">
        <v>590.56</v>
      </c>
    </row>
    <row r="1229" spans="3:6" x14ac:dyDescent="0.25">
      <c r="C1229" s="2" t="s">
        <v>6429</v>
      </c>
      <c r="D1229" s="2" t="s">
        <v>122</v>
      </c>
      <c r="E1229" s="2">
        <v>19</v>
      </c>
      <c r="F1229" s="2">
        <v>314.44</v>
      </c>
    </row>
    <row r="1230" spans="3:6" x14ac:dyDescent="0.25">
      <c r="C1230" s="2" t="s">
        <v>6430</v>
      </c>
      <c r="D1230" s="2" t="s">
        <v>122</v>
      </c>
      <c r="E1230" s="2">
        <v>40</v>
      </c>
      <c r="F1230" s="2">
        <v>836.439</v>
      </c>
    </row>
    <row r="1231" spans="3:6" x14ac:dyDescent="0.25">
      <c r="C1231" s="2" t="s">
        <v>6431</v>
      </c>
      <c r="D1231" s="2" t="s">
        <v>122</v>
      </c>
      <c r="E1231" s="2">
        <v>25</v>
      </c>
      <c r="F1231" s="2">
        <v>604.603</v>
      </c>
    </row>
    <row r="1232" spans="3:6" x14ac:dyDescent="0.25">
      <c r="C1232" s="2" t="s">
        <v>6432</v>
      </c>
      <c r="D1232" s="2" t="s">
        <v>122</v>
      </c>
      <c r="E1232" s="2">
        <v>89</v>
      </c>
      <c r="F1232" s="2">
        <v>1807.98</v>
      </c>
    </row>
    <row r="1233" spans="3:6" x14ac:dyDescent="0.25">
      <c r="C1233" s="2" t="s">
        <v>6433</v>
      </c>
      <c r="D1233" s="2" t="s">
        <v>122</v>
      </c>
      <c r="E1233" s="2">
        <v>52</v>
      </c>
      <c r="F1233" s="2">
        <v>980.219</v>
      </c>
    </row>
    <row r="1234" spans="3:6" x14ac:dyDescent="0.25">
      <c r="C1234" s="2" t="s">
        <v>6434</v>
      </c>
      <c r="D1234" s="2" t="s">
        <v>122</v>
      </c>
      <c r="E1234" s="2">
        <v>55</v>
      </c>
      <c r="F1234" s="2">
        <v>1103.97</v>
      </c>
    </row>
    <row r="1235" spans="3:6" x14ac:dyDescent="0.25">
      <c r="C1235" s="2" t="s">
        <v>6435</v>
      </c>
      <c r="D1235" s="2" t="s">
        <v>122</v>
      </c>
      <c r="E1235" s="2">
        <v>18</v>
      </c>
      <c r="F1235" s="2">
        <v>340.5</v>
      </c>
    </row>
    <row r="1236" spans="3:6" x14ac:dyDescent="0.25">
      <c r="C1236" s="2" t="s">
        <v>6436</v>
      </c>
      <c r="D1236" s="2" t="s">
        <v>122</v>
      </c>
      <c r="E1236" s="2">
        <v>30</v>
      </c>
      <c r="F1236" s="2">
        <v>595</v>
      </c>
    </row>
    <row r="1237" spans="3:6" x14ac:dyDescent="0.25">
      <c r="C1237" s="2" t="s">
        <v>6437</v>
      </c>
      <c r="D1237" s="2" t="s">
        <v>122</v>
      </c>
      <c r="E1237" s="2">
        <v>38</v>
      </c>
      <c r="F1237" s="2">
        <v>66.427</v>
      </c>
    </row>
    <row r="1238" spans="3:6" x14ac:dyDescent="0.25">
      <c r="C1238" s="2" t="s">
        <v>6438</v>
      </c>
      <c r="D1238" s="2" t="s">
        <v>122</v>
      </c>
      <c r="E1238" s="2">
        <v>20</v>
      </c>
      <c r="F1238" s="2">
        <v>397.17</v>
      </c>
    </row>
    <row r="1239" spans="3:6" x14ac:dyDescent="0.25">
      <c r="C1239" s="2" t="s">
        <v>6439</v>
      </c>
      <c r="D1239" s="2" t="s">
        <v>122</v>
      </c>
      <c r="E1239" s="2">
        <v>14</v>
      </c>
      <c r="F1239" s="2">
        <v>294.21</v>
      </c>
    </row>
    <row r="1240" spans="3:6" x14ac:dyDescent="0.25">
      <c r="C1240" s="2" t="s">
        <v>6440</v>
      </c>
      <c r="D1240" s="2" t="s">
        <v>122</v>
      </c>
      <c r="E1240" s="2">
        <v>13</v>
      </c>
      <c r="F1240" s="2">
        <v>253.37</v>
      </c>
    </row>
    <row r="1241" spans="3:6" x14ac:dyDescent="0.25">
      <c r="C1241" s="2" t="s">
        <v>6441</v>
      </c>
      <c r="D1241" s="2" t="s">
        <v>122</v>
      </c>
      <c r="E1241" s="2">
        <v>47</v>
      </c>
      <c r="F1241" s="2">
        <v>782.824</v>
      </c>
    </row>
    <row r="1242" spans="3:6" x14ac:dyDescent="0.25">
      <c r="C1242" s="2" t="s">
        <v>6442</v>
      </c>
      <c r="D1242" s="2" t="s">
        <v>122</v>
      </c>
      <c r="E1242" s="2">
        <v>47</v>
      </c>
      <c r="F1242" s="2">
        <v>329.008</v>
      </c>
    </row>
    <row r="1243" spans="3:6" x14ac:dyDescent="0.25">
      <c r="C1243" s="2" t="s">
        <v>6443</v>
      </c>
      <c r="D1243" s="2" t="s">
        <v>122</v>
      </c>
      <c r="E1243" s="2">
        <v>121</v>
      </c>
      <c r="F1243" s="2">
        <v>876.046</v>
      </c>
    </row>
    <row r="1244" spans="3:6" x14ac:dyDescent="0.25">
      <c r="C1244" s="2" t="s">
        <v>6444</v>
      </c>
      <c r="D1244" s="2" t="s">
        <v>122</v>
      </c>
      <c r="E1244" s="2">
        <v>76</v>
      </c>
      <c r="F1244" s="2">
        <v>2096.498</v>
      </c>
    </row>
    <row r="1245" spans="3:6" x14ac:dyDescent="0.25">
      <c r="C1245" s="2" t="s">
        <v>6445</v>
      </c>
      <c r="D1245" s="2" t="s">
        <v>122</v>
      </c>
      <c r="E1245" s="2">
        <v>71</v>
      </c>
      <c r="F1245" s="2">
        <v>2572.37</v>
      </c>
    </row>
    <row r="1246" spans="3:6" x14ac:dyDescent="0.25">
      <c r="C1246" s="2" t="s">
        <v>6446</v>
      </c>
      <c r="D1246" s="2" t="s">
        <v>122</v>
      </c>
      <c r="E1246" s="2">
        <v>29</v>
      </c>
      <c r="F1246" s="2">
        <v>558.38</v>
      </c>
    </row>
    <row r="1247" spans="3:6" x14ac:dyDescent="0.25">
      <c r="C1247" s="2" t="s">
        <v>6447</v>
      </c>
      <c r="D1247" s="2" t="s">
        <v>122</v>
      </c>
      <c r="E1247" s="2">
        <v>21</v>
      </c>
      <c r="F1247" s="2">
        <v>403.29</v>
      </c>
    </row>
    <row r="1248" spans="3:6" x14ac:dyDescent="0.25">
      <c r="C1248" s="2" t="s">
        <v>6448</v>
      </c>
      <c r="D1248" s="2" t="s">
        <v>122</v>
      </c>
      <c r="E1248" s="2">
        <v>20</v>
      </c>
      <c r="F1248" s="2">
        <v>417.75</v>
      </c>
    </row>
    <row r="1249" spans="3:6" x14ac:dyDescent="0.25">
      <c r="C1249" s="2" t="s">
        <v>6449</v>
      </c>
      <c r="D1249" s="2" t="s">
        <v>122</v>
      </c>
      <c r="E1249" s="2">
        <v>18</v>
      </c>
      <c r="F1249" s="2">
        <v>361.93</v>
      </c>
    </row>
    <row r="1250" spans="3:6" x14ac:dyDescent="0.25">
      <c r="C1250" s="2" t="s">
        <v>6450</v>
      </c>
      <c r="D1250" s="2" t="s">
        <v>122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90</v>
      </c>
      <c r="C1252" s="2" t="s">
        <v>6451</v>
      </c>
      <c r="D1252" s="2" t="s">
        <v>42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6452</v>
      </c>
      <c r="D1253" s="2" t="s">
        <v>42</v>
      </c>
      <c r="E1253" s="2">
        <v>16</v>
      </c>
      <c r="F1253" s="2">
        <v>353.52</v>
      </c>
    </row>
    <row r="1254" spans="3:6" x14ac:dyDescent="0.25">
      <c r="C1254" s="2" t="s">
        <v>6453</v>
      </c>
      <c r="D1254" s="2" t="s">
        <v>42</v>
      </c>
      <c r="E1254" s="2">
        <v>141</v>
      </c>
      <c r="F1254" s="2">
        <v>2964.58</v>
      </c>
    </row>
    <row r="1255" spans="3:6" x14ac:dyDescent="0.25">
      <c r="C1255" s="2" t="s">
        <v>6454</v>
      </c>
      <c r="D1255" s="2" t="s">
        <v>42</v>
      </c>
      <c r="E1255" s="2">
        <v>50</v>
      </c>
      <c r="F1255" s="2">
        <v>246.1</v>
      </c>
    </row>
    <row r="1256" spans="3:6" x14ac:dyDescent="0.25">
      <c r="C1256" s="2" t="s">
        <v>6455</v>
      </c>
      <c r="D1256" s="2" t="s">
        <v>42</v>
      </c>
      <c r="E1256" s="2">
        <v>141</v>
      </c>
      <c r="F1256" s="2">
        <v>2859.13</v>
      </c>
    </row>
    <row r="1257" spans="3:6" x14ac:dyDescent="0.25">
      <c r="C1257" s="2" t="s">
        <v>6456</v>
      </c>
      <c r="D1257" s="2" t="s">
        <v>42</v>
      </c>
      <c r="E1257" s="2">
        <v>123</v>
      </c>
      <c r="F1257" s="2">
        <v>2433.439</v>
      </c>
    </row>
    <row r="1258" spans="3:6" x14ac:dyDescent="0.25">
      <c r="C1258" s="2" t="s">
        <v>6457</v>
      </c>
      <c r="D1258" s="2" t="s">
        <v>42</v>
      </c>
      <c r="E1258" s="2">
        <v>17</v>
      </c>
      <c r="F1258" s="2">
        <v>0</v>
      </c>
    </row>
    <row r="1259" spans="3:6" x14ac:dyDescent="0.25">
      <c r="C1259" s="2" t="s">
        <v>6458</v>
      </c>
      <c r="D1259" s="2" t="s">
        <v>42</v>
      </c>
      <c r="E1259" s="2">
        <v>9</v>
      </c>
      <c r="F1259" s="2">
        <v>0</v>
      </c>
    </row>
    <row r="1260" spans="3:6" x14ac:dyDescent="0.25">
      <c r="C1260" s="2" t="s">
        <v>6459</v>
      </c>
      <c r="D1260" s="2" t="s">
        <v>42</v>
      </c>
      <c r="E1260" s="2">
        <v>8</v>
      </c>
      <c r="F1260" s="2">
        <v>0</v>
      </c>
    </row>
    <row r="1261" spans="3:6" x14ac:dyDescent="0.25">
      <c r="C1261" s="2" t="s">
        <v>6460</v>
      </c>
      <c r="D1261" s="2" t="s">
        <v>42</v>
      </c>
      <c r="E1261" s="2">
        <v>22</v>
      </c>
      <c r="F1261" s="2">
        <v>0</v>
      </c>
    </row>
    <row r="1262" spans="3:6" x14ac:dyDescent="0.25">
      <c r="C1262" s="2" t="s">
        <v>6461</v>
      </c>
      <c r="D1262" s="2" t="s">
        <v>42</v>
      </c>
      <c r="E1262" s="2">
        <v>100</v>
      </c>
      <c r="F1262" s="2">
        <v>2023.69</v>
      </c>
    </row>
    <row r="1263" spans="3:6" x14ac:dyDescent="0.25">
      <c r="C1263" s="2" t="s">
        <v>6462</v>
      </c>
      <c r="D1263" s="2" t="s">
        <v>42</v>
      </c>
      <c r="E1263" s="2">
        <v>141</v>
      </c>
      <c r="F1263" s="2">
        <v>0</v>
      </c>
    </row>
    <row r="1264" spans="3:6" x14ac:dyDescent="0.25">
      <c r="C1264" s="2" t="s">
        <v>6463</v>
      </c>
      <c r="D1264" s="2" t="s">
        <v>42</v>
      </c>
      <c r="E1264" s="2">
        <v>141</v>
      </c>
      <c r="F1264" s="2">
        <v>2999.4</v>
      </c>
    </row>
    <row r="1265" spans="3:6" x14ac:dyDescent="0.25">
      <c r="C1265" s="2" t="s">
        <v>6464</v>
      </c>
      <c r="D1265" s="2" t="s">
        <v>42</v>
      </c>
      <c r="E1265" s="2">
        <v>123</v>
      </c>
      <c r="F1265" s="2">
        <v>0</v>
      </c>
    </row>
    <row r="1266" spans="3:6" x14ac:dyDescent="0.25">
      <c r="C1266" s="2" t="s">
        <v>6465</v>
      </c>
      <c r="D1266" s="2" t="s">
        <v>42</v>
      </c>
      <c r="E1266" s="2">
        <v>58</v>
      </c>
      <c r="F1266" s="2">
        <v>0</v>
      </c>
    </row>
    <row r="1267" spans="3:6" x14ac:dyDescent="0.25">
      <c r="C1267" s="2" t="s">
        <v>6466</v>
      </c>
      <c r="D1267" s="2" t="s">
        <v>42</v>
      </c>
      <c r="E1267" s="2">
        <v>55</v>
      </c>
      <c r="F1267" s="2">
        <v>0</v>
      </c>
    </row>
    <row r="1268" spans="3:6" x14ac:dyDescent="0.25">
      <c r="C1268" s="2" t="s">
        <v>6467</v>
      </c>
      <c r="D1268" s="2" t="s">
        <v>42</v>
      </c>
      <c r="E1268" s="2">
        <v>65</v>
      </c>
      <c r="F1268" s="2">
        <v>0</v>
      </c>
    </row>
    <row r="1269" spans="3:6" x14ac:dyDescent="0.25">
      <c r="C1269" s="2" t="s">
        <v>6468</v>
      </c>
      <c r="D1269" s="2" t="s">
        <v>42</v>
      </c>
      <c r="E1269" s="2">
        <v>10</v>
      </c>
      <c r="F1269" s="2">
        <v>0</v>
      </c>
    </row>
    <row r="1270" spans="3:6" x14ac:dyDescent="0.25">
      <c r="C1270" s="2" t="s">
        <v>6469</v>
      </c>
      <c r="D1270" s="2" t="s">
        <v>42</v>
      </c>
      <c r="E1270" s="2">
        <v>141</v>
      </c>
      <c r="F1270" s="2">
        <v>3112.73</v>
      </c>
    </row>
    <row r="1271" spans="3:6" x14ac:dyDescent="0.25">
      <c r="C1271" s="2" t="s">
        <v>6470</v>
      </c>
      <c r="D1271" s="2" t="s">
        <v>42</v>
      </c>
      <c r="E1271" s="2">
        <v>45</v>
      </c>
      <c r="F1271" s="2">
        <v>0</v>
      </c>
    </row>
    <row r="1272" spans="3:6" x14ac:dyDescent="0.25">
      <c r="C1272" s="2" t="s">
        <v>6471</v>
      </c>
      <c r="D1272" s="2" t="s">
        <v>42</v>
      </c>
      <c r="E1272" s="2">
        <v>141</v>
      </c>
      <c r="F1272" s="2">
        <v>2743.16</v>
      </c>
    </row>
    <row r="1273" spans="3:6" x14ac:dyDescent="0.25">
      <c r="C1273" s="2" t="s">
        <v>6472</v>
      </c>
      <c r="D1273" s="2" t="s">
        <v>42</v>
      </c>
      <c r="E1273" s="2">
        <v>50</v>
      </c>
      <c r="F1273" s="2">
        <v>976.61</v>
      </c>
    </row>
    <row r="1274" spans="3:6" x14ac:dyDescent="0.25">
      <c r="C1274" s="2" t="s">
        <v>6473</v>
      </c>
      <c r="D1274" s="2" t="s">
        <v>42</v>
      </c>
      <c r="E1274" s="2">
        <v>10</v>
      </c>
      <c r="F1274" s="2">
        <v>196.3</v>
      </c>
    </row>
    <row r="1275" spans="3:6" x14ac:dyDescent="0.25">
      <c r="C1275" s="2" t="s">
        <v>6474</v>
      </c>
      <c r="D1275" s="2" t="s">
        <v>42</v>
      </c>
      <c r="E1275" s="2">
        <v>81</v>
      </c>
      <c r="F1275" s="2">
        <v>1448.362</v>
      </c>
    </row>
    <row r="1276" spans="3:6" x14ac:dyDescent="0.25">
      <c r="C1276" s="2" t="s">
        <v>6475</v>
      </c>
      <c r="D1276" s="2" t="s">
        <v>42</v>
      </c>
      <c r="E1276" s="2">
        <v>22</v>
      </c>
      <c r="F1276" s="2">
        <v>303.82</v>
      </c>
    </row>
    <row r="1277" spans="3:6" x14ac:dyDescent="0.25">
      <c r="C1277" s="2" t="s">
        <v>6476</v>
      </c>
      <c r="D1277" s="2" t="s">
        <v>42</v>
      </c>
      <c r="E1277" s="2">
        <v>13</v>
      </c>
      <c r="F1277" s="2">
        <v>218.36</v>
      </c>
    </row>
    <row r="1278" spans="3:6" x14ac:dyDescent="0.25">
      <c r="C1278" s="2" t="s">
        <v>6477</v>
      </c>
      <c r="D1278" s="2" t="s">
        <v>42</v>
      </c>
      <c r="E1278" s="2">
        <v>16</v>
      </c>
      <c r="F1278" s="2">
        <v>311.31</v>
      </c>
    </row>
    <row r="1279" spans="3:6" x14ac:dyDescent="0.25">
      <c r="C1279" s="2" t="s">
        <v>6478</v>
      </c>
      <c r="D1279" s="2" t="s">
        <v>42</v>
      </c>
      <c r="E1279" s="2">
        <v>90</v>
      </c>
      <c r="F1279" s="2">
        <v>1573.276</v>
      </c>
    </row>
    <row r="1280" spans="3:6" x14ac:dyDescent="0.25">
      <c r="C1280" s="2" t="s">
        <v>6479</v>
      </c>
      <c r="D1280" s="2" t="s">
        <v>42</v>
      </c>
      <c r="E1280" s="2">
        <v>122</v>
      </c>
      <c r="F1280" s="2">
        <v>0</v>
      </c>
    </row>
    <row r="1281" spans="3:6" x14ac:dyDescent="0.25">
      <c r="C1281" s="2" t="s">
        <v>6480</v>
      </c>
      <c r="D1281" s="2" t="s">
        <v>42</v>
      </c>
      <c r="E1281" s="2">
        <v>83</v>
      </c>
      <c r="F1281" s="2">
        <v>0</v>
      </c>
    </row>
    <row r="1282" spans="3:6" x14ac:dyDescent="0.25">
      <c r="C1282" s="2" t="s">
        <v>6481</v>
      </c>
      <c r="D1282" s="2" t="s">
        <v>42</v>
      </c>
      <c r="E1282" s="2">
        <v>134</v>
      </c>
      <c r="F1282" s="2">
        <v>0</v>
      </c>
    </row>
    <row r="1283" spans="3:6" x14ac:dyDescent="0.25">
      <c r="C1283" s="2" t="s">
        <v>6482</v>
      </c>
      <c r="D1283" s="2" t="s">
        <v>42</v>
      </c>
      <c r="E1283" s="2">
        <v>45</v>
      </c>
      <c r="F1283" s="2">
        <v>0</v>
      </c>
    </row>
    <row r="1284" spans="3:6" x14ac:dyDescent="0.25">
      <c r="C1284" s="2" t="s">
        <v>6483</v>
      </c>
      <c r="D1284" s="2" t="s">
        <v>42</v>
      </c>
      <c r="E1284" s="2">
        <v>60</v>
      </c>
      <c r="F1284" s="2">
        <v>0</v>
      </c>
    </row>
    <row r="1285" spans="3:6" x14ac:dyDescent="0.25">
      <c r="C1285" s="2" t="s">
        <v>6484</v>
      </c>
      <c r="D1285" s="2" t="s">
        <v>42</v>
      </c>
      <c r="E1285" s="2">
        <v>35</v>
      </c>
      <c r="F1285" s="2">
        <v>0</v>
      </c>
    </row>
    <row r="1286" spans="3:6" x14ac:dyDescent="0.25">
      <c r="C1286" s="2" t="s">
        <v>6485</v>
      </c>
      <c r="D1286" s="2" t="s">
        <v>42</v>
      </c>
      <c r="E1286" s="2">
        <v>119</v>
      </c>
      <c r="F1286" s="2">
        <v>0</v>
      </c>
    </row>
    <row r="1287" spans="3:6" x14ac:dyDescent="0.25">
      <c r="C1287" s="2" t="s">
        <v>6486</v>
      </c>
      <c r="D1287" s="2" t="s">
        <v>42</v>
      </c>
      <c r="E1287" s="2">
        <v>17</v>
      </c>
      <c r="F1287" s="2">
        <v>0</v>
      </c>
    </row>
    <row r="1288" spans="3:6" x14ac:dyDescent="0.25">
      <c r="C1288" s="2" t="s">
        <v>6487</v>
      </c>
      <c r="D1288" s="2" t="s">
        <v>42</v>
      </c>
      <c r="E1288" s="2">
        <v>106</v>
      </c>
      <c r="F1288" s="2">
        <v>0</v>
      </c>
    </row>
    <row r="1289" spans="3:6" x14ac:dyDescent="0.25">
      <c r="C1289" s="2" t="s">
        <v>6488</v>
      </c>
      <c r="D1289" s="2" t="s">
        <v>42</v>
      </c>
      <c r="E1289" s="2">
        <v>16</v>
      </c>
      <c r="F1289" s="2">
        <v>0</v>
      </c>
    </row>
    <row r="1290" spans="3:6" x14ac:dyDescent="0.25">
      <c r="C1290" s="2" t="s">
        <v>6489</v>
      </c>
      <c r="D1290" s="2" t="s">
        <v>42</v>
      </c>
      <c r="E1290" s="2">
        <v>20</v>
      </c>
      <c r="F1290" s="2">
        <v>0</v>
      </c>
    </row>
    <row r="1291" spans="3:6" x14ac:dyDescent="0.25">
      <c r="C1291" s="2" t="s">
        <v>6490</v>
      </c>
      <c r="D1291" s="2" t="s">
        <v>42</v>
      </c>
      <c r="E1291" s="2">
        <v>104</v>
      </c>
      <c r="F1291" s="2">
        <v>0</v>
      </c>
    </row>
    <row r="1292" spans="3:6" x14ac:dyDescent="0.25">
      <c r="C1292" s="2" t="s">
        <v>6491</v>
      </c>
      <c r="D1292" s="2" t="s">
        <v>42</v>
      </c>
      <c r="E1292" s="2">
        <v>19</v>
      </c>
      <c r="F1292" s="2">
        <v>0</v>
      </c>
    </row>
    <row r="1293" spans="3:6" x14ac:dyDescent="0.25">
      <c r="C1293" s="2" t="s">
        <v>6492</v>
      </c>
      <c r="D1293" s="2" t="s">
        <v>42</v>
      </c>
      <c r="E1293" s="2">
        <v>26</v>
      </c>
      <c r="F1293" s="2">
        <v>0</v>
      </c>
    </row>
    <row r="1294" spans="3:6" x14ac:dyDescent="0.25">
      <c r="C1294" s="2" t="s">
        <v>6493</v>
      </c>
      <c r="D1294" s="2" t="s">
        <v>42</v>
      </c>
      <c r="E1294" s="2">
        <v>45</v>
      </c>
      <c r="F1294" s="2">
        <v>949.2</v>
      </c>
    </row>
    <row r="1295" spans="3:6" x14ac:dyDescent="0.25">
      <c r="C1295" s="2" t="s">
        <v>6494</v>
      </c>
      <c r="D1295" s="2" t="s">
        <v>42</v>
      </c>
      <c r="E1295" s="2">
        <v>90</v>
      </c>
      <c r="F1295" s="2">
        <v>1773.8</v>
      </c>
    </row>
    <row r="1296" spans="3:6" x14ac:dyDescent="0.25">
      <c r="C1296" s="2" t="s">
        <v>6495</v>
      </c>
      <c r="D1296" s="2" t="s">
        <v>42</v>
      </c>
      <c r="E1296" s="2">
        <v>112</v>
      </c>
      <c r="F1296" s="2">
        <v>2393.195</v>
      </c>
    </row>
    <row r="1297" spans="3:6" x14ac:dyDescent="0.25">
      <c r="C1297" s="2" t="s">
        <v>6496</v>
      </c>
      <c r="D1297" s="2" t="s">
        <v>42</v>
      </c>
      <c r="E1297" s="2">
        <v>51</v>
      </c>
      <c r="F1297" s="2">
        <v>1030.889</v>
      </c>
    </row>
    <row r="1298" spans="3:6" x14ac:dyDescent="0.25">
      <c r="C1298" s="2" t="s">
        <v>6497</v>
      </c>
      <c r="D1298" s="2" t="s">
        <v>42</v>
      </c>
      <c r="E1298" s="2">
        <v>27</v>
      </c>
      <c r="F1298" s="2">
        <v>539.74</v>
      </c>
    </row>
    <row r="1299" spans="3:6" x14ac:dyDescent="0.25">
      <c r="C1299" s="2" t="s">
        <v>6498</v>
      </c>
      <c r="D1299" s="2" t="s">
        <v>42</v>
      </c>
      <c r="E1299" s="2">
        <v>36</v>
      </c>
      <c r="F1299" s="2">
        <v>682.3</v>
      </c>
    </row>
    <row r="1300" spans="3:6" x14ac:dyDescent="0.25">
      <c r="C1300" s="2" t="s">
        <v>6499</v>
      </c>
      <c r="D1300" s="2" t="s">
        <v>42</v>
      </c>
      <c r="E1300" s="2">
        <v>53</v>
      </c>
      <c r="F1300" s="2">
        <v>986.13</v>
      </c>
    </row>
    <row r="1301" spans="3:6" x14ac:dyDescent="0.25">
      <c r="C1301" s="2" t="s">
        <v>6500</v>
      </c>
      <c r="D1301" s="2" t="s">
        <v>42</v>
      </c>
      <c r="E1301" s="2">
        <v>64</v>
      </c>
      <c r="F1301" s="2">
        <v>1401.05</v>
      </c>
    </row>
    <row r="1302" spans="3:6" x14ac:dyDescent="0.25">
      <c r="C1302" s="2" t="s">
        <v>6501</v>
      </c>
      <c r="D1302" s="2" t="s">
        <v>42</v>
      </c>
      <c r="E1302" s="2">
        <v>47</v>
      </c>
      <c r="F1302" s="2">
        <v>986.08</v>
      </c>
    </row>
    <row r="1303" spans="3:6" x14ac:dyDescent="0.25">
      <c r="C1303" s="2" t="s">
        <v>6502</v>
      </c>
      <c r="D1303" s="2" t="s">
        <v>42</v>
      </c>
      <c r="E1303" s="2">
        <v>8</v>
      </c>
      <c r="F1303" s="2">
        <v>128.16</v>
      </c>
    </row>
    <row r="1304" spans="3:6" x14ac:dyDescent="0.25">
      <c r="C1304" s="2" t="s">
        <v>6503</v>
      </c>
      <c r="D1304" s="2" t="s">
        <v>42</v>
      </c>
      <c r="E1304" s="2">
        <v>9</v>
      </c>
      <c r="F1304" s="2">
        <v>160.89</v>
      </c>
    </row>
    <row r="1305" spans="3:6" x14ac:dyDescent="0.25">
      <c r="C1305" s="2" t="s">
        <v>6504</v>
      </c>
      <c r="D1305" s="2" t="s">
        <v>42</v>
      </c>
      <c r="E1305" s="2">
        <v>13</v>
      </c>
      <c r="F1305" s="2">
        <v>224.568</v>
      </c>
    </row>
    <row r="1306" spans="3:6" x14ac:dyDescent="0.25">
      <c r="C1306" s="2" t="s">
        <v>6505</v>
      </c>
      <c r="D1306" s="2" t="s">
        <v>42</v>
      </c>
      <c r="E1306" s="2">
        <v>8</v>
      </c>
      <c r="F1306" s="2">
        <v>138.16</v>
      </c>
    </row>
    <row r="1307" spans="3:6" x14ac:dyDescent="0.25">
      <c r="C1307" s="2" t="s">
        <v>6506</v>
      </c>
      <c r="D1307" s="2" t="s">
        <v>42</v>
      </c>
      <c r="E1307" s="2">
        <v>70</v>
      </c>
      <c r="F1307" s="2">
        <v>1271.428</v>
      </c>
    </row>
    <row r="1308" spans="3:6" x14ac:dyDescent="0.25">
      <c r="C1308" s="2" t="s">
        <v>6507</v>
      </c>
      <c r="D1308" s="2" t="s">
        <v>42</v>
      </c>
      <c r="E1308" s="2">
        <v>42</v>
      </c>
      <c r="F1308" s="2">
        <v>809.23</v>
      </c>
    </row>
    <row r="1309" spans="3:6" x14ac:dyDescent="0.25">
      <c r="C1309" s="2" t="s">
        <v>6508</v>
      </c>
      <c r="D1309" s="2" t="s">
        <v>42</v>
      </c>
      <c r="E1309" s="2">
        <v>37</v>
      </c>
      <c r="F1309" s="2">
        <v>702.577</v>
      </c>
    </row>
    <row r="1310" spans="3:6" x14ac:dyDescent="0.25">
      <c r="C1310" s="2" t="s">
        <v>6509</v>
      </c>
      <c r="D1310" s="2" t="s">
        <v>42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10</v>
      </c>
      <c r="C1312" s="2" t="s">
        <v>6510</v>
      </c>
      <c r="D1312" s="2" t="s">
        <v>12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6511</v>
      </c>
      <c r="D1313" s="2" t="s">
        <v>12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375</v>
      </c>
      <c r="C1315" s="2" t="s">
        <v>6512</v>
      </c>
      <c r="D1315" s="2" t="s">
        <v>216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6513</v>
      </c>
      <c r="D1316" s="2" t="s">
        <v>204</v>
      </c>
      <c r="E1316" s="2">
        <v>22</v>
      </c>
      <c r="F1316" s="2">
        <v>457.81</v>
      </c>
    </row>
    <row r="1317" spans="3:6" x14ac:dyDescent="0.25">
      <c r="C1317" s="2" t="s">
        <v>6514</v>
      </c>
      <c r="D1317" s="2" t="s">
        <v>236</v>
      </c>
      <c r="E1317" s="2">
        <v>45</v>
      </c>
      <c r="F1317" s="2">
        <v>852.16</v>
      </c>
    </row>
    <row r="1318" spans="3:6" x14ac:dyDescent="0.25">
      <c r="C1318" s="2" t="s">
        <v>6515</v>
      </c>
      <c r="D1318" s="2" t="s">
        <v>236</v>
      </c>
      <c r="E1318" s="2">
        <v>80</v>
      </c>
      <c r="F1318" s="2">
        <v>1516.57</v>
      </c>
    </row>
    <row r="1319" spans="3:6" x14ac:dyDescent="0.25">
      <c r="C1319" s="2" t="s">
        <v>6516</v>
      </c>
      <c r="D1319" s="2" t="s">
        <v>236</v>
      </c>
      <c r="E1319" s="2">
        <v>25</v>
      </c>
      <c r="F1319" s="2">
        <v>520.86</v>
      </c>
    </row>
    <row r="1320" spans="3:6" x14ac:dyDescent="0.25">
      <c r="C1320" s="2" t="s">
        <v>6517</v>
      </c>
      <c r="D1320" s="2" t="s">
        <v>236</v>
      </c>
      <c r="E1320" s="2">
        <v>60</v>
      </c>
      <c r="F1320" s="2">
        <v>1090.99</v>
      </c>
    </row>
    <row r="1321" spans="3:6" x14ac:dyDescent="0.25">
      <c r="C1321" s="2" t="s">
        <v>6518</v>
      </c>
      <c r="D1321" s="2" t="s">
        <v>204</v>
      </c>
      <c r="E1321" s="2">
        <v>134</v>
      </c>
      <c r="F1321" s="2">
        <v>2781.654</v>
      </c>
    </row>
    <row r="1322" spans="3:6" x14ac:dyDescent="0.25">
      <c r="C1322" s="2" t="s">
        <v>6519</v>
      </c>
      <c r="D1322" s="2" t="s">
        <v>342</v>
      </c>
      <c r="E1322" s="2">
        <v>75</v>
      </c>
      <c r="F1322" s="2">
        <v>1386.94</v>
      </c>
    </row>
    <row r="1323" spans="3:6" x14ac:dyDescent="0.25">
      <c r="C1323" s="2" t="s">
        <v>6520</v>
      </c>
      <c r="D1323" s="2" t="s">
        <v>342</v>
      </c>
      <c r="E1323" s="2">
        <v>30</v>
      </c>
      <c r="F1323" s="2">
        <v>525.07</v>
      </c>
    </row>
    <row r="1324" spans="3:6" x14ac:dyDescent="0.25">
      <c r="C1324" s="2" t="s">
        <v>6521</v>
      </c>
      <c r="D1324" s="2" t="s">
        <v>204</v>
      </c>
      <c r="E1324" s="2">
        <v>105</v>
      </c>
      <c r="F1324" s="2">
        <v>2074.73</v>
      </c>
    </row>
    <row r="1325" spans="3:6" x14ac:dyDescent="0.25">
      <c r="C1325" s="2" t="s">
        <v>6522</v>
      </c>
      <c r="D1325" s="2" t="s">
        <v>204</v>
      </c>
      <c r="E1325" s="2">
        <v>95</v>
      </c>
      <c r="F1325" s="2">
        <v>2191.66</v>
      </c>
    </row>
    <row r="1326" spans="3:6" x14ac:dyDescent="0.25">
      <c r="C1326" s="2" t="s">
        <v>6523</v>
      </c>
      <c r="D1326" s="2" t="s">
        <v>214</v>
      </c>
      <c r="E1326" s="2">
        <v>100</v>
      </c>
      <c r="F1326" s="2">
        <v>2002.88</v>
      </c>
    </row>
    <row r="1327" spans="3:6" x14ac:dyDescent="0.25">
      <c r="C1327" s="2" t="s">
        <v>6524</v>
      </c>
      <c r="D1327" s="2" t="s">
        <v>214</v>
      </c>
      <c r="E1327" s="2">
        <v>56</v>
      </c>
      <c r="F1327" s="2">
        <v>1099.74</v>
      </c>
    </row>
    <row r="1328" spans="3:6" x14ac:dyDescent="0.25">
      <c r="C1328" s="2" t="s">
        <v>6525</v>
      </c>
      <c r="D1328" s="2" t="s">
        <v>216</v>
      </c>
      <c r="E1328" s="2">
        <v>134</v>
      </c>
      <c r="F1328" s="2">
        <v>2594.319</v>
      </c>
    </row>
    <row r="1329" spans="3:6" x14ac:dyDescent="0.25">
      <c r="C1329" s="2" t="s">
        <v>6526</v>
      </c>
      <c r="D1329" s="2" t="s">
        <v>216</v>
      </c>
      <c r="E1329" s="2">
        <v>134</v>
      </c>
      <c r="F1329" s="2">
        <v>2575.61</v>
      </c>
    </row>
    <row r="1330" spans="3:6" x14ac:dyDescent="0.25">
      <c r="C1330" s="2" t="s">
        <v>6527</v>
      </c>
      <c r="D1330" s="2" t="s">
        <v>216</v>
      </c>
      <c r="E1330" s="2">
        <v>134</v>
      </c>
      <c r="F1330" s="2">
        <v>2548.691</v>
      </c>
    </row>
    <row r="1331" spans="3:6" x14ac:dyDescent="0.25">
      <c r="C1331" s="2" t="s">
        <v>6528</v>
      </c>
      <c r="D1331" s="2" t="s">
        <v>347</v>
      </c>
      <c r="E1331" s="2">
        <v>55</v>
      </c>
      <c r="F1331" s="2">
        <v>1074.67</v>
      </c>
    </row>
    <row r="1332" spans="3:6" x14ac:dyDescent="0.25">
      <c r="C1332" s="2" t="s">
        <v>6529</v>
      </c>
      <c r="D1332" s="2" t="s">
        <v>347</v>
      </c>
      <c r="E1332" s="2">
        <v>47</v>
      </c>
      <c r="F1332" s="2">
        <v>879.58</v>
      </c>
    </row>
    <row r="1333" spans="3:6" x14ac:dyDescent="0.25">
      <c r="C1333" s="2" t="s">
        <v>6530</v>
      </c>
      <c r="D1333" s="2" t="s">
        <v>216</v>
      </c>
      <c r="E1333" s="2">
        <v>134</v>
      </c>
      <c r="F1333" s="2">
        <v>2656.198</v>
      </c>
    </row>
    <row r="1334" spans="3:6" x14ac:dyDescent="0.25">
      <c r="C1334" s="2" t="s">
        <v>6531</v>
      </c>
      <c r="D1334" s="2" t="s">
        <v>216</v>
      </c>
      <c r="E1334" s="2">
        <v>134</v>
      </c>
      <c r="F1334" s="2">
        <v>2740.31</v>
      </c>
    </row>
    <row r="1335" spans="3:6" x14ac:dyDescent="0.25">
      <c r="C1335" s="2" t="s">
        <v>6532</v>
      </c>
      <c r="D1335" s="2" t="s">
        <v>204</v>
      </c>
      <c r="E1335" s="2">
        <v>32</v>
      </c>
      <c r="F1335" s="2">
        <v>685.84</v>
      </c>
    </row>
    <row r="1336" spans="3:6" x14ac:dyDescent="0.25">
      <c r="C1336" s="2" t="s">
        <v>6533</v>
      </c>
      <c r="D1336" s="2" t="s">
        <v>204</v>
      </c>
      <c r="E1336" s="2">
        <v>96</v>
      </c>
      <c r="F1336" s="2">
        <v>302.814</v>
      </c>
    </row>
    <row r="1337" spans="3:6" x14ac:dyDescent="0.25">
      <c r="C1337" s="2" t="s">
        <v>6534</v>
      </c>
      <c r="D1337" s="2" t="s">
        <v>347</v>
      </c>
      <c r="E1337" s="2">
        <v>100</v>
      </c>
      <c r="F1337" s="2">
        <v>1953.3</v>
      </c>
    </row>
    <row r="1338" spans="3:6" x14ac:dyDescent="0.25">
      <c r="C1338" s="2" t="s">
        <v>6535</v>
      </c>
      <c r="D1338" s="2" t="s">
        <v>347</v>
      </c>
      <c r="E1338" s="2">
        <v>56</v>
      </c>
      <c r="F1338" s="2">
        <v>1094.08</v>
      </c>
    </row>
    <row r="1339" spans="3:6" x14ac:dyDescent="0.25">
      <c r="C1339" s="2" t="s">
        <v>6536</v>
      </c>
      <c r="D1339" s="2" t="s">
        <v>204</v>
      </c>
      <c r="E1339" s="2">
        <v>163</v>
      </c>
      <c r="F1339" s="2">
        <v>3170.968</v>
      </c>
    </row>
    <row r="1340" spans="3:6" x14ac:dyDescent="0.25">
      <c r="C1340" s="2" t="s">
        <v>6537</v>
      </c>
      <c r="D1340" s="2" t="s">
        <v>216</v>
      </c>
      <c r="E1340" s="2">
        <v>134</v>
      </c>
      <c r="F1340" s="2">
        <v>2777.34</v>
      </c>
    </row>
    <row r="1341" spans="3:6" x14ac:dyDescent="0.25">
      <c r="C1341" s="2" t="s">
        <v>6538</v>
      </c>
      <c r="D1341" s="2" t="s">
        <v>204</v>
      </c>
      <c r="E1341" s="2">
        <v>103</v>
      </c>
      <c r="F1341" s="2">
        <v>2075.561</v>
      </c>
    </row>
    <row r="1342" spans="3:6" x14ac:dyDescent="0.25">
      <c r="C1342" s="2" t="s">
        <v>5985</v>
      </c>
      <c r="D1342" s="2" t="s">
        <v>204</v>
      </c>
      <c r="E1342" s="2">
        <v>163</v>
      </c>
      <c r="F1342" s="2">
        <v>3231.23</v>
      </c>
    </row>
    <row r="1343" spans="3:6" x14ac:dyDescent="0.25">
      <c r="C1343" s="2" t="s">
        <v>5987</v>
      </c>
      <c r="D1343" s="2" t="s">
        <v>204</v>
      </c>
      <c r="E1343" s="2">
        <v>36</v>
      </c>
      <c r="F1343" s="2">
        <v>722.249</v>
      </c>
    </row>
    <row r="1345" spans="2:7" x14ac:dyDescent="0.25">
      <c r="B1345" s="2" t="s">
        <v>6539</v>
      </c>
      <c r="C1345" s="2" t="s">
        <v>6540</v>
      </c>
      <c r="D1345" s="2" t="s">
        <v>342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6541</v>
      </c>
      <c r="D1346" s="2" t="s">
        <v>342</v>
      </c>
      <c r="E1346" s="2">
        <v>154</v>
      </c>
      <c r="F1346" s="2">
        <v>3074.65</v>
      </c>
    </row>
    <row r="1348" spans="2:7" x14ac:dyDescent="0.25">
      <c r="B1348" s="2" t="s">
        <v>2077</v>
      </c>
      <c r="C1348" s="2" t="s">
        <v>6542</v>
      </c>
      <c r="D1348" s="2" t="s">
        <v>216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6543</v>
      </c>
      <c r="D1349" s="2" t="s">
        <v>216</v>
      </c>
      <c r="E1349" s="2">
        <v>105</v>
      </c>
      <c r="F1349" s="2">
        <v>2000</v>
      </c>
    </row>
    <row r="1350" spans="3:6" x14ac:dyDescent="0.25">
      <c r="C1350" s="2" t="s">
        <v>6544</v>
      </c>
      <c r="D1350" s="2" t="s">
        <v>216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18</v>
      </c>
      <c r="C1352" s="2" t="s">
        <v>6545</v>
      </c>
      <c r="D1352" s="2" t="s">
        <v>20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6546</v>
      </c>
      <c r="D1353" s="2" t="s">
        <v>20</v>
      </c>
      <c r="E1353" s="2">
        <v>149</v>
      </c>
      <c r="F1353" s="2">
        <v>2784.349</v>
      </c>
    </row>
    <row r="1354" spans="3:6" x14ac:dyDescent="0.25">
      <c r="C1354" s="2" t="s">
        <v>6547</v>
      </c>
      <c r="D1354" s="2" t="s">
        <v>20</v>
      </c>
      <c r="E1354" s="2">
        <v>149</v>
      </c>
      <c r="F1354" s="2">
        <v>2731.147</v>
      </c>
    </row>
    <row r="1355" spans="3:6" x14ac:dyDescent="0.25">
      <c r="C1355" s="2" t="s">
        <v>6548</v>
      </c>
      <c r="D1355" s="2" t="s">
        <v>20</v>
      </c>
      <c r="E1355" s="2">
        <v>149</v>
      </c>
      <c r="F1355" s="2">
        <v>2850.249</v>
      </c>
    </row>
    <row r="1356" spans="3:6" x14ac:dyDescent="0.25">
      <c r="C1356" s="2" t="s">
        <v>6549</v>
      </c>
      <c r="D1356" s="2" t="s">
        <v>20</v>
      </c>
      <c r="E1356" s="2">
        <v>250</v>
      </c>
      <c r="F1356" s="2">
        <v>4817.179</v>
      </c>
    </row>
    <row r="1357" spans="3:6" x14ac:dyDescent="0.25">
      <c r="C1357" s="2" t="s">
        <v>6550</v>
      </c>
      <c r="D1357" s="2" t="s">
        <v>20</v>
      </c>
      <c r="E1357" s="2">
        <v>149</v>
      </c>
      <c r="F1357" s="2">
        <v>2971.95</v>
      </c>
    </row>
    <row r="1358" spans="3:6" x14ac:dyDescent="0.25">
      <c r="C1358" s="2" t="s">
        <v>6551</v>
      </c>
      <c r="D1358" s="2" t="s">
        <v>20</v>
      </c>
      <c r="E1358" s="2">
        <v>102</v>
      </c>
      <c r="F1358" s="2">
        <v>1959.93</v>
      </c>
    </row>
    <row r="1359" spans="3:6" x14ac:dyDescent="0.25">
      <c r="C1359" s="2" t="s">
        <v>6552</v>
      </c>
      <c r="D1359" s="2" t="s">
        <v>20</v>
      </c>
      <c r="E1359" s="2">
        <v>102</v>
      </c>
      <c r="F1359" s="2">
        <v>2054.97</v>
      </c>
    </row>
    <row r="1360" spans="3:6" x14ac:dyDescent="0.25">
      <c r="C1360" s="2" t="s">
        <v>6553</v>
      </c>
      <c r="D1360" s="2" t="s">
        <v>20</v>
      </c>
      <c r="E1360" s="2">
        <v>102</v>
      </c>
      <c r="F1360" s="2">
        <v>2040.819</v>
      </c>
    </row>
    <row r="1361" spans="3:6" x14ac:dyDescent="0.25">
      <c r="C1361" s="2" t="s">
        <v>6554</v>
      </c>
      <c r="D1361" s="2" t="s">
        <v>20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1585</v>
      </c>
      <c r="C1363" s="2" t="s">
        <v>6555</v>
      </c>
      <c r="D1363" s="2" t="s">
        <v>204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324</v>
      </c>
      <c r="C1365" s="2" t="s">
        <v>6556</v>
      </c>
      <c r="D1365" s="2" t="s">
        <v>27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6557</v>
      </c>
      <c r="D1366" s="2" t="s">
        <v>27</v>
      </c>
      <c r="E1366" s="2">
        <v>97</v>
      </c>
      <c r="F1366" s="2">
        <v>1911.28</v>
      </c>
    </row>
    <row r="1367" spans="3:6" x14ac:dyDescent="0.25">
      <c r="C1367" s="2" t="s">
        <v>6558</v>
      </c>
      <c r="D1367" s="2" t="s">
        <v>27</v>
      </c>
      <c r="E1367" s="2">
        <v>76</v>
      </c>
      <c r="F1367" s="2">
        <v>1220.579</v>
      </c>
    </row>
    <row r="1368" spans="3:6" x14ac:dyDescent="0.25">
      <c r="C1368" s="2" t="s">
        <v>6559</v>
      </c>
      <c r="D1368" s="2" t="s">
        <v>27</v>
      </c>
      <c r="E1368" s="2">
        <v>25</v>
      </c>
      <c r="F1368" s="2">
        <v>465.79</v>
      </c>
    </row>
    <row r="1369" spans="3:6" x14ac:dyDescent="0.25">
      <c r="C1369" s="2" t="s">
        <v>6560</v>
      </c>
      <c r="D1369" s="2" t="s">
        <v>27</v>
      </c>
      <c r="E1369" s="2">
        <v>31</v>
      </c>
      <c r="F1369" s="2">
        <v>573.09</v>
      </c>
    </row>
    <row r="1370" spans="3:6" x14ac:dyDescent="0.25">
      <c r="C1370" s="2" t="s">
        <v>6561</v>
      </c>
      <c r="D1370" s="2" t="s">
        <v>27</v>
      </c>
      <c r="E1370" s="2">
        <v>60</v>
      </c>
      <c r="F1370" s="2">
        <v>1128.24</v>
      </c>
    </row>
    <row r="1371" spans="3:6" x14ac:dyDescent="0.25">
      <c r="C1371" s="2" t="s">
        <v>6562</v>
      </c>
      <c r="D1371" s="2" t="s">
        <v>27</v>
      </c>
      <c r="E1371" s="2">
        <v>6</v>
      </c>
      <c r="F1371" s="2">
        <v>121.55</v>
      </c>
    </row>
    <row r="1372" spans="3:6" x14ac:dyDescent="0.25">
      <c r="C1372" s="2" t="s">
        <v>6563</v>
      </c>
      <c r="D1372" s="2" t="s">
        <v>27</v>
      </c>
      <c r="E1372" s="2">
        <v>29</v>
      </c>
      <c r="F1372" s="2">
        <v>486.629</v>
      </c>
    </row>
    <row r="1373" spans="3:6" x14ac:dyDescent="0.25">
      <c r="C1373" s="2" t="s">
        <v>6564</v>
      </c>
      <c r="D1373" s="2" t="s">
        <v>27</v>
      </c>
      <c r="E1373" s="2">
        <v>76</v>
      </c>
      <c r="F1373" s="2">
        <v>1512.43</v>
      </c>
    </row>
    <row r="1374" spans="3:6" x14ac:dyDescent="0.25">
      <c r="C1374" s="2" t="s">
        <v>6565</v>
      </c>
      <c r="D1374" s="2" t="s">
        <v>27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10</v>
      </c>
      <c r="C1376" s="2" t="s">
        <v>6566</v>
      </c>
      <c r="D1376" s="2" t="s">
        <v>12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6567</v>
      </c>
      <c r="D1377" s="2" t="s">
        <v>12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202</v>
      </c>
      <c r="C1379" s="2" t="s">
        <v>6568</v>
      </c>
      <c r="D1379" s="2" t="s">
        <v>204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2077</v>
      </c>
      <c r="C1381" s="2" t="s">
        <v>6569</v>
      </c>
      <c r="D1381" s="2" t="s">
        <v>204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238</v>
      </c>
      <c r="C1383" s="2" t="s">
        <v>6570</v>
      </c>
      <c r="D1383" s="2" t="s">
        <v>204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6571</v>
      </c>
      <c r="D1384" s="2" t="s">
        <v>204</v>
      </c>
      <c r="E1384" s="2">
        <v>79</v>
      </c>
      <c r="F1384" s="2">
        <v>1496.44</v>
      </c>
    </row>
    <row r="1385" spans="3:6" x14ac:dyDescent="0.25">
      <c r="C1385" s="2" t="s">
        <v>6572</v>
      </c>
      <c r="D1385" s="2" t="s">
        <v>204</v>
      </c>
      <c r="E1385" s="2">
        <v>67</v>
      </c>
      <c r="F1385" s="2">
        <v>1461.68</v>
      </c>
    </row>
    <row r="1386" spans="3:6" x14ac:dyDescent="0.25">
      <c r="C1386" s="2" t="s">
        <v>6573</v>
      </c>
      <c r="D1386" s="2" t="s">
        <v>347</v>
      </c>
      <c r="E1386" s="2">
        <v>50</v>
      </c>
      <c r="F1386" s="2">
        <v>973.82</v>
      </c>
    </row>
    <row r="1387" spans="3:6" x14ac:dyDescent="0.25">
      <c r="C1387" s="2" t="s">
        <v>6574</v>
      </c>
      <c r="D1387" s="2" t="s">
        <v>347</v>
      </c>
      <c r="E1387" s="2">
        <v>50</v>
      </c>
      <c r="F1387" s="2">
        <v>938.408</v>
      </c>
    </row>
    <row r="1388" spans="3:6" x14ac:dyDescent="0.25">
      <c r="C1388" s="2" t="s">
        <v>6575</v>
      </c>
      <c r="D1388" s="2" t="s">
        <v>347</v>
      </c>
      <c r="E1388" s="2">
        <v>56</v>
      </c>
      <c r="F1388" s="2">
        <v>1059.85</v>
      </c>
    </row>
    <row r="1389" spans="3:6" x14ac:dyDescent="0.25">
      <c r="C1389" s="2" t="s">
        <v>6576</v>
      </c>
      <c r="D1389" s="2" t="s">
        <v>204</v>
      </c>
      <c r="E1389" s="2">
        <v>163</v>
      </c>
      <c r="F1389" s="2">
        <v>3177.097</v>
      </c>
    </row>
    <row r="1390" spans="3:6" x14ac:dyDescent="0.25">
      <c r="C1390" s="2" t="s">
        <v>6577</v>
      </c>
      <c r="D1390" s="2" t="s">
        <v>342</v>
      </c>
      <c r="E1390" s="2">
        <v>126</v>
      </c>
      <c r="F1390" s="2">
        <v>2549.29</v>
      </c>
    </row>
    <row r="1391" spans="3:6" x14ac:dyDescent="0.25">
      <c r="C1391" s="2" t="s">
        <v>6578</v>
      </c>
      <c r="D1391" s="2" t="s">
        <v>342</v>
      </c>
      <c r="E1391" s="2">
        <v>28</v>
      </c>
      <c r="F1391" s="2">
        <v>501.769</v>
      </c>
    </row>
    <row r="1392" spans="3:6" x14ac:dyDescent="0.25">
      <c r="C1392" s="2" t="s">
        <v>6579</v>
      </c>
      <c r="D1392" s="2" t="s">
        <v>214</v>
      </c>
      <c r="E1392" s="2">
        <v>56</v>
      </c>
      <c r="F1392" s="2">
        <v>1150.93</v>
      </c>
    </row>
    <row r="1393" spans="3:6" x14ac:dyDescent="0.25">
      <c r="C1393" s="2" t="s">
        <v>6580</v>
      </c>
      <c r="D1393" s="2" t="s">
        <v>204</v>
      </c>
      <c r="E1393" s="2">
        <v>163</v>
      </c>
      <c r="F1393" s="2">
        <v>2957.97</v>
      </c>
    </row>
    <row r="1394" spans="3:6" x14ac:dyDescent="0.25">
      <c r="C1394" s="2" t="s">
        <v>6581</v>
      </c>
      <c r="D1394" s="2" t="s">
        <v>204</v>
      </c>
      <c r="E1394" s="2">
        <v>163</v>
      </c>
      <c r="F1394" s="2">
        <v>3239.189</v>
      </c>
    </row>
    <row r="1395" spans="3:6" x14ac:dyDescent="0.25">
      <c r="C1395" s="2" t="s">
        <v>6582</v>
      </c>
      <c r="D1395" s="2" t="s">
        <v>204</v>
      </c>
      <c r="E1395" s="2">
        <v>163</v>
      </c>
      <c r="F1395" s="2">
        <v>3105.22</v>
      </c>
    </row>
    <row r="1396" spans="3:6" x14ac:dyDescent="0.25">
      <c r="C1396" s="2" t="s">
        <v>6583</v>
      </c>
      <c r="D1396" s="2" t="s">
        <v>204</v>
      </c>
      <c r="E1396" s="2">
        <v>134</v>
      </c>
      <c r="F1396" s="2">
        <v>2695.669</v>
      </c>
    </row>
    <row r="1397" spans="3:6" x14ac:dyDescent="0.25">
      <c r="C1397" s="2" t="s">
        <v>6584</v>
      </c>
      <c r="D1397" s="2" t="s">
        <v>204</v>
      </c>
      <c r="E1397" s="2">
        <v>163</v>
      </c>
      <c r="F1397" s="2">
        <v>3135.099</v>
      </c>
    </row>
    <row r="1398" spans="3:6" x14ac:dyDescent="0.25">
      <c r="C1398" s="2" t="s">
        <v>6585</v>
      </c>
      <c r="D1398" s="2" t="s">
        <v>214</v>
      </c>
      <c r="E1398" s="2">
        <v>100</v>
      </c>
      <c r="F1398" s="2">
        <v>1997.179</v>
      </c>
    </row>
    <row r="1399" spans="3:6" x14ac:dyDescent="0.25">
      <c r="C1399" s="2" t="s">
        <v>6513</v>
      </c>
      <c r="D1399" s="2" t="s">
        <v>204</v>
      </c>
      <c r="E1399" s="2">
        <v>22</v>
      </c>
      <c r="F1399" s="2">
        <v>457.81</v>
      </c>
    </row>
    <row r="1400" spans="3:6" x14ac:dyDescent="0.25">
      <c r="C1400" s="2" t="s">
        <v>6586</v>
      </c>
      <c r="D1400" s="2" t="s">
        <v>204</v>
      </c>
      <c r="E1400" s="2">
        <v>163</v>
      </c>
      <c r="F1400" s="2">
        <v>3025.85</v>
      </c>
    </row>
    <row r="1401" spans="3:6" x14ac:dyDescent="0.25">
      <c r="C1401" s="2" t="s">
        <v>6587</v>
      </c>
      <c r="D1401" s="2" t="s">
        <v>204</v>
      </c>
      <c r="E1401" s="2">
        <v>163</v>
      </c>
      <c r="F1401" s="2">
        <v>3128.9</v>
      </c>
    </row>
    <row r="1402" spans="3:6" x14ac:dyDescent="0.25">
      <c r="C1402" s="2" t="s">
        <v>6588</v>
      </c>
      <c r="D1402" s="2" t="s">
        <v>204</v>
      </c>
      <c r="E1402" s="2">
        <v>163</v>
      </c>
      <c r="F1402" s="2">
        <v>3052.418</v>
      </c>
    </row>
    <row r="1403" spans="3:6" x14ac:dyDescent="0.25">
      <c r="C1403" s="2" t="s">
        <v>6589</v>
      </c>
      <c r="D1403" s="2" t="s">
        <v>204</v>
      </c>
      <c r="E1403" s="2">
        <v>163</v>
      </c>
      <c r="F1403" s="2">
        <v>3140.07</v>
      </c>
    </row>
    <row r="1404" spans="3:6" x14ac:dyDescent="0.25">
      <c r="C1404" s="2" t="s">
        <v>6590</v>
      </c>
      <c r="D1404" s="2" t="s">
        <v>236</v>
      </c>
      <c r="E1404" s="2">
        <v>45</v>
      </c>
      <c r="F1404" s="2">
        <v>837.29</v>
      </c>
    </row>
    <row r="1405" spans="3:6" x14ac:dyDescent="0.25">
      <c r="C1405" s="2" t="s">
        <v>6591</v>
      </c>
      <c r="D1405" s="2" t="s">
        <v>236</v>
      </c>
      <c r="E1405" s="2">
        <v>60</v>
      </c>
      <c r="F1405" s="2">
        <v>1113.9</v>
      </c>
    </row>
    <row r="1406" spans="3:6" x14ac:dyDescent="0.25">
      <c r="C1406" s="2" t="s">
        <v>6592</v>
      </c>
      <c r="D1406" s="2" t="s">
        <v>236</v>
      </c>
      <c r="E1406" s="2">
        <v>15</v>
      </c>
      <c r="F1406" s="2">
        <v>332.93</v>
      </c>
    </row>
    <row r="1407" spans="3:6" x14ac:dyDescent="0.25">
      <c r="C1407" s="2" t="s">
        <v>6593</v>
      </c>
      <c r="D1407" s="2" t="s">
        <v>236</v>
      </c>
      <c r="E1407" s="2">
        <v>80</v>
      </c>
      <c r="F1407" s="2">
        <v>1568.93</v>
      </c>
    </row>
    <row r="1408" spans="3:6" x14ac:dyDescent="0.25">
      <c r="C1408" s="2" t="s">
        <v>6594</v>
      </c>
      <c r="D1408" s="2" t="s">
        <v>214</v>
      </c>
      <c r="E1408" s="2">
        <v>56</v>
      </c>
      <c r="F1408" s="2">
        <v>1118.8</v>
      </c>
    </row>
    <row r="1409" spans="3:6" x14ac:dyDescent="0.25">
      <c r="C1409" s="2" t="s">
        <v>6595</v>
      </c>
      <c r="D1409" s="2" t="s">
        <v>214</v>
      </c>
      <c r="E1409" s="2">
        <v>100</v>
      </c>
      <c r="F1409" s="2">
        <v>2072.129</v>
      </c>
    </row>
    <row r="1410" spans="3:6" x14ac:dyDescent="0.25">
      <c r="C1410" s="2" t="s">
        <v>6596</v>
      </c>
      <c r="D1410" s="2" t="s">
        <v>214</v>
      </c>
      <c r="E1410" s="2">
        <v>56</v>
      </c>
      <c r="F1410" s="2">
        <v>1144.98</v>
      </c>
    </row>
    <row r="1411" spans="3:6" x14ac:dyDescent="0.25">
      <c r="C1411" s="2" t="s">
        <v>6597</v>
      </c>
      <c r="D1411" s="2" t="s">
        <v>214</v>
      </c>
      <c r="E1411" s="2">
        <v>100</v>
      </c>
      <c r="F1411" s="2">
        <v>2007.789</v>
      </c>
    </row>
    <row r="1412" spans="3:6" x14ac:dyDescent="0.25">
      <c r="C1412" s="2" t="s">
        <v>6598</v>
      </c>
      <c r="D1412" s="2" t="s">
        <v>204</v>
      </c>
      <c r="E1412" s="2">
        <v>134</v>
      </c>
      <c r="F1412" s="2">
        <v>2602.758</v>
      </c>
    </row>
    <row r="1413" spans="3:6" x14ac:dyDescent="0.25">
      <c r="C1413" s="2" t="s">
        <v>6599</v>
      </c>
      <c r="D1413" s="2" t="s">
        <v>204</v>
      </c>
      <c r="E1413" s="2">
        <v>105</v>
      </c>
      <c r="F1413" s="2">
        <v>2048.929</v>
      </c>
    </row>
    <row r="1414" spans="3:6" x14ac:dyDescent="0.25">
      <c r="C1414" s="2" t="s">
        <v>6600</v>
      </c>
      <c r="D1414" s="2" t="s">
        <v>204</v>
      </c>
      <c r="E1414" s="2">
        <v>163</v>
      </c>
      <c r="F1414" s="2">
        <v>2841.928</v>
      </c>
    </row>
    <row r="1415" spans="3:6" x14ac:dyDescent="0.25">
      <c r="C1415" s="2" t="s">
        <v>6601</v>
      </c>
      <c r="D1415" s="2" t="s">
        <v>204</v>
      </c>
      <c r="E1415" s="2">
        <v>55</v>
      </c>
      <c r="F1415" s="2">
        <v>1160.4</v>
      </c>
    </row>
    <row r="1416" spans="3:6" x14ac:dyDescent="0.25">
      <c r="C1416" s="2" t="s">
        <v>6602</v>
      </c>
      <c r="D1416" s="2" t="s">
        <v>204</v>
      </c>
      <c r="E1416" s="2">
        <v>50</v>
      </c>
      <c r="F1416" s="2">
        <v>991.299</v>
      </c>
    </row>
    <row r="1417" spans="3:6" x14ac:dyDescent="0.25">
      <c r="C1417" s="2" t="s">
        <v>6603</v>
      </c>
      <c r="D1417" s="2" t="s">
        <v>204</v>
      </c>
      <c r="E1417" s="2">
        <v>134</v>
      </c>
      <c r="F1417" s="2">
        <v>2672.29</v>
      </c>
    </row>
    <row r="1418" spans="3:6" x14ac:dyDescent="0.25">
      <c r="C1418" s="2" t="s">
        <v>6604</v>
      </c>
      <c r="D1418" s="2" t="s">
        <v>204</v>
      </c>
      <c r="E1418" s="2">
        <v>134</v>
      </c>
      <c r="F1418" s="2">
        <v>2763.43</v>
      </c>
    </row>
    <row r="1419" spans="3:6" x14ac:dyDescent="0.25">
      <c r="C1419" s="2" t="s">
        <v>6605</v>
      </c>
      <c r="D1419" s="2" t="s">
        <v>204</v>
      </c>
      <c r="E1419" s="2">
        <v>134</v>
      </c>
      <c r="F1419" s="2">
        <v>2675.039</v>
      </c>
    </row>
    <row r="1420" spans="3:6" x14ac:dyDescent="0.25">
      <c r="C1420" s="2" t="s">
        <v>6518</v>
      </c>
      <c r="D1420" s="2" t="s">
        <v>204</v>
      </c>
      <c r="E1420" s="2">
        <v>134</v>
      </c>
      <c r="F1420" s="2">
        <v>2783.37</v>
      </c>
    </row>
    <row r="1421" spans="3:6" x14ac:dyDescent="0.25">
      <c r="C1421" s="2" t="s">
        <v>6606</v>
      </c>
      <c r="D1421" s="2" t="s">
        <v>342</v>
      </c>
      <c r="E1421" s="2">
        <v>154</v>
      </c>
      <c r="F1421" s="2">
        <v>3151.239</v>
      </c>
    </row>
    <row r="1422" spans="3:6" x14ac:dyDescent="0.25">
      <c r="C1422" s="2" t="s">
        <v>6536</v>
      </c>
      <c r="D1422" s="2" t="s">
        <v>204</v>
      </c>
      <c r="E1422" s="2">
        <v>163</v>
      </c>
      <c r="F1422" s="2">
        <v>3170.968</v>
      </c>
    </row>
    <row r="1423" spans="3:6" x14ac:dyDescent="0.25">
      <c r="C1423" s="2" t="s">
        <v>6538</v>
      </c>
      <c r="D1423" s="2" t="s">
        <v>204</v>
      </c>
      <c r="E1423" s="2">
        <v>103</v>
      </c>
      <c r="F1423" s="2">
        <v>2079.48</v>
      </c>
    </row>
    <row r="1424" spans="3:6" x14ac:dyDescent="0.25">
      <c r="C1424" s="2" t="s">
        <v>6607</v>
      </c>
      <c r="D1424" s="2" t="s">
        <v>204</v>
      </c>
      <c r="E1424" s="2">
        <v>101</v>
      </c>
      <c r="F1424" s="2">
        <v>1881</v>
      </c>
    </row>
    <row r="1425" spans="3:6" x14ac:dyDescent="0.25">
      <c r="C1425" s="2" t="s">
        <v>6608</v>
      </c>
      <c r="D1425" s="2" t="s">
        <v>236</v>
      </c>
      <c r="E1425" s="2">
        <v>10</v>
      </c>
      <c r="F1425" s="2">
        <v>226</v>
      </c>
    </row>
    <row r="1427" spans="2:7" x14ac:dyDescent="0.25">
      <c r="B1427" s="2" t="s">
        <v>6539</v>
      </c>
      <c r="C1427" s="2" t="s">
        <v>6577</v>
      </c>
      <c r="D1427" s="2" t="s">
        <v>342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6578</v>
      </c>
      <c r="D1428" s="2" t="s">
        <v>342</v>
      </c>
      <c r="E1428" s="2">
        <v>28</v>
      </c>
      <c r="F1428" s="2">
        <v>501.769</v>
      </c>
    </row>
    <row r="1429" spans="3:6" x14ac:dyDescent="0.25">
      <c r="C1429" s="2" t="s">
        <v>6606</v>
      </c>
      <c r="D1429" s="2" t="s">
        <v>342</v>
      </c>
      <c r="E1429" s="2">
        <v>154</v>
      </c>
      <c r="F1429" s="2">
        <v>3151.239</v>
      </c>
    </row>
    <row r="1431" spans="2:7" x14ac:dyDescent="0.25">
      <c r="B1431" s="2" t="s">
        <v>2077</v>
      </c>
      <c r="C1431" s="2" t="s">
        <v>6609</v>
      </c>
      <c r="D1431" s="2" t="s">
        <v>204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6610</v>
      </c>
      <c r="D1432" s="2" t="s">
        <v>297</v>
      </c>
      <c r="E1432" s="2">
        <v>6</v>
      </c>
      <c r="F1432" s="2">
        <v>74.87</v>
      </c>
    </row>
    <row r="1433" spans="3:6" x14ac:dyDescent="0.25">
      <c r="C1433" s="2" t="s">
        <v>6611</v>
      </c>
      <c r="D1433" s="2" t="s">
        <v>297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1101</v>
      </c>
      <c r="C1435" s="2" t="s">
        <v>6612</v>
      </c>
      <c r="D1435" s="2" t="s">
        <v>20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6613</v>
      </c>
      <c r="D1436" s="2" t="s">
        <v>20</v>
      </c>
      <c r="E1436" s="2">
        <v>163</v>
      </c>
      <c r="F1436" s="2">
        <v>3174.009</v>
      </c>
    </row>
    <row r="1437" spans="3:6" x14ac:dyDescent="0.25">
      <c r="C1437" s="2" t="s">
        <v>6614</v>
      </c>
      <c r="D1437" s="2" t="s">
        <v>20</v>
      </c>
      <c r="E1437" s="2">
        <v>105</v>
      </c>
      <c r="F1437" s="2">
        <v>2119.48</v>
      </c>
    </row>
    <row r="1438" spans="3:6" x14ac:dyDescent="0.25">
      <c r="C1438" s="2" t="s">
        <v>6615</v>
      </c>
      <c r="D1438" s="2" t="s">
        <v>20</v>
      </c>
      <c r="E1438" s="2">
        <v>104</v>
      </c>
      <c r="F1438" s="2">
        <v>2071.299</v>
      </c>
    </row>
    <row r="1439" spans="3:6" x14ac:dyDescent="0.25">
      <c r="C1439" s="2" t="s">
        <v>6616</v>
      </c>
      <c r="D1439" s="2" t="s">
        <v>20</v>
      </c>
      <c r="E1439" s="2">
        <v>105</v>
      </c>
      <c r="F1439" s="2">
        <v>2105.14</v>
      </c>
    </row>
    <row r="1440" spans="3:6" x14ac:dyDescent="0.25">
      <c r="C1440" s="2" t="s">
        <v>6617</v>
      </c>
      <c r="D1440" s="2" t="s">
        <v>20</v>
      </c>
      <c r="E1440" s="2">
        <v>105</v>
      </c>
      <c r="F1440" s="2">
        <v>1996.5</v>
      </c>
    </row>
    <row r="1441" spans="3:6" x14ac:dyDescent="0.25">
      <c r="C1441" s="2" t="s">
        <v>6618</v>
      </c>
      <c r="D1441" s="2" t="s">
        <v>20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120</v>
      </c>
      <c r="C1443" s="2" t="s">
        <v>6619</v>
      </c>
      <c r="D1443" s="2" t="s">
        <v>42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6620</v>
      </c>
      <c r="D1444" s="2" t="s">
        <v>42</v>
      </c>
      <c r="E1444" s="2">
        <v>69</v>
      </c>
      <c r="F1444" s="2">
        <v>1346.2</v>
      </c>
    </row>
    <row r="1445" spans="3:6" x14ac:dyDescent="0.25">
      <c r="C1445" s="2" t="s">
        <v>6621</v>
      </c>
      <c r="D1445" s="2" t="s">
        <v>42</v>
      </c>
      <c r="E1445" s="2">
        <v>91</v>
      </c>
      <c r="F1445" s="2">
        <v>1815.279</v>
      </c>
    </row>
    <row r="1446" spans="3:6" x14ac:dyDescent="0.25">
      <c r="C1446" s="2" t="s">
        <v>6622</v>
      </c>
      <c r="D1446" s="2" t="s">
        <v>42</v>
      </c>
      <c r="E1446" s="2">
        <v>14</v>
      </c>
      <c r="F1446" s="2">
        <v>127.92</v>
      </c>
    </row>
    <row r="1447" spans="3:6" x14ac:dyDescent="0.25">
      <c r="C1447" s="2" t="s">
        <v>6623</v>
      </c>
      <c r="D1447" s="2" t="s">
        <v>42</v>
      </c>
      <c r="E1447" s="2">
        <v>22</v>
      </c>
      <c r="F1447" s="2">
        <v>401.37</v>
      </c>
    </row>
    <row r="1448" spans="3:6" x14ac:dyDescent="0.25">
      <c r="C1448" s="2" t="s">
        <v>6624</v>
      </c>
      <c r="D1448" s="2" t="s">
        <v>42</v>
      </c>
      <c r="E1448" s="2">
        <v>123</v>
      </c>
      <c r="F1448" s="2">
        <v>2598.16</v>
      </c>
    </row>
    <row r="1449" spans="3:6" x14ac:dyDescent="0.25">
      <c r="C1449" s="2" t="s">
        <v>6625</v>
      </c>
      <c r="D1449" s="2" t="s">
        <v>42</v>
      </c>
      <c r="E1449" s="2">
        <v>58</v>
      </c>
      <c r="F1449" s="2">
        <v>1073.909</v>
      </c>
    </row>
    <row r="1450" spans="3:6" x14ac:dyDescent="0.25">
      <c r="C1450" s="2" t="s">
        <v>6626</v>
      </c>
      <c r="D1450" s="2" t="s">
        <v>42</v>
      </c>
      <c r="E1450" s="2">
        <v>37</v>
      </c>
      <c r="F1450" s="2">
        <v>703.11</v>
      </c>
    </row>
    <row r="1451" spans="3:6" x14ac:dyDescent="0.25">
      <c r="C1451" s="2" t="s">
        <v>6627</v>
      </c>
      <c r="D1451" s="2" t="s">
        <v>42</v>
      </c>
      <c r="E1451" s="2">
        <v>28</v>
      </c>
      <c r="F1451" s="2">
        <v>552.77</v>
      </c>
    </row>
    <row r="1452" spans="3:6" x14ac:dyDescent="0.25">
      <c r="C1452" s="2" t="s">
        <v>6628</v>
      </c>
      <c r="D1452" s="2" t="s">
        <v>42</v>
      </c>
      <c r="E1452" s="2">
        <v>141</v>
      </c>
      <c r="F1452" s="2">
        <v>2695.07</v>
      </c>
    </row>
    <row r="1453" spans="3:6" x14ac:dyDescent="0.25">
      <c r="C1453" s="2" t="s">
        <v>6629</v>
      </c>
      <c r="D1453" s="2" t="s">
        <v>42</v>
      </c>
      <c r="E1453" s="2">
        <v>95</v>
      </c>
      <c r="F1453" s="2">
        <v>2030.27</v>
      </c>
    </row>
    <row r="1454" spans="3:6" x14ac:dyDescent="0.25">
      <c r="C1454" s="2" t="s">
        <v>6630</v>
      </c>
      <c r="D1454" s="2" t="s">
        <v>42</v>
      </c>
      <c r="E1454" s="2">
        <v>46</v>
      </c>
      <c r="F1454" s="2">
        <v>818.12</v>
      </c>
    </row>
    <row r="1455" spans="3:6" x14ac:dyDescent="0.25">
      <c r="C1455" s="2" t="s">
        <v>6631</v>
      </c>
      <c r="D1455" s="2" t="s">
        <v>42</v>
      </c>
      <c r="E1455" s="2">
        <v>60</v>
      </c>
      <c r="F1455" s="2">
        <v>295.24</v>
      </c>
    </row>
    <row r="1456" spans="3:6" x14ac:dyDescent="0.25">
      <c r="C1456" s="2" t="s">
        <v>6632</v>
      </c>
      <c r="D1456" s="2" t="s">
        <v>42</v>
      </c>
      <c r="E1456" s="2">
        <v>141</v>
      </c>
      <c r="F1456" s="2">
        <v>3052.21</v>
      </c>
    </row>
    <row r="1457" spans="3:6" x14ac:dyDescent="0.25">
      <c r="C1457" s="2" t="s">
        <v>6633</v>
      </c>
      <c r="D1457" s="2" t="s">
        <v>42</v>
      </c>
      <c r="E1457" s="2">
        <v>141</v>
      </c>
      <c r="F1457" s="2">
        <v>2820.2</v>
      </c>
    </row>
    <row r="1458" spans="3:6" x14ac:dyDescent="0.25">
      <c r="C1458" s="2" t="s">
        <v>6634</v>
      </c>
      <c r="D1458" s="2" t="s">
        <v>42</v>
      </c>
      <c r="E1458" s="2">
        <v>141</v>
      </c>
      <c r="F1458" s="2">
        <v>3108.347</v>
      </c>
    </row>
    <row r="1459" spans="3:6" x14ac:dyDescent="0.25">
      <c r="C1459" s="2" t="s">
        <v>6635</v>
      </c>
      <c r="D1459" s="2" t="s">
        <v>42</v>
      </c>
      <c r="E1459" s="2">
        <v>45</v>
      </c>
      <c r="F1459" s="2">
        <v>198.3</v>
      </c>
    </row>
    <row r="1460" spans="3:6" x14ac:dyDescent="0.25">
      <c r="C1460" s="2" t="s">
        <v>6636</v>
      </c>
      <c r="D1460" s="2" t="s">
        <v>42</v>
      </c>
      <c r="E1460" s="2">
        <v>141</v>
      </c>
      <c r="F1460" s="2">
        <v>2699.98</v>
      </c>
    </row>
    <row r="1461" spans="3:6" x14ac:dyDescent="0.25">
      <c r="C1461" s="2" t="s">
        <v>6637</v>
      </c>
      <c r="D1461" s="2" t="s">
        <v>42</v>
      </c>
      <c r="E1461" s="2">
        <v>141</v>
      </c>
      <c r="F1461" s="2">
        <v>3099.52</v>
      </c>
    </row>
    <row r="1462" spans="3:6" x14ac:dyDescent="0.25">
      <c r="C1462" s="2" t="s">
        <v>6638</v>
      </c>
      <c r="D1462" s="2" t="s">
        <v>42</v>
      </c>
      <c r="E1462" s="2">
        <v>51</v>
      </c>
      <c r="F1462" s="2">
        <v>847.69</v>
      </c>
    </row>
    <row r="1463" spans="3:6" x14ac:dyDescent="0.25">
      <c r="C1463" s="2" t="s">
        <v>6639</v>
      </c>
      <c r="D1463" s="2" t="s">
        <v>42</v>
      </c>
      <c r="E1463" s="2">
        <v>39</v>
      </c>
      <c r="F1463" s="2">
        <v>718.21</v>
      </c>
    </row>
    <row r="1464" spans="3:6" x14ac:dyDescent="0.25">
      <c r="C1464" s="2" t="s">
        <v>6640</v>
      </c>
      <c r="D1464" s="2" t="s">
        <v>42</v>
      </c>
      <c r="E1464" s="2">
        <v>51</v>
      </c>
      <c r="F1464" s="2">
        <v>1068.47</v>
      </c>
    </row>
    <row r="1465" spans="3:6" x14ac:dyDescent="0.25">
      <c r="C1465" s="2" t="s">
        <v>6641</v>
      </c>
      <c r="D1465" s="2" t="s">
        <v>42</v>
      </c>
      <c r="E1465" s="2">
        <v>45</v>
      </c>
      <c r="F1465" s="2">
        <v>235.01</v>
      </c>
    </row>
    <row r="1466" spans="3:6" x14ac:dyDescent="0.25">
      <c r="C1466" s="2" t="s">
        <v>6642</v>
      </c>
      <c r="D1466" s="2" t="s">
        <v>42</v>
      </c>
      <c r="E1466" s="2">
        <v>41</v>
      </c>
      <c r="F1466" s="2">
        <v>815.23</v>
      </c>
    </row>
    <row r="1467" spans="3:6" x14ac:dyDescent="0.25">
      <c r="C1467" s="2" t="s">
        <v>6643</v>
      </c>
      <c r="D1467" s="2" t="s">
        <v>42</v>
      </c>
      <c r="E1467" s="2">
        <v>62</v>
      </c>
      <c r="F1467" s="2">
        <v>1233.92</v>
      </c>
    </row>
    <row r="1468" spans="3:6" x14ac:dyDescent="0.25">
      <c r="C1468" s="2" t="s">
        <v>6644</v>
      </c>
      <c r="D1468" s="2" t="s">
        <v>42</v>
      </c>
      <c r="E1468" s="2">
        <v>38</v>
      </c>
      <c r="F1468" s="2">
        <v>754.76</v>
      </c>
    </row>
    <row r="1469" spans="3:6" x14ac:dyDescent="0.25">
      <c r="C1469" s="2" t="s">
        <v>6645</v>
      </c>
      <c r="D1469" s="2" t="s">
        <v>42</v>
      </c>
      <c r="E1469" s="2">
        <v>75</v>
      </c>
      <c r="F1469" s="2">
        <v>1442.02</v>
      </c>
    </row>
    <row r="1470" spans="3:6" x14ac:dyDescent="0.25">
      <c r="C1470" s="2" t="s">
        <v>6646</v>
      </c>
      <c r="D1470" s="2" t="s">
        <v>42</v>
      </c>
      <c r="E1470" s="2">
        <v>39</v>
      </c>
      <c r="F1470" s="2">
        <v>694.919</v>
      </c>
    </row>
    <row r="1471" spans="3:6" x14ac:dyDescent="0.25">
      <c r="C1471" s="2" t="s">
        <v>6647</v>
      </c>
      <c r="D1471" s="2" t="s">
        <v>42</v>
      </c>
      <c r="E1471" s="2">
        <v>27</v>
      </c>
      <c r="F1471" s="2">
        <v>527.57</v>
      </c>
    </row>
    <row r="1472" spans="3:6" x14ac:dyDescent="0.25">
      <c r="C1472" s="2" t="s">
        <v>6648</v>
      </c>
      <c r="D1472" s="2" t="s">
        <v>42</v>
      </c>
      <c r="E1472" s="2">
        <v>18</v>
      </c>
      <c r="F1472" s="2">
        <v>369.681</v>
      </c>
    </row>
    <row r="1473" spans="3:6" x14ac:dyDescent="0.25">
      <c r="C1473" s="2" t="s">
        <v>6649</v>
      </c>
      <c r="D1473" s="2" t="s">
        <v>42</v>
      </c>
      <c r="E1473" s="2">
        <v>25</v>
      </c>
      <c r="F1473" s="2">
        <v>474.299</v>
      </c>
    </row>
    <row r="1474" spans="3:6" x14ac:dyDescent="0.25">
      <c r="C1474" s="2" t="s">
        <v>6650</v>
      </c>
      <c r="D1474" s="2" t="s">
        <v>42</v>
      </c>
      <c r="E1474" s="2">
        <v>97</v>
      </c>
      <c r="F1474" s="2">
        <v>1980.45</v>
      </c>
    </row>
    <row r="1475" spans="3:6" x14ac:dyDescent="0.25">
      <c r="C1475" s="2" t="s">
        <v>6651</v>
      </c>
      <c r="D1475" s="2" t="s">
        <v>42</v>
      </c>
      <c r="E1475" s="2">
        <v>45</v>
      </c>
      <c r="F1475" s="2">
        <v>215.35</v>
      </c>
    </row>
    <row r="1476" spans="3:6" x14ac:dyDescent="0.25">
      <c r="C1476" s="2" t="s">
        <v>6652</v>
      </c>
      <c r="D1476" s="2" t="s">
        <v>42</v>
      </c>
      <c r="E1476" s="2">
        <v>117</v>
      </c>
      <c r="F1476" s="2">
        <v>2331.55</v>
      </c>
    </row>
    <row r="1477" spans="3:6" x14ac:dyDescent="0.25">
      <c r="C1477" s="2" t="s">
        <v>6653</v>
      </c>
      <c r="D1477" s="2" t="s">
        <v>42</v>
      </c>
      <c r="E1477" s="2">
        <v>13</v>
      </c>
      <c r="F1477" s="2">
        <v>317.21</v>
      </c>
    </row>
    <row r="1478" spans="3:6" x14ac:dyDescent="0.25">
      <c r="C1478" s="2" t="s">
        <v>6654</v>
      </c>
      <c r="D1478" s="2" t="s">
        <v>42</v>
      </c>
      <c r="E1478" s="2">
        <v>134</v>
      </c>
      <c r="F1478" s="2">
        <v>2622.389</v>
      </c>
    </row>
    <row r="1479" spans="3:6" x14ac:dyDescent="0.25">
      <c r="C1479" s="2" t="s">
        <v>6655</v>
      </c>
      <c r="D1479" s="2" t="s">
        <v>42</v>
      </c>
      <c r="E1479" s="2">
        <v>100</v>
      </c>
      <c r="F1479" s="2">
        <v>1899.088</v>
      </c>
    </row>
    <row r="1480" spans="3:6" x14ac:dyDescent="0.25">
      <c r="C1480" s="2" t="s">
        <v>6656</v>
      </c>
      <c r="D1480" s="2" t="s">
        <v>42</v>
      </c>
      <c r="E1480" s="2">
        <v>80</v>
      </c>
      <c r="F1480" s="2">
        <v>1503.559</v>
      </c>
    </row>
    <row r="1481" spans="3:6" x14ac:dyDescent="0.25">
      <c r="C1481" s="2" t="s">
        <v>6657</v>
      </c>
      <c r="D1481" s="2" t="s">
        <v>42</v>
      </c>
      <c r="E1481" s="2">
        <v>20</v>
      </c>
      <c r="F1481" s="2">
        <v>434.2</v>
      </c>
    </row>
    <row r="1482" spans="3:6" x14ac:dyDescent="0.25">
      <c r="C1482" s="2" t="s">
        <v>6658</v>
      </c>
      <c r="D1482" s="2" t="s">
        <v>42</v>
      </c>
      <c r="E1482" s="2">
        <v>34</v>
      </c>
      <c r="F1482" s="2">
        <v>713.55</v>
      </c>
    </row>
    <row r="1483" spans="3:6" x14ac:dyDescent="0.25">
      <c r="C1483" s="2" t="s">
        <v>6659</v>
      </c>
      <c r="D1483" s="2" t="s">
        <v>42</v>
      </c>
      <c r="E1483" s="2">
        <v>47</v>
      </c>
      <c r="F1483" s="2">
        <v>980.9</v>
      </c>
    </row>
    <row r="1484" spans="3:6" x14ac:dyDescent="0.25">
      <c r="C1484" s="2" t="s">
        <v>6660</v>
      </c>
      <c r="D1484" s="2" t="s">
        <v>42</v>
      </c>
      <c r="E1484" s="2">
        <v>20</v>
      </c>
      <c r="F1484" s="2">
        <v>385.679</v>
      </c>
    </row>
    <row r="1485" spans="3:6" x14ac:dyDescent="0.25">
      <c r="C1485" s="2" t="s">
        <v>6661</v>
      </c>
      <c r="D1485" s="2" t="s">
        <v>42</v>
      </c>
      <c r="E1485" s="2">
        <v>12</v>
      </c>
      <c r="F1485" s="2">
        <v>224.4</v>
      </c>
    </row>
    <row r="1486" spans="3:6" x14ac:dyDescent="0.25">
      <c r="C1486" s="2" t="s">
        <v>6662</v>
      </c>
      <c r="D1486" s="2" t="s">
        <v>42</v>
      </c>
      <c r="E1486" s="2">
        <v>12</v>
      </c>
      <c r="F1486" s="2">
        <v>183.429</v>
      </c>
    </row>
    <row r="1487" spans="3:6" x14ac:dyDescent="0.25">
      <c r="C1487" s="2" t="s">
        <v>6663</v>
      </c>
      <c r="D1487" s="2" t="s">
        <v>42</v>
      </c>
      <c r="E1487" s="2">
        <v>76</v>
      </c>
      <c r="F1487" s="2">
        <v>1351.37</v>
      </c>
    </row>
    <row r="1488" spans="3:6" x14ac:dyDescent="0.25">
      <c r="C1488" s="2" t="s">
        <v>6664</v>
      </c>
      <c r="D1488" s="2" t="s">
        <v>42</v>
      </c>
      <c r="E1488" s="2">
        <v>10</v>
      </c>
      <c r="F1488" s="2">
        <v>197.72</v>
      </c>
    </row>
    <row r="1489" spans="3:6" x14ac:dyDescent="0.25">
      <c r="C1489" s="2" t="s">
        <v>6665</v>
      </c>
      <c r="D1489" s="2" t="s">
        <v>42</v>
      </c>
      <c r="E1489" s="2">
        <v>65</v>
      </c>
      <c r="F1489" s="2">
        <v>1272.03</v>
      </c>
    </row>
    <row r="1490" spans="3:6" x14ac:dyDescent="0.25">
      <c r="C1490" s="2" t="s">
        <v>6666</v>
      </c>
      <c r="D1490" s="2" t="s">
        <v>42</v>
      </c>
      <c r="E1490" s="2">
        <v>81</v>
      </c>
      <c r="F1490" s="2">
        <v>1600.895</v>
      </c>
    </row>
    <row r="1491" spans="3:6" x14ac:dyDescent="0.25">
      <c r="C1491" s="2" t="s">
        <v>6667</v>
      </c>
      <c r="D1491" s="2" t="s">
        <v>42</v>
      </c>
      <c r="E1491" s="2">
        <v>19</v>
      </c>
      <c r="F1491" s="2">
        <v>306.59</v>
      </c>
    </row>
    <row r="1492" spans="3:6" x14ac:dyDescent="0.25">
      <c r="C1492" s="2" t="s">
        <v>6668</v>
      </c>
      <c r="D1492" s="2" t="s">
        <v>42</v>
      </c>
      <c r="E1492" s="2">
        <v>25</v>
      </c>
      <c r="F1492" s="2">
        <v>465.56</v>
      </c>
    </row>
    <row r="1493" spans="3:6" x14ac:dyDescent="0.25">
      <c r="C1493" s="2" t="s">
        <v>6669</v>
      </c>
      <c r="D1493" s="2" t="s">
        <v>42</v>
      </c>
      <c r="E1493" s="2">
        <v>62</v>
      </c>
      <c r="F1493" s="2">
        <v>1238.56</v>
      </c>
    </row>
    <row r="1494" spans="3:6" x14ac:dyDescent="0.25">
      <c r="C1494" s="2" t="s">
        <v>6670</v>
      </c>
      <c r="D1494" s="2" t="s">
        <v>42</v>
      </c>
      <c r="E1494" s="2">
        <v>54</v>
      </c>
      <c r="F1494" s="2">
        <v>996.59</v>
      </c>
    </row>
    <row r="1495" spans="3:6" x14ac:dyDescent="0.25">
      <c r="C1495" s="2" t="s">
        <v>6671</v>
      </c>
      <c r="D1495" s="2" t="s">
        <v>42</v>
      </c>
      <c r="E1495" s="2">
        <v>114</v>
      </c>
      <c r="F1495" s="2">
        <v>2209.655</v>
      </c>
    </row>
    <row r="1496" spans="3:6" x14ac:dyDescent="0.25">
      <c r="C1496" s="2" t="s">
        <v>6672</v>
      </c>
      <c r="D1496" s="2" t="s">
        <v>42</v>
      </c>
      <c r="E1496" s="2">
        <v>27</v>
      </c>
      <c r="F1496" s="2">
        <v>508.3</v>
      </c>
    </row>
    <row r="1497" spans="3:6" x14ac:dyDescent="0.25">
      <c r="C1497" s="2" t="s">
        <v>6673</v>
      </c>
      <c r="D1497" s="2" t="s">
        <v>42</v>
      </c>
      <c r="E1497" s="2">
        <v>92</v>
      </c>
      <c r="F1497" s="2">
        <v>1462.979</v>
      </c>
    </row>
    <row r="1498" spans="3:6" x14ac:dyDescent="0.25">
      <c r="C1498" s="2" t="s">
        <v>6674</v>
      </c>
      <c r="D1498" s="2" t="s">
        <v>42</v>
      </c>
      <c r="E1498" s="2">
        <v>8</v>
      </c>
      <c r="F1498" s="2">
        <v>153.39</v>
      </c>
    </row>
    <row r="1499" spans="3:6" x14ac:dyDescent="0.25">
      <c r="C1499" s="2" t="s">
        <v>6675</v>
      </c>
      <c r="D1499" s="2" t="s">
        <v>42</v>
      </c>
      <c r="E1499" s="2">
        <v>64</v>
      </c>
      <c r="F1499" s="2">
        <v>1256.865</v>
      </c>
    </row>
    <row r="1500" spans="3:6" x14ac:dyDescent="0.25">
      <c r="C1500" s="2" t="s">
        <v>6676</v>
      </c>
      <c r="D1500" s="2" t="s">
        <v>42</v>
      </c>
      <c r="E1500" s="2">
        <v>23</v>
      </c>
      <c r="F1500" s="2">
        <v>442.44</v>
      </c>
    </row>
    <row r="1501" spans="3:6" x14ac:dyDescent="0.25">
      <c r="C1501" s="2" t="s">
        <v>6677</v>
      </c>
      <c r="D1501" s="2" t="s">
        <v>42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10</v>
      </c>
      <c r="C1503" s="2" t="s">
        <v>6678</v>
      </c>
      <c r="D1503" s="2" t="s">
        <v>12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6679</v>
      </c>
      <c r="D1504" s="2" t="s">
        <v>12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1286</v>
      </c>
      <c r="C1506" s="2" t="s">
        <v>6680</v>
      </c>
      <c r="D1506" s="2" t="s">
        <v>216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6681</v>
      </c>
      <c r="D1507" s="2" t="s">
        <v>216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6682</v>
      </c>
      <c r="C1509" s="2" t="s">
        <v>6683</v>
      </c>
      <c r="D1509" s="2" t="s">
        <v>204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6684</v>
      </c>
      <c r="D1510" s="2" t="s">
        <v>204</v>
      </c>
      <c r="E1510" s="2">
        <v>99</v>
      </c>
      <c r="F1510" s="2">
        <v>2009.809</v>
      </c>
    </row>
    <row r="1511" spans="3:6" x14ac:dyDescent="0.25">
      <c r="C1511" s="2" t="s">
        <v>6685</v>
      </c>
      <c r="D1511" s="2" t="s">
        <v>204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212</v>
      </c>
      <c r="C1513" s="2" t="s">
        <v>6686</v>
      </c>
      <c r="D1513" s="2" t="s">
        <v>216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6687</v>
      </c>
      <c r="D1514" s="2" t="s">
        <v>204</v>
      </c>
      <c r="E1514" s="2">
        <v>105</v>
      </c>
      <c r="F1514" s="2">
        <v>2135.28</v>
      </c>
    </row>
    <row r="1515" spans="3:6" x14ac:dyDescent="0.25">
      <c r="C1515" s="2" t="s">
        <v>6688</v>
      </c>
      <c r="D1515" s="2" t="s">
        <v>204</v>
      </c>
      <c r="E1515" s="2">
        <v>105</v>
      </c>
      <c r="F1515" s="2">
        <v>2197.67</v>
      </c>
    </row>
    <row r="1516" spans="3:6" x14ac:dyDescent="0.25">
      <c r="C1516" s="2" t="s">
        <v>6689</v>
      </c>
      <c r="D1516" s="2" t="s">
        <v>204</v>
      </c>
      <c r="E1516" s="2">
        <v>105</v>
      </c>
      <c r="F1516" s="2">
        <v>2101.36</v>
      </c>
    </row>
    <row r="1517" spans="3:6" x14ac:dyDescent="0.25">
      <c r="C1517" s="2" t="s">
        <v>6690</v>
      </c>
      <c r="D1517" s="2" t="s">
        <v>204</v>
      </c>
      <c r="E1517" s="2">
        <v>55</v>
      </c>
      <c r="F1517" s="2">
        <v>1108.67</v>
      </c>
    </row>
    <row r="1518" spans="3:6" x14ac:dyDescent="0.25">
      <c r="C1518" s="2" t="s">
        <v>6691</v>
      </c>
      <c r="D1518" s="2" t="s">
        <v>204</v>
      </c>
      <c r="E1518" s="2">
        <v>50</v>
      </c>
      <c r="F1518" s="2">
        <v>1068.95</v>
      </c>
    </row>
    <row r="1519" spans="3:6" x14ac:dyDescent="0.25">
      <c r="C1519" s="2" t="s">
        <v>6692</v>
      </c>
      <c r="D1519" s="2" t="s">
        <v>204</v>
      </c>
      <c r="E1519" s="2">
        <v>163</v>
      </c>
      <c r="F1519" s="2">
        <v>2959.289</v>
      </c>
    </row>
    <row r="1520" spans="3:6" x14ac:dyDescent="0.25">
      <c r="C1520" s="2" t="s">
        <v>6693</v>
      </c>
      <c r="D1520" s="2" t="s">
        <v>204</v>
      </c>
      <c r="E1520" s="2">
        <v>163</v>
      </c>
      <c r="F1520" s="2">
        <v>3239.72</v>
      </c>
    </row>
    <row r="1521" spans="3:6" x14ac:dyDescent="0.25">
      <c r="C1521" s="2" t="s">
        <v>6694</v>
      </c>
      <c r="D1521" s="2" t="s">
        <v>204</v>
      </c>
      <c r="E1521" s="2">
        <v>105</v>
      </c>
      <c r="F1521" s="2">
        <v>1894.488</v>
      </c>
    </row>
    <row r="1522" spans="3:6" x14ac:dyDescent="0.25">
      <c r="C1522" s="2" t="s">
        <v>6570</v>
      </c>
      <c r="D1522" s="2" t="s">
        <v>204</v>
      </c>
      <c r="E1522" s="2">
        <v>36</v>
      </c>
      <c r="F1522" s="2">
        <v>697.73</v>
      </c>
    </row>
    <row r="1523" spans="3:6" x14ac:dyDescent="0.25">
      <c r="C1523" s="2" t="s">
        <v>6695</v>
      </c>
      <c r="D1523" s="2" t="s">
        <v>204</v>
      </c>
      <c r="E1523" s="2">
        <v>163</v>
      </c>
      <c r="F1523" s="2">
        <v>3008.668</v>
      </c>
    </row>
    <row r="1524" spans="3:6" x14ac:dyDescent="0.25">
      <c r="C1524" s="2" t="s">
        <v>6696</v>
      </c>
      <c r="D1524" s="2" t="s">
        <v>204</v>
      </c>
      <c r="E1524" s="2">
        <v>163</v>
      </c>
      <c r="F1524" s="2">
        <v>3218.998</v>
      </c>
    </row>
    <row r="1525" spans="3:6" x14ac:dyDescent="0.25">
      <c r="C1525" s="2" t="s">
        <v>6697</v>
      </c>
      <c r="D1525" s="2" t="s">
        <v>204</v>
      </c>
      <c r="E1525" s="2">
        <v>163</v>
      </c>
      <c r="F1525" s="2">
        <v>3119.56</v>
      </c>
    </row>
    <row r="1526" spans="3:6" x14ac:dyDescent="0.25">
      <c r="C1526" s="2" t="s">
        <v>6698</v>
      </c>
      <c r="D1526" s="2" t="s">
        <v>204</v>
      </c>
      <c r="E1526" s="2">
        <v>163</v>
      </c>
      <c r="F1526" s="2">
        <v>3038.309</v>
      </c>
    </row>
    <row r="1527" spans="3:6" x14ac:dyDescent="0.25">
      <c r="C1527" s="2" t="s">
        <v>6699</v>
      </c>
      <c r="D1527" s="2" t="s">
        <v>204</v>
      </c>
      <c r="E1527" s="2">
        <v>163</v>
      </c>
      <c r="F1527" s="2">
        <v>3194.908</v>
      </c>
    </row>
    <row r="1528" spans="3:6" x14ac:dyDescent="0.25">
      <c r="C1528" s="2" t="s">
        <v>6700</v>
      </c>
      <c r="D1528" s="2" t="s">
        <v>204</v>
      </c>
      <c r="E1528" s="2">
        <v>163</v>
      </c>
      <c r="F1528" s="2">
        <v>3032.02</v>
      </c>
    </row>
    <row r="1529" spans="3:6" x14ac:dyDescent="0.25">
      <c r="C1529" s="2" t="s">
        <v>6701</v>
      </c>
      <c r="D1529" s="2" t="s">
        <v>204</v>
      </c>
      <c r="E1529" s="2">
        <v>163</v>
      </c>
      <c r="F1529" s="2">
        <v>3137.68</v>
      </c>
    </row>
    <row r="1530" spans="3:6" x14ac:dyDescent="0.25">
      <c r="C1530" s="2" t="s">
        <v>6702</v>
      </c>
      <c r="D1530" s="2" t="s">
        <v>216</v>
      </c>
      <c r="E1530" s="2">
        <v>163</v>
      </c>
      <c r="F1530" s="2">
        <v>3097.62</v>
      </c>
    </row>
    <row r="1531" spans="3:6" x14ac:dyDescent="0.25">
      <c r="C1531" s="2" t="s">
        <v>6703</v>
      </c>
      <c r="D1531" s="2" t="s">
        <v>216</v>
      </c>
      <c r="E1531" s="2">
        <v>163</v>
      </c>
      <c r="F1531" s="2">
        <v>3204.878</v>
      </c>
    </row>
    <row r="1532" spans="3:6" x14ac:dyDescent="0.25">
      <c r="C1532" s="2" t="s">
        <v>6704</v>
      </c>
      <c r="D1532" s="2" t="s">
        <v>216</v>
      </c>
      <c r="E1532" s="2">
        <v>134</v>
      </c>
      <c r="F1532" s="2">
        <v>2608.388</v>
      </c>
    </row>
    <row r="1533" spans="3:6" x14ac:dyDescent="0.25">
      <c r="C1533" s="2" t="s">
        <v>6705</v>
      </c>
      <c r="D1533" s="2" t="s">
        <v>236</v>
      </c>
      <c r="E1533" s="2">
        <v>25</v>
      </c>
      <c r="F1533" s="2">
        <v>475.95</v>
      </c>
    </row>
    <row r="1534" spans="3:6" x14ac:dyDescent="0.25">
      <c r="C1534" s="2" t="s">
        <v>6706</v>
      </c>
      <c r="D1534" s="2" t="s">
        <v>236</v>
      </c>
      <c r="E1534" s="2">
        <v>80</v>
      </c>
      <c r="F1534" s="2">
        <v>1538.579</v>
      </c>
    </row>
    <row r="1535" spans="3:6" x14ac:dyDescent="0.25">
      <c r="C1535" s="2" t="s">
        <v>6707</v>
      </c>
      <c r="D1535" s="2" t="s">
        <v>236</v>
      </c>
      <c r="E1535" s="2">
        <v>45</v>
      </c>
      <c r="F1535" s="2">
        <v>879.34</v>
      </c>
    </row>
    <row r="1536" spans="3:6" x14ac:dyDescent="0.25">
      <c r="C1536" s="2" t="s">
        <v>6708</v>
      </c>
      <c r="D1536" s="2" t="s">
        <v>236</v>
      </c>
      <c r="E1536" s="2">
        <v>60</v>
      </c>
      <c r="F1536" s="2">
        <v>1067.46</v>
      </c>
    </row>
    <row r="1537" spans="3:6" x14ac:dyDescent="0.25">
      <c r="C1537" s="2" t="s">
        <v>6709</v>
      </c>
      <c r="D1537" s="2" t="s">
        <v>214</v>
      </c>
      <c r="E1537" s="2">
        <v>56</v>
      </c>
      <c r="F1537" s="2">
        <v>1096.839</v>
      </c>
    </row>
    <row r="1538" spans="3:6" x14ac:dyDescent="0.25">
      <c r="C1538" s="2" t="s">
        <v>6710</v>
      </c>
      <c r="D1538" s="2" t="s">
        <v>214</v>
      </c>
      <c r="E1538" s="2">
        <v>100</v>
      </c>
      <c r="F1538" s="2">
        <v>1906.84</v>
      </c>
    </row>
    <row r="1539" spans="3:6" x14ac:dyDescent="0.25">
      <c r="C1539" s="2" t="s">
        <v>6711</v>
      </c>
      <c r="D1539" s="2" t="s">
        <v>216</v>
      </c>
      <c r="E1539" s="2">
        <v>163</v>
      </c>
      <c r="F1539" s="2">
        <v>3181.169</v>
      </c>
    </row>
    <row r="1540" spans="3:6" x14ac:dyDescent="0.25">
      <c r="C1540" s="2" t="s">
        <v>6712</v>
      </c>
      <c r="D1540" s="2" t="s">
        <v>216</v>
      </c>
      <c r="E1540" s="2">
        <v>134</v>
      </c>
      <c r="F1540" s="2">
        <v>2689.399</v>
      </c>
    </row>
    <row r="1541" spans="3:6" x14ac:dyDescent="0.25">
      <c r="C1541" s="2" t="s">
        <v>6713</v>
      </c>
      <c r="D1541" s="2" t="s">
        <v>216</v>
      </c>
      <c r="E1541" s="2">
        <v>134</v>
      </c>
      <c r="F1541" s="2">
        <v>2572.38</v>
      </c>
    </row>
    <row r="1542" spans="3:6" x14ac:dyDescent="0.25">
      <c r="C1542" s="2" t="s">
        <v>6714</v>
      </c>
      <c r="D1542" s="2" t="s">
        <v>216</v>
      </c>
      <c r="E1542" s="2">
        <v>134</v>
      </c>
      <c r="F1542" s="2">
        <v>2717.09</v>
      </c>
    </row>
    <row r="1543" spans="3:6" x14ac:dyDescent="0.25">
      <c r="C1543" s="2" t="s">
        <v>6715</v>
      </c>
      <c r="D1543" s="2" t="s">
        <v>216</v>
      </c>
      <c r="E1543" s="2">
        <v>134</v>
      </c>
      <c r="F1543" s="2">
        <v>2678.33</v>
      </c>
    </row>
    <row r="1544" spans="3:6" x14ac:dyDescent="0.25">
      <c r="C1544" s="2" t="s">
        <v>6716</v>
      </c>
      <c r="D1544" s="2" t="s">
        <v>216</v>
      </c>
      <c r="E1544" s="2">
        <v>134</v>
      </c>
      <c r="F1544" s="2">
        <v>2755.399</v>
      </c>
    </row>
    <row r="1545" spans="3:6" x14ac:dyDescent="0.25">
      <c r="C1545" s="2" t="s">
        <v>6717</v>
      </c>
      <c r="D1545" s="2" t="s">
        <v>204</v>
      </c>
      <c r="E1545" s="2">
        <v>163</v>
      </c>
      <c r="F1545" s="2">
        <v>3084.99</v>
      </c>
    </row>
    <row r="1546" spans="3:6" x14ac:dyDescent="0.25">
      <c r="C1546" s="2" t="s">
        <v>6576</v>
      </c>
      <c r="D1546" s="2" t="s">
        <v>204</v>
      </c>
      <c r="E1546" s="2">
        <v>163</v>
      </c>
      <c r="F1546" s="2">
        <v>3177.097</v>
      </c>
    </row>
    <row r="1547" spans="3:6" x14ac:dyDescent="0.25">
      <c r="C1547" s="2" t="s">
        <v>6718</v>
      </c>
      <c r="D1547" s="2" t="s">
        <v>236</v>
      </c>
      <c r="E1547" s="2">
        <v>25</v>
      </c>
      <c r="F1547" s="2">
        <v>466.39</v>
      </c>
    </row>
    <row r="1548" spans="3:6" x14ac:dyDescent="0.25">
      <c r="C1548" s="2" t="s">
        <v>6719</v>
      </c>
      <c r="D1548" s="2" t="s">
        <v>236</v>
      </c>
      <c r="E1548" s="2">
        <v>80</v>
      </c>
      <c r="F1548" s="2">
        <v>1595.86</v>
      </c>
    </row>
    <row r="1550" spans="2:7" x14ac:dyDescent="0.25">
      <c r="B1550" s="2" t="s">
        <v>2077</v>
      </c>
      <c r="C1550" s="2" t="s">
        <v>6720</v>
      </c>
      <c r="D1550" s="2" t="s">
        <v>216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6721</v>
      </c>
      <c r="D1551" s="2" t="s">
        <v>216</v>
      </c>
      <c r="E1551" s="2">
        <v>156</v>
      </c>
      <c r="F1551" s="2">
        <v>2748</v>
      </c>
    </row>
    <row r="1552" spans="3:6" x14ac:dyDescent="0.25">
      <c r="C1552" s="2" t="s">
        <v>6722</v>
      </c>
      <c r="D1552" s="2" t="s">
        <v>297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32</v>
      </c>
      <c r="C1554" s="2" t="s">
        <v>6723</v>
      </c>
      <c r="D1554" s="2" t="s">
        <v>20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6724</v>
      </c>
      <c r="D1555" s="2" t="s">
        <v>20</v>
      </c>
      <c r="E1555" s="2">
        <v>105</v>
      </c>
      <c r="F1555" s="2">
        <v>2081.7</v>
      </c>
    </row>
    <row r="1556" spans="3:6" x14ac:dyDescent="0.25">
      <c r="C1556" s="2" t="s">
        <v>6725</v>
      </c>
      <c r="D1556" s="2" t="s">
        <v>20</v>
      </c>
      <c r="E1556" s="2">
        <v>163</v>
      </c>
      <c r="F1556" s="2">
        <v>3047.46</v>
      </c>
    </row>
    <row r="1557" spans="3:6" x14ac:dyDescent="0.25">
      <c r="C1557" s="2" t="s">
        <v>6726</v>
      </c>
      <c r="D1557" s="2" t="s">
        <v>20</v>
      </c>
      <c r="E1557" s="2">
        <v>163</v>
      </c>
      <c r="F1557" s="2">
        <v>3019.54</v>
      </c>
    </row>
    <row r="1558" spans="3:6" x14ac:dyDescent="0.25">
      <c r="C1558" s="2" t="s">
        <v>6727</v>
      </c>
      <c r="D1558" s="2" t="s">
        <v>20</v>
      </c>
      <c r="E1558" s="2">
        <v>268</v>
      </c>
      <c r="F1558" s="2">
        <v>5131.349</v>
      </c>
    </row>
    <row r="1559" spans="3:6" x14ac:dyDescent="0.25">
      <c r="C1559" s="2" t="s">
        <v>6728</v>
      </c>
      <c r="D1559" s="2" t="s">
        <v>20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335</v>
      </c>
      <c r="C1561" s="2" t="s">
        <v>6729</v>
      </c>
      <c r="D1561" s="2" t="s">
        <v>20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206</v>
      </c>
      <c r="C1563" s="2" t="s">
        <v>6730</v>
      </c>
      <c r="D1563" s="2" t="s">
        <v>27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6731</v>
      </c>
      <c r="D1564" s="2" t="s">
        <v>27</v>
      </c>
      <c r="E1564" s="2">
        <v>15</v>
      </c>
      <c r="F1564" s="2">
        <v>295.709</v>
      </c>
    </row>
    <row r="1565" spans="3:6" x14ac:dyDescent="0.25">
      <c r="C1565" s="2" t="s">
        <v>6732</v>
      </c>
      <c r="D1565" s="2" t="s">
        <v>27</v>
      </c>
      <c r="E1565" s="2">
        <v>32</v>
      </c>
      <c r="F1565" s="2">
        <v>550.19</v>
      </c>
    </row>
    <row r="1566" spans="3:6" x14ac:dyDescent="0.25">
      <c r="C1566" s="2" t="s">
        <v>6733</v>
      </c>
      <c r="D1566" s="2" t="s">
        <v>27</v>
      </c>
      <c r="E1566" s="2">
        <v>96</v>
      </c>
      <c r="F1566" s="2">
        <v>1944.14</v>
      </c>
    </row>
    <row r="1567" spans="3:6" x14ac:dyDescent="0.25">
      <c r="C1567" s="2" t="s">
        <v>6734</v>
      </c>
      <c r="D1567" s="2" t="s">
        <v>27</v>
      </c>
      <c r="E1567" s="2">
        <v>85</v>
      </c>
      <c r="F1567" s="2">
        <v>1696.989</v>
      </c>
    </row>
    <row r="1568" spans="3:6" x14ac:dyDescent="0.25">
      <c r="C1568" s="2" t="s">
        <v>6735</v>
      </c>
      <c r="D1568" s="2" t="s">
        <v>27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172</v>
      </c>
      <c r="C1570" s="2" t="s">
        <v>6736</v>
      </c>
      <c r="D1570" s="2" t="s">
        <v>122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6737</v>
      </c>
      <c r="D1571" s="2" t="s">
        <v>122</v>
      </c>
      <c r="E1571" s="2">
        <v>39</v>
      </c>
      <c r="F1571" s="2">
        <v>765.41</v>
      </c>
    </row>
    <row r="1572" spans="3:6" x14ac:dyDescent="0.25">
      <c r="C1572" s="2" t="s">
        <v>6738</v>
      </c>
      <c r="D1572" s="2" t="s">
        <v>122</v>
      </c>
      <c r="E1572" s="2">
        <v>42</v>
      </c>
      <c r="F1572" s="2">
        <v>844.34</v>
      </c>
    </row>
    <row r="1573" spans="3:6" x14ac:dyDescent="0.25">
      <c r="C1573" s="2" t="s">
        <v>6739</v>
      </c>
      <c r="D1573" s="2" t="s">
        <v>122</v>
      </c>
      <c r="E1573" s="2">
        <v>141</v>
      </c>
      <c r="F1573" s="2">
        <v>2902.84</v>
      </c>
    </row>
    <row r="1574" spans="3:6" x14ac:dyDescent="0.25">
      <c r="C1574" s="2" t="s">
        <v>6740</v>
      </c>
      <c r="D1574" s="2" t="s">
        <v>122</v>
      </c>
      <c r="E1574" s="2">
        <v>141</v>
      </c>
      <c r="F1574" s="2">
        <v>2680.247</v>
      </c>
    </row>
    <row r="1575" spans="3:6" x14ac:dyDescent="0.25">
      <c r="C1575" s="2" t="s">
        <v>6741</v>
      </c>
      <c r="D1575" s="2" t="s">
        <v>122</v>
      </c>
      <c r="E1575" s="2">
        <v>141</v>
      </c>
      <c r="F1575" s="2">
        <v>2718.04</v>
      </c>
    </row>
    <row r="1576" spans="3:6" x14ac:dyDescent="0.25">
      <c r="C1576" s="2" t="s">
        <v>6742</v>
      </c>
      <c r="D1576" s="2" t="s">
        <v>122</v>
      </c>
      <c r="E1576" s="2">
        <v>80</v>
      </c>
      <c r="F1576" s="2">
        <v>1592.26</v>
      </c>
    </row>
    <row r="1577" spans="3:6" x14ac:dyDescent="0.25">
      <c r="C1577" s="2" t="s">
        <v>6743</v>
      </c>
      <c r="D1577" s="2" t="s">
        <v>122</v>
      </c>
      <c r="E1577" s="2">
        <v>61</v>
      </c>
      <c r="F1577" s="2">
        <v>1217.82</v>
      </c>
    </row>
    <row r="1578" spans="3:6" x14ac:dyDescent="0.25">
      <c r="C1578" s="2" t="s">
        <v>6744</v>
      </c>
      <c r="D1578" s="2" t="s">
        <v>122</v>
      </c>
      <c r="E1578" s="2">
        <v>102</v>
      </c>
      <c r="F1578" s="2">
        <v>2037.1</v>
      </c>
    </row>
    <row r="1579" spans="3:6" x14ac:dyDescent="0.25">
      <c r="C1579" s="2" t="s">
        <v>6745</v>
      </c>
      <c r="D1579" s="2" t="s">
        <v>122</v>
      </c>
      <c r="E1579" s="2">
        <v>102</v>
      </c>
      <c r="F1579" s="2">
        <v>2020.17</v>
      </c>
    </row>
    <row r="1580" spans="3:6" x14ac:dyDescent="0.25">
      <c r="C1580" s="2" t="s">
        <v>6746</v>
      </c>
      <c r="D1580" s="2" t="s">
        <v>122</v>
      </c>
      <c r="E1580" s="2">
        <v>102</v>
      </c>
      <c r="F1580" s="2">
        <v>2079.789</v>
      </c>
    </row>
    <row r="1581" spans="3:6" x14ac:dyDescent="0.25">
      <c r="C1581" s="2" t="s">
        <v>6747</v>
      </c>
      <c r="D1581" s="2" t="s">
        <v>122</v>
      </c>
      <c r="E1581" s="2">
        <v>141</v>
      </c>
      <c r="F1581" s="2">
        <v>2881.669</v>
      </c>
    </row>
    <row r="1582" spans="3:6" x14ac:dyDescent="0.25">
      <c r="C1582" s="2" t="s">
        <v>6748</v>
      </c>
      <c r="D1582" s="2" t="s">
        <v>122</v>
      </c>
      <c r="E1582" s="2">
        <v>20</v>
      </c>
      <c r="F1582" s="2">
        <v>410.24</v>
      </c>
    </row>
    <row r="1583" spans="3:6" x14ac:dyDescent="0.25">
      <c r="C1583" s="2" t="s">
        <v>6749</v>
      </c>
      <c r="D1583" s="2" t="s">
        <v>122</v>
      </c>
      <c r="E1583" s="2">
        <v>49</v>
      </c>
      <c r="F1583" s="2">
        <v>970.128</v>
      </c>
    </row>
    <row r="1584" spans="3:6" x14ac:dyDescent="0.25">
      <c r="C1584" s="2" t="s">
        <v>6750</v>
      </c>
      <c r="D1584" s="2" t="s">
        <v>122</v>
      </c>
      <c r="E1584" s="2">
        <v>66</v>
      </c>
      <c r="F1584" s="2">
        <v>1301.08</v>
      </c>
    </row>
    <row r="1585" spans="3:6" x14ac:dyDescent="0.25">
      <c r="C1585" s="2" t="s">
        <v>6751</v>
      </c>
      <c r="D1585" s="2" t="s">
        <v>122</v>
      </c>
      <c r="E1585" s="2">
        <v>59</v>
      </c>
      <c r="F1585" s="2">
        <v>1157.41</v>
      </c>
    </row>
    <row r="1586" spans="3:6" x14ac:dyDescent="0.25">
      <c r="C1586" s="2" t="s">
        <v>6752</v>
      </c>
      <c r="D1586" s="2" t="s">
        <v>122</v>
      </c>
      <c r="E1586" s="2">
        <v>12</v>
      </c>
      <c r="F1586" s="2">
        <v>234.63</v>
      </c>
    </row>
    <row r="1587" spans="3:6" x14ac:dyDescent="0.25">
      <c r="C1587" s="2" t="s">
        <v>6753</v>
      </c>
      <c r="D1587" s="2" t="s">
        <v>122</v>
      </c>
      <c r="E1587" s="2">
        <v>34</v>
      </c>
      <c r="F1587" s="2">
        <v>637.78</v>
      </c>
    </row>
    <row r="1588" spans="3:6" x14ac:dyDescent="0.25">
      <c r="C1588" s="2" t="s">
        <v>6754</v>
      </c>
      <c r="D1588" s="2" t="s">
        <v>122</v>
      </c>
      <c r="E1588" s="2">
        <v>22</v>
      </c>
      <c r="F1588" s="2">
        <v>431</v>
      </c>
    </row>
    <row r="1589" spans="3:6" x14ac:dyDescent="0.25">
      <c r="C1589" s="2" t="s">
        <v>6755</v>
      </c>
      <c r="D1589" s="2" t="s">
        <v>122</v>
      </c>
      <c r="E1589" s="2">
        <v>14</v>
      </c>
      <c r="F1589" s="2">
        <v>282.42</v>
      </c>
    </row>
    <row r="1590" spans="3:6" x14ac:dyDescent="0.25">
      <c r="C1590" s="2" t="s">
        <v>6756</v>
      </c>
      <c r="D1590" s="2" t="s">
        <v>122</v>
      </c>
      <c r="E1590" s="2">
        <v>8</v>
      </c>
      <c r="F1590" s="2">
        <v>157.17</v>
      </c>
    </row>
    <row r="1591" spans="3:6" x14ac:dyDescent="0.25">
      <c r="C1591" s="2" t="s">
        <v>6757</v>
      </c>
      <c r="D1591" s="2" t="s">
        <v>122</v>
      </c>
      <c r="E1591" s="2">
        <v>14</v>
      </c>
      <c r="F1591" s="2">
        <v>300.55</v>
      </c>
    </row>
    <row r="1592" spans="3:6" x14ac:dyDescent="0.25">
      <c r="C1592" s="2" t="s">
        <v>6758</v>
      </c>
      <c r="D1592" s="2" t="s">
        <v>122</v>
      </c>
      <c r="E1592" s="2">
        <v>42</v>
      </c>
      <c r="F1592" s="2">
        <v>864.49</v>
      </c>
    </row>
    <row r="1593" spans="3:6" x14ac:dyDescent="0.25">
      <c r="C1593" s="2" t="s">
        <v>6759</v>
      </c>
      <c r="D1593" s="2" t="s">
        <v>122</v>
      </c>
      <c r="E1593" s="2">
        <v>44</v>
      </c>
      <c r="F1593" s="2">
        <v>884.17</v>
      </c>
    </row>
    <row r="1594" spans="3:6" x14ac:dyDescent="0.25">
      <c r="C1594" s="2" t="s">
        <v>6760</v>
      </c>
      <c r="D1594" s="2" t="s">
        <v>122</v>
      </c>
      <c r="E1594" s="2">
        <v>64</v>
      </c>
      <c r="F1594" s="2">
        <v>1250.82</v>
      </c>
    </row>
    <row r="1595" spans="3:6" x14ac:dyDescent="0.25">
      <c r="C1595" s="2" t="s">
        <v>6761</v>
      </c>
      <c r="D1595" s="2" t="s">
        <v>122</v>
      </c>
      <c r="E1595" s="2">
        <v>54</v>
      </c>
      <c r="F1595" s="2">
        <v>991.67</v>
      </c>
    </row>
    <row r="1596" spans="3:6" x14ac:dyDescent="0.25">
      <c r="C1596" s="2" t="s">
        <v>6762</v>
      </c>
      <c r="D1596" s="2" t="s">
        <v>122</v>
      </c>
      <c r="E1596" s="2">
        <v>119</v>
      </c>
      <c r="F1596" s="2">
        <v>2028.26</v>
      </c>
    </row>
    <row r="1597" spans="3:6" x14ac:dyDescent="0.25">
      <c r="C1597" s="2" t="s">
        <v>6763</v>
      </c>
      <c r="D1597" s="2" t="s">
        <v>122</v>
      </c>
      <c r="E1597" s="2">
        <v>103</v>
      </c>
      <c r="F1597" s="2">
        <v>1965.17</v>
      </c>
    </row>
    <row r="1598" spans="3:6" x14ac:dyDescent="0.25">
      <c r="C1598" s="2" t="s">
        <v>6764</v>
      </c>
      <c r="D1598" s="2" t="s">
        <v>122</v>
      </c>
      <c r="E1598" s="2">
        <v>75</v>
      </c>
      <c r="F1598" s="2">
        <v>1525.88</v>
      </c>
    </row>
    <row r="1599" spans="3:6" x14ac:dyDescent="0.25">
      <c r="C1599" s="2" t="s">
        <v>6765</v>
      </c>
      <c r="D1599" s="2" t="s">
        <v>122</v>
      </c>
      <c r="E1599" s="2">
        <v>53</v>
      </c>
      <c r="F1599" s="2">
        <v>226.569</v>
      </c>
    </row>
    <row r="1600" spans="3:6" x14ac:dyDescent="0.25">
      <c r="C1600" s="2" t="s">
        <v>6766</v>
      </c>
      <c r="D1600" s="2" t="s">
        <v>122</v>
      </c>
      <c r="E1600" s="2">
        <v>141</v>
      </c>
      <c r="F1600" s="2">
        <v>1336.838</v>
      </c>
    </row>
    <row r="1601" spans="3:6" x14ac:dyDescent="0.25">
      <c r="C1601" s="2" t="s">
        <v>6767</v>
      </c>
      <c r="D1601" s="2" t="s">
        <v>122</v>
      </c>
      <c r="E1601" s="2">
        <v>141</v>
      </c>
      <c r="F1601" s="2">
        <v>2907.17</v>
      </c>
    </row>
    <row r="1602" spans="3:6" x14ac:dyDescent="0.25">
      <c r="C1602" s="2" t="s">
        <v>6768</v>
      </c>
      <c r="D1602" s="2" t="s">
        <v>122</v>
      </c>
      <c r="E1602" s="2">
        <v>141</v>
      </c>
      <c r="F1602" s="2">
        <v>2798.869</v>
      </c>
    </row>
    <row r="1603" spans="3:6" x14ac:dyDescent="0.25">
      <c r="C1603" s="2" t="s">
        <v>6769</v>
      </c>
      <c r="D1603" s="2" t="s">
        <v>122</v>
      </c>
      <c r="E1603" s="2">
        <v>141</v>
      </c>
      <c r="F1603" s="2">
        <v>2906.79</v>
      </c>
    </row>
    <row r="1604" spans="3:6" x14ac:dyDescent="0.25">
      <c r="C1604" s="2" t="s">
        <v>6770</v>
      </c>
      <c r="D1604" s="2" t="s">
        <v>122</v>
      </c>
      <c r="E1604" s="2">
        <v>92</v>
      </c>
      <c r="F1604" s="2">
        <v>1785.83</v>
      </c>
    </row>
    <row r="1605" spans="3:6" x14ac:dyDescent="0.25">
      <c r="C1605" s="2" t="s">
        <v>6771</v>
      </c>
      <c r="D1605" s="2" t="s">
        <v>122</v>
      </c>
      <c r="E1605" s="2">
        <v>50</v>
      </c>
      <c r="F1605" s="2">
        <v>935.209</v>
      </c>
    </row>
    <row r="1606" spans="3:6" x14ac:dyDescent="0.25">
      <c r="C1606" s="2" t="s">
        <v>6772</v>
      </c>
      <c r="D1606" s="2" t="s">
        <v>122</v>
      </c>
      <c r="E1606" s="2">
        <v>65</v>
      </c>
      <c r="F1606" s="2">
        <v>1227.88</v>
      </c>
    </row>
    <row r="1607" spans="3:6" x14ac:dyDescent="0.25">
      <c r="C1607" s="2" t="s">
        <v>6773</v>
      </c>
      <c r="D1607" s="2" t="s">
        <v>122</v>
      </c>
      <c r="E1607" s="2">
        <v>16</v>
      </c>
      <c r="F1607" s="2">
        <v>250.01</v>
      </c>
    </row>
    <row r="1608" spans="3:6" x14ac:dyDescent="0.25">
      <c r="C1608" s="2" t="s">
        <v>6774</v>
      </c>
      <c r="D1608" s="2" t="s">
        <v>122</v>
      </c>
      <c r="E1608" s="2">
        <v>60</v>
      </c>
      <c r="F1608" s="2">
        <v>1206.84</v>
      </c>
    </row>
    <row r="1609" spans="3:6" x14ac:dyDescent="0.25">
      <c r="C1609" s="2" t="s">
        <v>6775</v>
      </c>
      <c r="D1609" s="2" t="s">
        <v>122</v>
      </c>
      <c r="E1609" s="2">
        <v>56</v>
      </c>
      <c r="F1609" s="2">
        <v>1105.42</v>
      </c>
    </row>
    <row r="1610" spans="3:6" x14ac:dyDescent="0.25">
      <c r="C1610" s="2" t="s">
        <v>6776</v>
      </c>
      <c r="D1610" s="2" t="s">
        <v>122</v>
      </c>
      <c r="E1610" s="2">
        <v>49</v>
      </c>
      <c r="F1610" s="2">
        <v>1000.68</v>
      </c>
    </row>
    <row r="1611" spans="3:6" x14ac:dyDescent="0.25">
      <c r="C1611" s="2" t="s">
        <v>6777</v>
      </c>
      <c r="D1611" s="2" t="s">
        <v>122</v>
      </c>
      <c r="E1611" s="2">
        <v>36</v>
      </c>
      <c r="F1611" s="2">
        <v>712.41</v>
      </c>
    </row>
    <row r="1612" spans="3:6" x14ac:dyDescent="0.25">
      <c r="C1612" s="2" t="s">
        <v>6778</v>
      </c>
      <c r="D1612" s="2" t="s">
        <v>122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10</v>
      </c>
      <c r="C1614" s="2" t="s">
        <v>6779</v>
      </c>
      <c r="D1614" s="2" t="s">
        <v>12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6780</v>
      </c>
      <c r="D1615" s="2" t="s">
        <v>12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2375</v>
      </c>
      <c r="C1617" s="2" t="s">
        <v>6781</v>
      </c>
      <c r="D1617" s="2" t="s">
        <v>342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6782</v>
      </c>
      <c r="D1618" s="2" t="s">
        <v>342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2097</v>
      </c>
      <c r="C1620" s="2" t="s">
        <v>6783</v>
      </c>
      <c r="D1620" s="2" t="s">
        <v>27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6784</v>
      </c>
      <c r="D1621" s="2" t="s">
        <v>27</v>
      </c>
      <c r="E1621" s="2">
        <v>83</v>
      </c>
      <c r="F1621" s="2">
        <v>1642.95</v>
      </c>
    </row>
    <row r="1622" spans="3:6" x14ac:dyDescent="0.25">
      <c r="C1622" s="2" t="s">
        <v>6785</v>
      </c>
      <c r="D1622" s="2" t="s">
        <v>27</v>
      </c>
      <c r="E1622" s="2">
        <v>6</v>
      </c>
      <c r="F1622" s="2">
        <v>122.79</v>
      </c>
    </row>
    <row r="1623" spans="3:6" x14ac:dyDescent="0.25">
      <c r="C1623" s="2" t="s">
        <v>6786</v>
      </c>
      <c r="D1623" s="2" t="s">
        <v>27</v>
      </c>
      <c r="E1623" s="2">
        <v>58</v>
      </c>
      <c r="F1623" s="2">
        <v>1055.19</v>
      </c>
    </row>
    <row r="1624" spans="3:6" x14ac:dyDescent="0.25">
      <c r="C1624" s="2" t="s">
        <v>6787</v>
      </c>
      <c r="D1624" s="2" t="s">
        <v>27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120</v>
      </c>
      <c r="C1626" s="2" t="s">
        <v>6788</v>
      </c>
      <c r="D1626" s="2" t="s">
        <v>122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6789</v>
      </c>
      <c r="D1627" s="2" t="s">
        <v>122</v>
      </c>
      <c r="E1627" s="2">
        <v>61</v>
      </c>
      <c r="F1627" s="2">
        <v>1231.74</v>
      </c>
    </row>
    <row r="1628" spans="3:6" x14ac:dyDescent="0.25">
      <c r="C1628" s="2" t="s">
        <v>6790</v>
      </c>
      <c r="D1628" s="2" t="s">
        <v>122</v>
      </c>
      <c r="E1628" s="2">
        <v>36</v>
      </c>
      <c r="F1628" s="2">
        <v>685.22</v>
      </c>
    </row>
    <row r="1629" spans="3:6" x14ac:dyDescent="0.25">
      <c r="C1629" s="2" t="s">
        <v>6791</v>
      </c>
      <c r="D1629" s="2" t="s">
        <v>122</v>
      </c>
      <c r="E1629" s="2">
        <v>46</v>
      </c>
      <c r="F1629" s="2">
        <v>969.919</v>
      </c>
    </row>
    <row r="1630" spans="3:6" x14ac:dyDescent="0.25">
      <c r="C1630" s="2" t="s">
        <v>6792</v>
      </c>
      <c r="D1630" s="2" t="s">
        <v>122</v>
      </c>
      <c r="E1630" s="2">
        <v>39</v>
      </c>
      <c r="F1630" s="2">
        <v>786.16</v>
      </c>
    </row>
    <row r="1631" spans="3:6" x14ac:dyDescent="0.25">
      <c r="C1631" s="2" t="s">
        <v>6793</v>
      </c>
      <c r="D1631" s="2" t="s">
        <v>122</v>
      </c>
      <c r="E1631" s="2">
        <v>51</v>
      </c>
      <c r="F1631" s="2">
        <v>974.06</v>
      </c>
    </row>
    <row r="1632" spans="3:6" x14ac:dyDescent="0.25">
      <c r="C1632" s="2" t="s">
        <v>6794</v>
      </c>
      <c r="D1632" s="2" t="s">
        <v>122</v>
      </c>
      <c r="E1632" s="2">
        <v>34</v>
      </c>
      <c r="F1632" s="2">
        <v>683.56</v>
      </c>
    </row>
    <row r="1633" spans="3:6" x14ac:dyDescent="0.25">
      <c r="C1633" s="2" t="s">
        <v>6795</v>
      </c>
      <c r="D1633" s="2" t="s">
        <v>122</v>
      </c>
      <c r="E1633" s="2">
        <v>36</v>
      </c>
      <c r="F1633" s="2">
        <v>717.42</v>
      </c>
    </row>
    <row r="1634" spans="3:6" x14ac:dyDescent="0.25">
      <c r="C1634" s="2" t="s">
        <v>6796</v>
      </c>
      <c r="D1634" s="2" t="s">
        <v>122</v>
      </c>
      <c r="E1634" s="2">
        <v>14</v>
      </c>
      <c r="F1634" s="2">
        <v>286.42</v>
      </c>
    </row>
    <row r="1635" spans="3:6" x14ac:dyDescent="0.25">
      <c r="C1635" s="2" t="s">
        <v>6797</v>
      </c>
      <c r="D1635" s="2" t="s">
        <v>122</v>
      </c>
      <c r="E1635" s="2">
        <v>35</v>
      </c>
      <c r="F1635" s="2">
        <v>516.462</v>
      </c>
    </row>
    <row r="1636" spans="3:6" x14ac:dyDescent="0.25">
      <c r="C1636" s="2" t="s">
        <v>6798</v>
      </c>
      <c r="D1636" s="2" t="s">
        <v>122</v>
      </c>
      <c r="E1636" s="2">
        <v>47</v>
      </c>
      <c r="F1636" s="2">
        <v>979.02</v>
      </c>
    </row>
    <row r="1637" spans="3:6" x14ac:dyDescent="0.25">
      <c r="C1637" s="2" t="s">
        <v>6799</v>
      </c>
      <c r="D1637" s="2" t="s">
        <v>122</v>
      </c>
      <c r="E1637" s="2">
        <v>67</v>
      </c>
      <c r="F1637" s="2">
        <v>1318.67</v>
      </c>
    </row>
    <row r="1638" spans="3:6" x14ac:dyDescent="0.25">
      <c r="C1638" s="2" t="s">
        <v>6800</v>
      </c>
      <c r="D1638" s="2" t="s">
        <v>122</v>
      </c>
      <c r="E1638" s="2">
        <v>67</v>
      </c>
      <c r="F1638" s="2">
        <v>1317.43</v>
      </c>
    </row>
    <row r="1639" spans="3:6" x14ac:dyDescent="0.25">
      <c r="C1639" s="2" t="s">
        <v>6801</v>
      </c>
      <c r="D1639" s="2" t="s">
        <v>122</v>
      </c>
      <c r="E1639" s="2">
        <v>75</v>
      </c>
      <c r="F1639" s="2">
        <v>1441.7</v>
      </c>
    </row>
    <row r="1640" spans="3:6" x14ac:dyDescent="0.25">
      <c r="C1640" s="2" t="s">
        <v>6802</v>
      </c>
      <c r="D1640" s="2" t="s">
        <v>122</v>
      </c>
      <c r="E1640" s="2">
        <v>3</v>
      </c>
      <c r="F1640" s="2">
        <v>32.73</v>
      </c>
    </row>
    <row r="1641" spans="3:6" x14ac:dyDescent="0.25">
      <c r="C1641" s="2" t="s">
        <v>6803</v>
      </c>
      <c r="D1641" s="2" t="s">
        <v>122</v>
      </c>
      <c r="E1641" s="2">
        <v>30</v>
      </c>
      <c r="F1641" s="2">
        <v>127.69</v>
      </c>
    </row>
    <row r="1642" spans="3:6" x14ac:dyDescent="0.25">
      <c r="C1642" s="2" t="s">
        <v>6804</v>
      </c>
      <c r="D1642" s="2" t="s">
        <v>122</v>
      </c>
      <c r="E1642" s="2">
        <v>70</v>
      </c>
      <c r="F1642" s="2">
        <v>342.009</v>
      </c>
    </row>
    <row r="1643" spans="3:6" x14ac:dyDescent="0.25">
      <c r="C1643" s="2" t="s">
        <v>6805</v>
      </c>
      <c r="D1643" s="2" t="s">
        <v>122</v>
      </c>
      <c r="E1643" s="2">
        <v>127</v>
      </c>
      <c r="F1643" s="2">
        <v>1840.019</v>
      </c>
    </row>
    <row r="1644" spans="3:6" x14ac:dyDescent="0.25">
      <c r="C1644" s="2" t="s">
        <v>6806</v>
      </c>
      <c r="D1644" s="2" t="s">
        <v>122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6807</v>
      </c>
      <c r="D1645" s="2" t="s">
        <v>122</v>
      </c>
      <c r="E1645" s="2">
        <v>15</v>
      </c>
      <c r="F1645" s="2">
        <v>273.25</v>
      </c>
    </row>
    <row r="1646" spans="3:6" x14ac:dyDescent="0.25">
      <c r="C1646" s="2" t="s">
        <v>6808</v>
      </c>
      <c r="D1646" s="2" t="s">
        <v>122</v>
      </c>
      <c r="E1646" s="2">
        <v>49</v>
      </c>
      <c r="F1646" s="2">
        <v>882.959</v>
      </c>
    </row>
    <row r="1647" spans="3:6" x14ac:dyDescent="0.25">
      <c r="C1647" s="2" t="s">
        <v>6809</v>
      </c>
      <c r="D1647" s="2" t="s">
        <v>122</v>
      </c>
      <c r="E1647" s="2">
        <v>27</v>
      </c>
      <c r="F1647" s="2">
        <v>552.21</v>
      </c>
    </row>
    <row r="1648" spans="3:6" x14ac:dyDescent="0.25">
      <c r="C1648" s="2" t="s">
        <v>6810</v>
      </c>
      <c r="D1648" s="2" t="s">
        <v>122</v>
      </c>
      <c r="E1648" s="2">
        <v>27</v>
      </c>
      <c r="F1648" s="2">
        <v>535.2</v>
      </c>
    </row>
    <row r="1649" spans="3:6" x14ac:dyDescent="0.25">
      <c r="C1649" s="2" t="s">
        <v>6811</v>
      </c>
      <c r="D1649" s="2" t="s">
        <v>122</v>
      </c>
      <c r="E1649" s="2">
        <v>24</v>
      </c>
      <c r="F1649" s="2">
        <v>486.03</v>
      </c>
    </row>
    <row r="1650" spans="3:6" x14ac:dyDescent="0.25">
      <c r="C1650" s="2" t="s">
        <v>6812</v>
      </c>
      <c r="D1650" s="2" t="s">
        <v>122</v>
      </c>
      <c r="E1650" s="2">
        <v>141</v>
      </c>
      <c r="F1650" s="2">
        <v>2721.6</v>
      </c>
    </row>
    <row r="1651" spans="3:6" x14ac:dyDescent="0.25">
      <c r="C1651" s="2" t="s">
        <v>6813</v>
      </c>
      <c r="D1651" s="2" t="s">
        <v>122</v>
      </c>
      <c r="E1651" s="2">
        <v>40</v>
      </c>
      <c r="F1651" s="2">
        <v>766.33</v>
      </c>
    </row>
    <row r="1652" spans="3:6" x14ac:dyDescent="0.25">
      <c r="C1652" s="2" t="s">
        <v>6814</v>
      </c>
      <c r="D1652" s="2" t="s">
        <v>122</v>
      </c>
      <c r="E1652" s="2">
        <v>27</v>
      </c>
      <c r="F1652" s="2">
        <v>536.91</v>
      </c>
    </row>
    <row r="1653" spans="3:6" x14ac:dyDescent="0.25">
      <c r="C1653" s="2" t="s">
        <v>6815</v>
      </c>
      <c r="D1653" s="2" t="s">
        <v>122</v>
      </c>
      <c r="E1653" s="2">
        <v>37</v>
      </c>
      <c r="F1653" s="2">
        <v>725.33</v>
      </c>
    </row>
    <row r="1654" spans="3:6" x14ac:dyDescent="0.25">
      <c r="C1654" s="2" t="s">
        <v>6816</v>
      </c>
      <c r="D1654" s="2" t="s">
        <v>122</v>
      </c>
      <c r="E1654" s="2">
        <v>15</v>
      </c>
      <c r="F1654" s="2">
        <v>203.78</v>
      </c>
    </row>
    <row r="1655" spans="3:6" x14ac:dyDescent="0.25">
      <c r="C1655" s="2" t="s">
        <v>6817</v>
      </c>
      <c r="D1655" s="2" t="s">
        <v>122</v>
      </c>
      <c r="E1655" s="2">
        <v>24</v>
      </c>
      <c r="F1655" s="2">
        <v>482.34</v>
      </c>
    </row>
    <row r="1656" spans="3:6" x14ac:dyDescent="0.25">
      <c r="C1656" s="2" t="s">
        <v>6818</v>
      </c>
      <c r="D1656" s="2" t="s">
        <v>122</v>
      </c>
      <c r="E1656" s="2">
        <v>141</v>
      </c>
      <c r="F1656" s="2">
        <v>2901.89</v>
      </c>
    </row>
    <row r="1657" spans="3:6" x14ac:dyDescent="0.25">
      <c r="C1657" s="2" t="s">
        <v>6819</v>
      </c>
      <c r="D1657" s="2" t="s">
        <v>122</v>
      </c>
      <c r="E1657" s="2">
        <v>141</v>
      </c>
      <c r="F1657" s="2">
        <v>2780.179</v>
      </c>
    </row>
    <row r="1658" spans="3:6" x14ac:dyDescent="0.25">
      <c r="C1658" s="2" t="s">
        <v>6820</v>
      </c>
      <c r="D1658" s="2" t="s">
        <v>122</v>
      </c>
      <c r="E1658" s="2">
        <v>112</v>
      </c>
      <c r="F1658" s="2">
        <v>2313.819</v>
      </c>
    </row>
    <row r="1659" spans="3:6" x14ac:dyDescent="0.25">
      <c r="C1659" s="2" t="s">
        <v>6821</v>
      </c>
      <c r="D1659" s="2" t="s">
        <v>122</v>
      </c>
      <c r="E1659" s="2">
        <v>29</v>
      </c>
      <c r="F1659" s="2">
        <v>590.69</v>
      </c>
    </row>
    <row r="1660" spans="3:6" x14ac:dyDescent="0.25">
      <c r="C1660" s="2" t="s">
        <v>6822</v>
      </c>
      <c r="D1660" s="2" t="s">
        <v>122</v>
      </c>
      <c r="E1660" s="2">
        <v>25</v>
      </c>
      <c r="F1660" s="2">
        <v>425.46</v>
      </c>
    </row>
    <row r="1661" spans="3:6" x14ac:dyDescent="0.25">
      <c r="C1661" s="2" t="s">
        <v>6823</v>
      </c>
      <c r="D1661" s="2" t="s">
        <v>122</v>
      </c>
      <c r="E1661" s="2">
        <v>27</v>
      </c>
      <c r="F1661" s="2">
        <v>517.92</v>
      </c>
    </row>
    <row r="1662" spans="3:6" x14ac:dyDescent="0.25">
      <c r="C1662" s="2" t="s">
        <v>6824</v>
      </c>
      <c r="D1662" s="2" t="s">
        <v>122</v>
      </c>
      <c r="E1662" s="2">
        <v>19</v>
      </c>
      <c r="F1662" s="2">
        <v>392.57</v>
      </c>
    </row>
    <row r="1663" spans="3:6" x14ac:dyDescent="0.25">
      <c r="C1663" s="2" t="s">
        <v>6825</v>
      </c>
      <c r="D1663" s="2" t="s">
        <v>122</v>
      </c>
      <c r="E1663" s="2">
        <v>30</v>
      </c>
      <c r="F1663" s="2">
        <v>582.469</v>
      </c>
    </row>
    <row r="1664" spans="3:6" x14ac:dyDescent="0.25">
      <c r="C1664" s="2" t="s">
        <v>6826</v>
      </c>
      <c r="D1664" s="2" t="s">
        <v>122</v>
      </c>
      <c r="E1664" s="2">
        <v>40</v>
      </c>
      <c r="F1664" s="2">
        <v>817.06</v>
      </c>
    </row>
    <row r="1665" spans="3:6" x14ac:dyDescent="0.25">
      <c r="C1665" s="2" t="s">
        <v>6827</v>
      </c>
      <c r="D1665" s="2" t="s">
        <v>122</v>
      </c>
      <c r="E1665" s="2">
        <v>96</v>
      </c>
      <c r="F1665" s="2">
        <v>2039.68</v>
      </c>
    </row>
    <row r="1666" spans="3:6" x14ac:dyDescent="0.25">
      <c r="C1666" s="2" t="s">
        <v>6828</v>
      </c>
      <c r="D1666" s="2" t="s">
        <v>122</v>
      </c>
      <c r="E1666" s="2">
        <v>21</v>
      </c>
      <c r="F1666" s="2">
        <v>446.73</v>
      </c>
    </row>
    <row r="1667" spans="3:6" x14ac:dyDescent="0.25">
      <c r="C1667" s="2" t="s">
        <v>6829</v>
      </c>
      <c r="D1667" s="2" t="s">
        <v>122</v>
      </c>
      <c r="E1667" s="2">
        <v>7</v>
      </c>
      <c r="F1667" s="2">
        <v>152.41</v>
      </c>
    </row>
    <row r="1668" spans="3:6" x14ac:dyDescent="0.25">
      <c r="C1668" s="2" t="s">
        <v>6830</v>
      </c>
      <c r="D1668" s="2" t="s">
        <v>122</v>
      </c>
      <c r="E1668" s="2">
        <v>17</v>
      </c>
      <c r="F1668" s="2">
        <v>357.98</v>
      </c>
    </row>
    <row r="1669" spans="3:6" x14ac:dyDescent="0.25">
      <c r="C1669" s="2" t="s">
        <v>6831</v>
      </c>
      <c r="D1669" s="2" t="s">
        <v>122</v>
      </c>
      <c r="E1669" s="2">
        <v>79</v>
      </c>
      <c r="F1669" s="2">
        <v>1599.37</v>
      </c>
    </row>
    <row r="1670" spans="3:6" x14ac:dyDescent="0.25">
      <c r="C1670" s="2" t="s">
        <v>6832</v>
      </c>
      <c r="D1670" s="2" t="s">
        <v>122</v>
      </c>
      <c r="E1670" s="2">
        <v>62</v>
      </c>
      <c r="F1670" s="2">
        <v>1329.12</v>
      </c>
    </row>
    <row r="1671" spans="3:6" x14ac:dyDescent="0.25">
      <c r="C1671" s="2" t="s">
        <v>6833</v>
      </c>
      <c r="D1671" s="2" t="s">
        <v>122</v>
      </c>
      <c r="E1671" s="2">
        <v>102</v>
      </c>
      <c r="F1671" s="2">
        <v>1988.539</v>
      </c>
    </row>
    <row r="1672" spans="3:6" x14ac:dyDescent="0.25">
      <c r="C1672" s="2" t="s">
        <v>6834</v>
      </c>
      <c r="D1672" s="2" t="s">
        <v>122</v>
      </c>
      <c r="E1672" s="2">
        <v>83</v>
      </c>
      <c r="F1672" s="2">
        <v>1597.462</v>
      </c>
    </row>
    <row r="1673" spans="3:6" x14ac:dyDescent="0.25">
      <c r="C1673" s="2" t="s">
        <v>6835</v>
      </c>
      <c r="D1673" s="2" t="s">
        <v>122</v>
      </c>
      <c r="E1673" s="2">
        <v>52</v>
      </c>
      <c r="F1673" s="2">
        <v>1077.24</v>
      </c>
    </row>
    <row r="1674" spans="3:6" x14ac:dyDescent="0.25">
      <c r="C1674" s="2" t="s">
        <v>6836</v>
      </c>
      <c r="D1674" s="2" t="s">
        <v>122</v>
      </c>
      <c r="E1674" s="2">
        <v>50</v>
      </c>
      <c r="F1674" s="2">
        <v>974.3</v>
      </c>
    </row>
    <row r="1675" spans="3:6" x14ac:dyDescent="0.25">
      <c r="C1675" s="2" t="s">
        <v>6837</v>
      </c>
      <c r="D1675" s="2" t="s">
        <v>122</v>
      </c>
      <c r="E1675" s="2">
        <v>62</v>
      </c>
      <c r="F1675" s="2">
        <v>1215.34</v>
      </c>
    </row>
    <row r="1676" spans="3:6" x14ac:dyDescent="0.25">
      <c r="C1676" s="2" t="s">
        <v>6838</v>
      </c>
      <c r="D1676" s="2" t="s">
        <v>122</v>
      </c>
      <c r="E1676" s="2">
        <v>40</v>
      </c>
      <c r="F1676" s="2">
        <v>769.74</v>
      </c>
    </row>
    <row r="1677" spans="3:6" x14ac:dyDescent="0.25">
      <c r="C1677" s="2" t="s">
        <v>6839</v>
      </c>
      <c r="D1677" s="2" t="s">
        <v>122</v>
      </c>
      <c r="E1677" s="2">
        <v>80</v>
      </c>
      <c r="F1677" s="2">
        <v>1576.85</v>
      </c>
    </row>
    <row r="1678" spans="3:6" x14ac:dyDescent="0.25">
      <c r="C1678" s="2" t="s">
        <v>6840</v>
      </c>
      <c r="D1678" s="2" t="s">
        <v>122</v>
      </c>
      <c r="E1678" s="2">
        <v>16</v>
      </c>
      <c r="F1678" s="2">
        <v>324.95</v>
      </c>
    </row>
    <row r="1679" spans="3:6" x14ac:dyDescent="0.25">
      <c r="C1679" s="2" t="s">
        <v>6841</v>
      </c>
      <c r="D1679" s="2" t="s">
        <v>122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90</v>
      </c>
      <c r="C1681" s="2" t="s">
        <v>6842</v>
      </c>
      <c r="D1681" s="2" t="s">
        <v>9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6843</v>
      </c>
      <c r="D1682" s="2" t="s">
        <v>9</v>
      </c>
      <c r="E1682" s="2">
        <v>123</v>
      </c>
      <c r="F1682" s="2">
        <v>2497.759</v>
      </c>
    </row>
    <row r="1683" spans="3:6" x14ac:dyDescent="0.25">
      <c r="C1683" s="2" t="s">
        <v>6844</v>
      </c>
      <c r="D1683" s="2" t="s">
        <v>9</v>
      </c>
      <c r="E1683" s="2">
        <v>115</v>
      </c>
      <c r="F1683" s="2">
        <v>2245.049</v>
      </c>
    </row>
    <row r="1684" spans="3:6" x14ac:dyDescent="0.25">
      <c r="C1684" s="2" t="s">
        <v>6845</v>
      </c>
      <c r="D1684" s="2" t="s">
        <v>9</v>
      </c>
      <c r="E1684" s="2">
        <v>124</v>
      </c>
      <c r="F1684" s="2">
        <v>2521.41</v>
      </c>
    </row>
    <row r="1685" spans="3:6" x14ac:dyDescent="0.25">
      <c r="C1685" s="2" t="s">
        <v>6846</v>
      </c>
      <c r="D1685" s="2" t="s">
        <v>9</v>
      </c>
      <c r="E1685" s="2">
        <v>149</v>
      </c>
      <c r="F1685" s="2">
        <v>622.048</v>
      </c>
    </row>
    <row r="1686" spans="3:6" x14ac:dyDescent="0.25">
      <c r="C1686" s="2" t="s">
        <v>6847</v>
      </c>
      <c r="D1686" s="2" t="s">
        <v>9</v>
      </c>
      <c r="E1686" s="2">
        <v>120</v>
      </c>
      <c r="F1686" s="2">
        <v>2487.77</v>
      </c>
    </row>
    <row r="1687" spans="3:6" x14ac:dyDescent="0.25">
      <c r="C1687" s="2" t="s">
        <v>6848</v>
      </c>
      <c r="D1687" s="2" t="s">
        <v>9</v>
      </c>
      <c r="E1687" s="2">
        <v>141</v>
      </c>
      <c r="F1687" s="2">
        <v>2832.63</v>
      </c>
    </row>
    <row r="1688" spans="3:6" x14ac:dyDescent="0.25">
      <c r="C1688" s="2" t="s">
        <v>6849</v>
      </c>
      <c r="D1688" s="2" t="s">
        <v>9</v>
      </c>
      <c r="E1688" s="2">
        <v>140</v>
      </c>
      <c r="F1688" s="2">
        <v>2791.175</v>
      </c>
    </row>
    <row r="1689" spans="3:6" x14ac:dyDescent="0.25">
      <c r="C1689" s="2" t="s">
        <v>6850</v>
      </c>
      <c r="D1689" s="2" t="s">
        <v>9</v>
      </c>
      <c r="E1689" s="2">
        <v>140</v>
      </c>
      <c r="F1689" s="2">
        <v>2818.077</v>
      </c>
    </row>
    <row r="1690" spans="3:6" x14ac:dyDescent="0.25">
      <c r="C1690" s="2" t="s">
        <v>6851</v>
      </c>
      <c r="D1690" s="2" t="s">
        <v>9</v>
      </c>
      <c r="E1690" s="2">
        <v>140</v>
      </c>
      <c r="F1690" s="2">
        <v>2928.81</v>
      </c>
    </row>
    <row r="1691" spans="3:6" x14ac:dyDescent="0.25">
      <c r="C1691" s="2" t="s">
        <v>6852</v>
      </c>
      <c r="D1691" s="2" t="s">
        <v>9</v>
      </c>
      <c r="E1691" s="2">
        <v>100</v>
      </c>
      <c r="F1691" s="2">
        <v>2000.99</v>
      </c>
    </row>
    <row r="1692" spans="3:6" x14ac:dyDescent="0.25">
      <c r="C1692" s="2" t="s">
        <v>6853</v>
      </c>
      <c r="D1692" s="2" t="s">
        <v>9</v>
      </c>
      <c r="E1692" s="2">
        <v>141</v>
      </c>
      <c r="F1692" s="2">
        <v>2747.059</v>
      </c>
    </row>
    <row r="1693" spans="3:6" x14ac:dyDescent="0.25">
      <c r="C1693" s="2" t="s">
        <v>6854</v>
      </c>
      <c r="D1693" s="2" t="s">
        <v>9</v>
      </c>
      <c r="E1693" s="2">
        <v>140</v>
      </c>
      <c r="F1693" s="2">
        <v>2797.99</v>
      </c>
    </row>
    <row r="1694" spans="3:6" x14ac:dyDescent="0.25">
      <c r="C1694" s="2" t="s">
        <v>6855</v>
      </c>
      <c r="D1694" s="2" t="s">
        <v>9</v>
      </c>
      <c r="E1694" s="2">
        <v>141</v>
      </c>
      <c r="F1694" s="2">
        <v>2870.45</v>
      </c>
    </row>
    <row r="1695" spans="3:6" x14ac:dyDescent="0.25">
      <c r="C1695" s="2" t="s">
        <v>6856</v>
      </c>
      <c r="D1695" s="2" t="s">
        <v>9</v>
      </c>
      <c r="E1695" s="2">
        <v>141</v>
      </c>
      <c r="F1695" s="2">
        <v>2645.179</v>
      </c>
    </row>
    <row r="1696" spans="3:6" x14ac:dyDescent="0.25">
      <c r="C1696" s="2" t="s">
        <v>6857</v>
      </c>
      <c r="D1696" s="2" t="s">
        <v>9</v>
      </c>
      <c r="E1696" s="2">
        <v>141</v>
      </c>
      <c r="F1696" s="2">
        <v>2805.999</v>
      </c>
    </row>
    <row r="1697" spans="3:6" x14ac:dyDescent="0.25">
      <c r="C1697" s="2" t="s">
        <v>6858</v>
      </c>
      <c r="D1697" s="2" t="s">
        <v>9</v>
      </c>
      <c r="E1697" s="2">
        <v>42</v>
      </c>
      <c r="F1697" s="2">
        <v>865.88</v>
      </c>
    </row>
    <row r="1698" spans="3:6" x14ac:dyDescent="0.25">
      <c r="C1698" s="2" t="s">
        <v>6859</v>
      </c>
      <c r="D1698" s="2" t="s">
        <v>9</v>
      </c>
      <c r="E1698" s="2">
        <v>37</v>
      </c>
      <c r="F1698" s="2">
        <v>721.31</v>
      </c>
    </row>
    <row r="1699" spans="3:6" x14ac:dyDescent="0.25">
      <c r="C1699" s="2" t="s">
        <v>6860</v>
      </c>
      <c r="D1699" s="2" t="s">
        <v>9</v>
      </c>
      <c r="E1699" s="2">
        <v>45</v>
      </c>
      <c r="F1699" s="2">
        <v>204.89</v>
      </c>
    </row>
    <row r="1700" spans="3:6" x14ac:dyDescent="0.25">
      <c r="C1700" s="2" t="s">
        <v>6861</v>
      </c>
      <c r="D1700" s="2" t="s">
        <v>9</v>
      </c>
      <c r="E1700" s="2">
        <v>138</v>
      </c>
      <c r="F1700" s="2">
        <v>2228.799</v>
      </c>
    </row>
    <row r="1701" spans="3:6" x14ac:dyDescent="0.25">
      <c r="C1701" s="2" t="s">
        <v>6862</v>
      </c>
      <c r="D1701" s="2" t="s">
        <v>9</v>
      </c>
      <c r="E1701" s="2">
        <v>57</v>
      </c>
      <c r="F1701" s="2">
        <v>1085.15</v>
      </c>
    </row>
    <row r="1702" spans="3:6" x14ac:dyDescent="0.25">
      <c r="C1702" s="2" t="s">
        <v>6863</v>
      </c>
      <c r="D1702" s="2" t="s">
        <v>9</v>
      </c>
      <c r="E1702" s="2">
        <v>23</v>
      </c>
      <c r="F1702" s="2">
        <v>396.68</v>
      </c>
    </row>
    <row r="1703" spans="3:6" x14ac:dyDescent="0.25">
      <c r="C1703" s="2" t="s">
        <v>6864</v>
      </c>
      <c r="D1703" s="2" t="s">
        <v>9</v>
      </c>
      <c r="E1703" s="2">
        <v>58</v>
      </c>
      <c r="F1703" s="2">
        <v>949.66</v>
      </c>
    </row>
    <row r="1704" spans="3:6" x14ac:dyDescent="0.25">
      <c r="C1704" s="2" t="s">
        <v>6865</v>
      </c>
      <c r="D1704" s="2" t="s">
        <v>9</v>
      </c>
      <c r="E1704" s="2">
        <v>6</v>
      </c>
      <c r="F1704" s="2">
        <v>130.49</v>
      </c>
    </row>
    <row r="1705" spans="3:6" x14ac:dyDescent="0.25">
      <c r="C1705" s="2" t="s">
        <v>6866</v>
      </c>
      <c r="D1705" s="2" t="s">
        <v>9</v>
      </c>
      <c r="E1705" s="2">
        <v>141</v>
      </c>
      <c r="F1705" s="2">
        <v>2375.094</v>
      </c>
    </row>
    <row r="1706" spans="3:6" x14ac:dyDescent="0.25">
      <c r="C1706" s="2" t="s">
        <v>6867</v>
      </c>
      <c r="D1706" s="2" t="s">
        <v>9</v>
      </c>
      <c r="E1706" s="2">
        <v>141</v>
      </c>
      <c r="F1706" s="2">
        <v>2824.83</v>
      </c>
    </row>
    <row r="1707" spans="3:6" x14ac:dyDescent="0.25">
      <c r="C1707" s="2" t="s">
        <v>6868</v>
      </c>
      <c r="D1707" s="2" t="s">
        <v>9</v>
      </c>
      <c r="E1707" s="2">
        <v>54</v>
      </c>
      <c r="F1707" s="2">
        <v>1076.47</v>
      </c>
    </row>
    <row r="1708" spans="3:6" x14ac:dyDescent="0.25">
      <c r="C1708" s="2" t="s">
        <v>6869</v>
      </c>
      <c r="D1708" s="2" t="s">
        <v>9</v>
      </c>
      <c r="E1708" s="2">
        <v>48</v>
      </c>
      <c r="F1708" s="2">
        <v>955.18</v>
      </c>
    </row>
    <row r="1709" spans="3:6" x14ac:dyDescent="0.25">
      <c r="C1709" s="2" t="s">
        <v>6870</v>
      </c>
      <c r="D1709" s="2" t="s">
        <v>9</v>
      </c>
      <c r="E1709" s="2">
        <v>141</v>
      </c>
      <c r="F1709" s="2">
        <v>2806.18</v>
      </c>
    </row>
    <row r="1710" spans="3:6" x14ac:dyDescent="0.25">
      <c r="C1710" s="2" t="s">
        <v>6871</v>
      </c>
      <c r="D1710" s="2" t="s">
        <v>9</v>
      </c>
      <c r="E1710" s="2">
        <v>63</v>
      </c>
      <c r="F1710" s="2">
        <v>1098</v>
      </c>
    </row>
    <row r="1711" spans="3:6" x14ac:dyDescent="0.25">
      <c r="C1711" s="2" t="s">
        <v>6872</v>
      </c>
      <c r="D1711" s="2" t="s">
        <v>9</v>
      </c>
      <c r="E1711" s="2">
        <v>2</v>
      </c>
      <c r="F1711" s="2">
        <v>19.35</v>
      </c>
    </row>
    <row r="1712" spans="3:6" x14ac:dyDescent="0.25">
      <c r="C1712" s="2" t="s">
        <v>6873</v>
      </c>
      <c r="D1712" s="2" t="s">
        <v>9</v>
      </c>
      <c r="E1712" s="2">
        <v>15</v>
      </c>
      <c r="F1712" s="2">
        <v>120.9</v>
      </c>
    </row>
    <row r="1713" spans="3:6" x14ac:dyDescent="0.25">
      <c r="C1713" s="2" t="s">
        <v>6874</v>
      </c>
      <c r="D1713" s="2" t="s">
        <v>9</v>
      </c>
      <c r="E1713" s="2">
        <v>14</v>
      </c>
      <c r="F1713" s="2">
        <v>264.39</v>
      </c>
    </row>
    <row r="1714" spans="3:6" x14ac:dyDescent="0.25">
      <c r="C1714" s="2" t="s">
        <v>6875</v>
      </c>
      <c r="D1714" s="2" t="s">
        <v>9</v>
      </c>
      <c r="E1714" s="2">
        <v>50</v>
      </c>
      <c r="F1714" s="2">
        <v>888.08</v>
      </c>
    </row>
    <row r="1715" spans="3:6" x14ac:dyDescent="0.25">
      <c r="C1715" s="2" t="s">
        <v>6876</v>
      </c>
      <c r="D1715" s="2" t="s">
        <v>9</v>
      </c>
      <c r="E1715" s="2">
        <v>56</v>
      </c>
      <c r="F1715" s="2">
        <v>1131.81</v>
      </c>
    </row>
    <row r="1716" spans="3:6" x14ac:dyDescent="0.25">
      <c r="C1716" s="2" t="s">
        <v>6877</v>
      </c>
      <c r="D1716" s="2" t="s">
        <v>9</v>
      </c>
      <c r="E1716" s="2">
        <v>20</v>
      </c>
      <c r="F1716" s="2">
        <v>405.97</v>
      </c>
    </row>
    <row r="1717" spans="3:6" x14ac:dyDescent="0.25">
      <c r="C1717" s="2" t="s">
        <v>6878</v>
      </c>
      <c r="D1717" s="2" t="s">
        <v>9</v>
      </c>
      <c r="E1717" s="2">
        <v>19</v>
      </c>
      <c r="F1717" s="2">
        <v>390.62</v>
      </c>
    </row>
    <row r="1718" spans="3:6" x14ac:dyDescent="0.25">
      <c r="C1718" s="2" t="s">
        <v>6879</v>
      </c>
      <c r="D1718" s="2" t="s">
        <v>9</v>
      </c>
      <c r="E1718" s="2">
        <v>5</v>
      </c>
      <c r="F1718" s="2">
        <v>76.65</v>
      </c>
    </row>
    <row r="1719" spans="3:6" x14ac:dyDescent="0.25">
      <c r="C1719" s="2" t="s">
        <v>6880</v>
      </c>
      <c r="D1719" s="2" t="s">
        <v>9</v>
      </c>
      <c r="E1719" s="2">
        <v>73</v>
      </c>
      <c r="F1719" s="2">
        <v>1560.87</v>
      </c>
    </row>
    <row r="1720" spans="3:6" x14ac:dyDescent="0.25">
      <c r="C1720" s="2" t="s">
        <v>6881</v>
      </c>
      <c r="D1720" s="2" t="s">
        <v>9</v>
      </c>
      <c r="E1720" s="2">
        <v>29</v>
      </c>
      <c r="F1720" s="2">
        <v>595.7</v>
      </c>
    </row>
    <row r="1721" spans="3:6" x14ac:dyDescent="0.25">
      <c r="C1721" s="2" t="s">
        <v>6882</v>
      </c>
      <c r="D1721" s="2" t="s">
        <v>9</v>
      </c>
      <c r="E1721" s="2">
        <v>69</v>
      </c>
      <c r="F1721" s="2">
        <v>1365.13</v>
      </c>
    </row>
    <row r="1722" spans="3:6" x14ac:dyDescent="0.25">
      <c r="C1722" s="2" t="s">
        <v>6883</v>
      </c>
      <c r="D1722" s="2" t="s">
        <v>9</v>
      </c>
      <c r="E1722" s="2">
        <v>73</v>
      </c>
      <c r="F1722" s="2">
        <v>1474.05</v>
      </c>
    </row>
    <row r="1723" spans="3:6" x14ac:dyDescent="0.25">
      <c r="C1723" s="2" t="s">
        <v>6884</v>
      </c>
      <c r="D1723" s="2" t="s">
        <v>9</v>
      </c>
      <c r="E1723" s="2">
        <v>63</v>
      </c>
      <c r="F1723" s="2">
        <v>1303.57</v>
      </c>
    </row>
    <row r="1724" spans="3:6" x14ac:dyDescent="0.25">
      <c r="C1724" s="2" t="s">
        <v>6885</v>
      </c>
      <c r="D1724" s="2" t="s">
        <v>9</v>
      </c>
      <c r="E1724" s="2">
        <v>24</v>
      </c>
      <c r="F1724" s="2">
        <v>445.24</v>
      </c>
    </row>
    <row r="1725" spans="3:6" x14ac:dyDescent="0.25">
      <c r="C1725" s="2" t="s">
        <v>6886</v>
      </c>
      <c r="D1725" s="2" t="s">
        <v>9</v>
      </c>
      <c r="E1725" s="2">
        <v>54</v>
      </c>
      <c r="F1725" s="2">
        <v>1136.259</v>
      </c>
    </row>
    <row r="1726" spans="3:6" x14ac:dyDescent="0.25">
      <c r="C1726" s="2" t="s">
        <v>6887</v>
      </c>
      <c r="D1726" s="2" t="s">
        <v>9</v>
      </c>
      <c r="E1726" s="2">
        <v>59</v>
      </c>
      <c r="F1726" s="2">
        <v>262.269</v>
      </c>
    </row>
    <row r="1727" spans="3:6" x14ac:dyDescent="0.25">
      <c r="C1727" s="2" t="s">
        <v>6888</v>
      </c>
      <c r="D1727" s="2" t="s">
        <v>9</v>
      </c>
      <c r="E1727" s="2">
        <v>34</v>
      </c>
      <c r="F1727" s="2">
        <v>682.71</v>
      </c>
    </row>
    <row r="1728" spans="3:6" x14ac:dyDescent="0.25">
      <c r="C1728" s="2" t="s">
        <v>6889</v>
      </c>
      <c r="D1728" s="2" t="s">
        <v>9</v>
      </c>
      <c r="E1728" s="2">
        <v>91</v>
      </c>
      <c r="F1728" s="2">
        <v>1847.62</v>
      </c>
    </row>
    <row r="1729" spans="3:6" x14ac:dyDescent="0.25">
      <c r="C1729" s="2" t="s">
        <v>6890</v>
      </c>
      <c r="D1729" s="2" t="s">
        <v>9</v>
      </c>
      <c r="E1729" s="2">
        <v>16</v>
      </c>
      <c r="F1729" s="2">
        <v>294.61</v>
      </c>
    </row>
    <row r="1730" spans="3:6" x14ac:dyDescent="0.25">
      <c r="C1730" s="2" t="s">
        <v>6891</v>
      </c>
      <c r="D1730" s="2" t="s">
        <v>9</v>
      </c>
      <c r="E1730" s="2">
        <v>18</v>
      </c>
      <c r="F1730" s="2">
        <v>394.57</v>
      </c>
    </row>
    <row r="1731" spans="3:6" x14ac:dyDescent="0.25">
      <c r="C1731" s="2" t="s">
        <v>6892</v>
      </c>
      <c r="D1731" s="2" t="s">
        <v>9</v>
      </c>
      <c r="E1731" s="2">
        <v>35</v>
      </c>
      <c r="F1731" s="2">
        <v>721.6</v>
      </c>
    </row>
    <row r="1732" spans="3:6" x14ac:dyDescent="0.25">
      <c r="C1732" s="2" t="s">
        <v>6893</v>
      </c>
      <c r="D1732" s="2" t="s">
        <v>9</v>
      </c>
      <c r="E1732" s="2">
        <v>31</v>
      </c>
      <c r="F1732" s="2">
        <v>531.54</v>
      </c>
    </row>
    <row r="1733" spans="3:6" x14ac:dyDescent="0.25">
      <c r="C1733" s="2" t="s">
        <v>6894</v>
      </c>
      <c r="D1733" s="2" t="s">
        <v>9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6895</v>
      </c>
      <c r="C1735" s="2" t="s">
        <v>6896</v>
      </c>
      <c r="D1735" s="2" t="s">
        <v>204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6897</v>
      </c>
      <c r="D1736" s="2" t="s">
        <v>204</v>
      </c>
      <c r="E1736" s="2">
        <v>102</v>
      </c>
      <c r="F1736" s="2">
        <v>1992.048</v>
      </c>
    </row>
    <row r="1737" spans="3:6" x14ac:dyDescent="0.25">
      <c r="C1737" s="2" t="s">
        <v>6898</v>
      </c>
      <c r="D1737" s="2" t="s">
        <v>204</v>
      </c>
      <c r="E1737" s="2">
        <v>148</v>
      </c>
      <c r="F1737" s="2">
        <v>2982.289</v>
      </c>
    </row>
    <row r="1738" spans="3:6" x14ac:dyDescent="0.25">
      <c r="C1738" s="2" t="s">
        <v>6899</v>
      </c>
      <c r="D1738" s="2" t="s">
        <v>204</v>
      </c>
      <c r="E1738" s="2">
        <v>148</v>
      </c>
      <c r="F1738" s="2">
        <v>2790.588</v>
      </c>
    </row>
    <row r="1739" spans="3:6" x14ac:dyDescent="0.25">
      <c r="C1739" s="2" t="s">
        <v>6900</v>
      </c>
      <c r="D1739" s="2" t="s">
        <v>204</v>
      </c>
      <c r="E1739" s="2">
        <v>148</v>
      </c>
      <c r="F1739" s="2">
        <v>2954.679</v>
      </c>
    </row>
    <row r="1740" spans="3:6" x14ac:dyDescent="0.25">
      <c r="C1740" s="2" t="s">
        <v>6901</v>
      </c>
      <c r="D1740" s="2" t="s">
        <v>204</v>
      </c>
      <c r="E1740" s="2">
        <v>148</v>
      </c>
      <c r="F1740" s="2">
        <v>2947.35</v>
      </c>
    </row>
    <row r="1741" spans="3:6" x14ac:dyDescent="0.25">
      <c r="C1741" s="2" t="s">
        <v>6902</v>
      </c>
      <c r="D1741" s="2" t="s">
        <v>204</v>
      </c>
      <c r="E1741" s="2">
        <v>148</v>
      </c>
      <c r="F1741" s="2">
        <v>2902.36</v>
      </c>
    </row>
    <row r="1742" spans="3:6" x14ac:dyDescent="0.25">
      <c r="C1742" s="2" t="s">
        <v>6903</v>
      </c>
      <c r="D1742" s="2" t="s">
        <v>204</v>
      </c>
      <c r="E1742" s="2">
        <v>148</v>
      </c>
      <c r="F1742" s="2">
        <v>2959.767</v>
      </c>
    </row>
    <row r="1743" spans="3:6" x14ac:dyDescent="0.25">
      <c r="C1743" s="2" t="s">
        <v>6904</v>
      </c>
      <c r="D1743" s="2" t="s">
        <v>204</v>
      </c>
      <c r="E1743" s="2">
        <v>148</v>
      </c>
      <c r="F1743" s="2">
        <v>2811.36</v>
      </c>
    </row>
    <row r="1744" spans="3:6" x14ac:dyDescent="0.25">
      <c r="C1744" s="2" t="s">
        <v>6905</v>
      </c>
      <c r="D1744" s="2" t="s">
        <v>204</v>
      </c>
      <c r="E1744" s="2">
        <v>148</v>
      </c>
      <c r="F1744" s="2">
        <v>2769.7</v>
      </c>
    </row>
    <row r="1745" spans="3:6" x14ac:dyDescent="0.25">
      <c r="C1745" s="2" t="s">
        <v>6906</v>
      </c>
      <c r="D1745" s="2" t="s">
        <v>204</v>
      </c>
      <c r="E1745" s="2">
        <v>107</v>
      </c>
      <c r="F1745" s="2">
        <v>1724.747</v>
      </c>
    </row>
    <row r="1746" spans="3:6" x14ac:dyDescent="0.25">
      <c r="C1746" s="2" t="s">
        <v>6907</v>
      </c>
      <c r="D1746" s="2" t="s">
        <v>204</v>
      </c>
      <c r="E1746" s="2">
        <v>59</v>
      </c>
      <c r="F1746" s="2">
        <v>1364.13</v>
      </c>
    </row>
    <row r="1747" spans="3:6" x14ac:dyDescent="0.25">
      <c r="C1747" s="2" t="s">
        <v>6908</v>
      </c>
      <c r="D1747" s="2" t="s">
        <v>204</v>
      </c>
      <c r="E1747" s="2">
        <v>148</v>
      </c>
      <c r="F1747" s="2">
        <v>2936.28</v>
      </c>
    </row>
    <row r="1748" spans="3:6" x14ac:dyDescent="0.25">
      <c r="C1748" s="2" t="s">
        <v>6909</v>
      </c>
      <c r="D1748" s="2" t="s">
        <v>204</v>
      </c>
      <c r="E1748" s="2">
        <v>148</v>
      </c>
      <c r="F1748" s="2">
        <v>2753.65</v>
      </c>
    </row>
    <row r="1749" spans="3:6" x14ac:dyDescent="0.25">
      <c r="C1749" s="2" t="s">
        <v>6910</v>
      </c>
      <c r="D1749" s="2" t="s">
        <v>204</v>
      </c>
      <c r="E1749" s="2">
        <v>148</v>
      </c>
      <c r="F1749" s="2">
        <v>2738.149</v>
      </c>
    </row>
    <row r="1750" spans="3:6" x14ac:dyDescent="0.25">
      <c r="C1750" s="2" t="s">
        <v>6911</v>
      </c>
      <c r="D1750" s="2" t="s">
        <v>204</v>
      </c>
      <c r="E1750" s="2">
        <v>148</v>
      </c>
      <c r="F1750" s="2">
        <v>2887.629</v>
      </c>
    </row>
    <row r="1751" spans="3:6" x14ac:dyDescent="0.25">
      <c r="C1751" s="2" t="s">
        <v>6912</v>
      </c>
      <c r="D1751" s="2" t="s">
        <v>204</v>
      </c>
      <c r="E1751" s="2">
        <v>148</v>
      </c>
      <c r="F1751" s="2">
        <v>2696.04</v>
      </c>
    </row>
    <row r="1752" spans="3:6" x14ac:dyDescent="0.25">
      <c r="C1752" s="2" t="s">
        <v>6913</v>
      </c>
      <c r="D1752" s="2" t="s">
        <v>204</v>
      </c>
      <c r="E1752" s="2">
        <v>148</v>
      </c>
      <c r="F1752" s="2">
        <v>2897.929</v>
      </c>
    </row>
    <row r="1753" spans="3:6" x14ac:dyDescent="0.25">
      <c r="C1753" s="2" t="s">
        <v>6914</v>
      </c>
      <c r="D1753" s="2" t="s">
        <v>204</v>
      </c>
      <c r="E1753" s="2">
        <v>148</v>
      </c>
      <c r="F1753" s="2">
        <v>2882.33</v>
      </c>
    </row>
    <row r="1754" spans="3:6" x14ac:dyDescent="0.25">
      <c r="C1754" s="2" t="s">
        <v>6915</v>
      </c>
      <c r="D1754" s="2" t="s">
        <v>204</v>
      </c>
      <c r="E1754" s="2">
        <v>148</v>
      </c>
      <c r="F1754" s="2">
        <v>2719.618</v>
      </c>
    </row>
    <row r="1755" spans="3:6" x14ac:dyDescent="0.25">
      <c r="C1755" s="2" t="s">
        <v>6916</v>
      </c>
      <c r="D1755" s="2" t="s">
        <v>204</v>
      </c>
      <c r="E1755" s="2">
        <v>148</v>
      </c>
      <c r="F1755" s="2">
        <v>2869.12</v>
      </c>
    </row>
    <row r="1756" spans="3:6" x14ac:dyDescent="0.25">
      <c r="C1756" s="2" t="s">
        <v>6917</v>
      </c>
      <c r="D1756" s="2" t="s">
        <v>204</v>
      </c>
      <c r="E1756" s="2">
        <v>148</v>
      </c>
      <c r="F1756" s="2">
        <v>2906.81</v>
      </c>
    </row>
    <row r="1757" spans="3:6" x14ac:dyDescent="0.25">
      <c r="C1757" s="2" t="s">
        <v>6918</v>
      </c>
      <c r="D1757" s="2" t="s">
        <v>204</v>
      </c>
      <c r="E1757" s="2">
        <v>148</v>
      </c>
      <c r="F1757" s="2">
        <v>2907.79</v>
      </c>
    </row>
    <row r="1758" spans="3:6" x14ac:dyDescent="0.25">
      <c r="C1758" s="2" t="s">
        <v>6919</v>
      </c>
      <c r="D1758" s="2" t="s">
        <v>204</v>
      </c>
      <c r="E1758" s="2">
        <v>148</v>
      </c>
      <c r="F1758" s="2">
        <v>2883.77</v>
      </c>
    </row>
    <row r="1759" spans="3:6" x14ac:dyDescent="0.25">
      <c r="C1759" s="2" t="s">
        <v>6920</v>
      </c>
      <c r="D1759" s="2" t="s">
        <v>204</v>
      </c>
      <c r="E1759" s="2">
        <v>148</v>
      </c>
      <c r="F1759" s="2">
        <v>2755.287</v>
      </c>
    </row>
    <row r="1760" spans="3:6" x14ac:dyDescent="0.25">
      <c r="C1760" s="2" t="s">
        <v>6921</v>
      </c>
      <c r="D1760" s="2" t="s">
        <v>204</v>
      </c>
      <c r="E1760" s="2">
        <v>134</v>
      </c>
      <c r="F1760" s="2">
        <v>2542.85</v>
      </c>
    </row>
    <row r="1761" spans="3:6" x14ac:dyDescent="0.25">
      <c r="C1761" s="2" t="s">
        <v>6922</v>
      </c>
      <c r="D1761" s="2" t="s">
        <v>204</v>
      </c>
      <c r="E1761" s="2">
        <v>148</v>
      </c>
      <c r="F1761" s="2">
        <v>2865.889</v>
      </c>
    </row>
    <row r="1762" spans="3:6" x14ac:dyDescent="0.25">
      <c r="C1762" s="2" t="s">
        <v>6923</v>
      </c>
      <c r="D1762" s="2" t="s">
        <v>204</v>
      </c>
      <c r="E1762" s="2">
        <v>121</v>
      </c>
      <c r="F1762" s="2">
        <v>2489.289</v>
      </c>
    </row>
    <row r="1763" spans="3:6" x14ac:dyDescent="0.25">
      <c r="C1763" s="2" t="s">
        <v>6924</v>
      </c>
      <c r="D1763" s="2" t="s">
        <v>204</v>
      </c>
      <c r="E1763" s="2">
        <v>121</v>
      </c>
      <c r="F1763" s="2">
        <v>2431.53</v>
      </c>
    </row>
    <row r="1764" spans="3:6" x14ac:dyDescent="0.25">
      <c r="C1764" s="2" t="s">
        <v>6925</v>
      </c>
      <c r="D1764" s="2" t="s">
        <v>204</v>
      </c>
      <c r="E1764" s="2">
        <v>121</v>
      </c>
      <c r="F1764" s="2">
        <v>2420.049</v>
      </c>
    </row>
    <row r="1765" spans="3:6" x14ac:dyDescent="0.25">
      <c r="C1765" s="2" t="s">
        <v>6926</v>
      </c>
      <c r="D1765" s="2" t="s">
        <v>204</v>
      </c>
      <c r="E1765" s="2">
        <v>121</v>
      </c>
      <c r="F1765" s="2">
        <v>2368.349</v>
      </c>
    </row>
    <row r="1766" spans="3:6" x14ac:dyDescent="0.25">
      <c r="C1766" s="2" t="s">
        <v>6927</v>
      </c>
      <c r="D1766" s="2" t="s">
        <v>204</v>
      </c>
      <c r="E1766" s="2">
        <v>102</v>
      </c>
      <c r="F1766" s="2">
        <v>2167.66</v>
      </c>
    </row>
    <row r="1767" spans="3:6" x14ac:dyDescent="0.25">
      <c r="C1767" s="2" t="s">
        <v>6928</v>
      </c>
      <c r="D1767" s="2" t="s">
        <v>204</v>
      </c>
      <c r="E1767" s="2">
        <v>102</v>
      </c>
      <c r="F1767" s="2">
        <v>2020.09</v>
      </c>
    </row>
    <row r="1768" spans="3:6" x14ac:dyDescent="0.25">
      <c r="C1768" s="2" t="s">
        <v>6929</v>
      </c>
      <c r="D1768" s="2" t="s">
        <v>204</v>
      </c>
      <c r="E1768" s="2">
        <v>102</v>
      </c>
      <c r="F1768" s="2">
        <v>2056.83</v>
      </c>
    </row>
    <row r="1769" spans="3:6" x14ac:dyDescent="0.25">
      <c r="C1769" s="2" t="s">
        <v>6930</v>
      </c>
      <c r="D1769" s="2" t="s">
        <v>204</v>
      </c>
      <c r="E1769" s="2">
        <v>102</v>
      </c>
      <c r="F1769" s="2">
        <v>1930.459</v>
      </c>
    </row>
    <row r="1770" spans="3:6" x14ac:dyDescent="0.25">
      <c r="C1770" s="2" t="s">
        <v>6931</v>
      </c>
      <c r="D1770" s="2" t="s">
        <v>204</v>
      </c>
      <c r="E1770" s="2">
        <v>102</v>
      </c>
      <c r="F1770" s="2">
        <v>2037.519</v>
      </c>
    </row>
    <row r="1771" spans="3:6" x14ac:dyDescent="0.25">
      <c r="C1771" s="2" t="s">
        <v>6932</v>
      </c>
      <c r="D1771" s="2" t="s">
        <v>204</v>
      </c>
      <c r="E1771" s="2">
        <v>75</v>
      </c>
      <c r="F1771" s="2">
        <v>1572.45</v>
      </c>
    </row>
    <row r="1772" spans="3:6" x14ac:dyDescent="0.25">
      <c r="C1772" s="2" t="s">
        <v>6933</v>
      </c>
      <c r="D1772" s="2" t="s">
        <v>204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14</v>
      </c>
      <c r="C1774" s="2" t="s">
        <v>6934</v>
      </c>
      <c r="D1774" s="2" t="s">
        <v>12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6935</v>
      </c>
      <c r="D1775" s="2" t="s">
        <v>12</v>
      </c>
      <c r="E1775" s="2">
        <v>147</v>
      </c>
      <c r="F1775" s="2">
        <v>3053.05</v>
      </c>
    </row>
    <row r="1776" spans="3:6" x14ac:dyDescent="0.25">
      <c r="C1776" s="2" t="s">
        <v>6936</v>
      </c>
      <c r="D1776" s="2" t="s">
        <v>12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10</v>
      </c>
      <c r="C1778" s="2" t="s">
        <v>6937</v>
      </c>
      <c r="D1778" s="2" t="s">
        <v>12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6938</v>
      </c>
      <c r="D1779" s="2" t="s">
        <v>12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32</v>
      </c>
      <c r="C1781" s="2" t="s">
        <v>6939</v>
      </c>
      <c r="D1781" s="2" t="s">
        <v>20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6940</v>
      </c>
      <c r="D1782" s="2" t="s">
        <v>20</v>
      </c>
      <c r="E1782" s="2">
        <v>105</v>
      </c>
      <c r="F1782" s="2">
        <v>2060.65</v>
      </c>
    </row>
    <row r="1783" spans="3:6" x14ac:dyDescent="0.25">
      <c r="C1783" s="2" t="s">
        <v>6941</v>
      </c>
      <c r="D1783" s="2" t="s">
        <v>20</v>
      </c>
      <c r="E1783" s="2">
        <v>163</v>
      </c>
      <c r="F1783" s="2">
        <v>3153.218</v>
      </c>
    </row>
    <row r="1784" spans="3:6" x14ac:dyDescent="0.25">
      <c r="C1784" s="2" t="s">
        <v>6942</v>
      </c>
      <c r="D1784" s="2" t="s">
        <v>20</v>
      </c>
      <c r="E1784" s="2">
        <v>263</v>
      </c>
      <c r="F1784" s="2">
        <v>5130.649</v>
      </c>
    </row>
    <row r="1785" spans="3:6" x14ac:dyDescent="0.25">
      <c r="C1785" s="2" t="s">
        <v>6943</v>
      </c>
      <c r="D1785" s="2" t="s">
        <v>20</v>
      </c>
      <c r="E1785" s="2">
        <v>323</v>
      </c>
      <c r="F1785" s="2">
        <v>6005.728</v>
      </c>
    </row>
    <row r="1786" spans="3:6" x14ac:dyDescent="0.25">
      <c r="C1786" s="2" t="s">
        <v>6944</v>
      </c>
      <c r="D1786" s="2" t="s">
        <v>20</v>
      </c>
      <c r="E1786" s="2">
        <v>105</v>
      </c>
      <c r="F1786" s="2">
        <v>2005.399</v>
      </c>
    </row>
    <row r="1787" spans="3:6" x14ac:dyDescent="0.25">
      <c r="C1787" s="2" t="s">
        <v>6945</v>
      </c>
      <c r="D1787" s="2" t="s">
        <v>20</v>
      </c>
      <c r="E1787" s="2">
        <v>268</v>
      </c>
      <c r="F1787" s="2">
        <v>5363.279</v>
      </c>
    </row>
    <row r="1788" spans="3:6" x14ac:dyDescent="0.25">
      <c r="C1788" s="2" t="s">
        <v>6946</v>
      </c>
      <c r="D1788" s="2" t="s">
        <v>20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18</v>
      </c>
      <c r="C1790" s="2" t="s">
        <v>6947</v>
      </c>
      <c r="D1790" s="2" t="s">
        <v>20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6948</v>
      </c>
      <c r="D1791" s="2" t="s">
        <v>20</v>
      </c>
      <c r="E1791" s="2">
        <v>135</v>
      </c>
      <c r="F1791" s="2">
        <v>2840.67</v>
      </c>
    </row>
    <row r="1792" spans="3:6" x14ac:dyDescent="0.25">
      <c r="C1792" s="2" t="s">
        <v>6949</v>
      </c>
      <c r="D1792" s="2" t="s">
        <v>20</v>
      </c>
      <c r="E1792" s="2">
        <v>102</v>
      </c>
      <c r="F1792" s="2">
        <v>1949.869</v>
      </c>
    </row>
    <row r="1793" spans="3:6" x14ac:dyDescent="0.25">
      <c r="C1793" s="2" t="s">
        <v>6950</v>
      </c>
      <c r="D1793" s="2" t="s">
        <v>20</v>
      </c>
      <c r="E1793" s="2">
        <v>142</v>
      </c>
      <c r="F1793" s="2">
        <v>2693.82</v>
      </c>
    </row>
    <row r="1794" spans="3:6" x14ac:dyDescent="0.25">
      <c r="C1794" s="2" t="s">
        <v>6951</v>
      </c>
      <c r="D1794" s="2" t="s">
        <v>20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324</v>
      </c>
      <c r="C1796" s="2" t="s">
        <v>6952</v>
      </c>
      <c r="D1796" s="2" t="s">
        <v>27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6953</v>
      </c>
      <c r="D1797" s="2" t="s">
        <v>27</v>
      </c>
      <c r="E1797" s="2">
        <v>87</v>
      </c>
      <c r="F1797" s="2">
        <v>1811.22</v>
      </c>
    </row>
    <row r="1798" spans="3:6" x14ac:dyDescent="0.25">
      <c r="C1798" s="2" t="s">
        <v>6954</v>
      </c>
      <c r="D1798" s="2" t="s">
        <v>27</v>
      </c>
      <c r="E1798" s="2">
        <v>19</v>
      </c>
      <c r="F1798" s="2">
        <v>385.4</v>
      </c>
    </row>
    <row r="1799" spans="3:6" x14ac:dyDescent="0.25">
      <c r="C1799" s="2" t="s">
        <v>6955</v>
      </c>
      <c r="D1799" s="2" t="s">
        <v>27</v>
      </c>
      <c r="E1799" s="2">
        <v>16</v>
      </c>
      <c r="F1799" s="2">
        <v>317.38</v>
      </c>
    </row>
    <row r="1800" spans="3:6" x14ac:dyDescent="0.25">
      <c r="C1800" s="2" t="s">
        <v>6956</v>
      </c>
      <c r="D1800" s="2" t="s">
        <v>27</v>
      </c>
      <c r="E1800" s="2">
        <v>48</v>
      </c>
      <c r="F1800" s="2">
        <v>887.028</v>
      </c>
    </row>
    <row r="1801" spans="3:5" x14ac:dyDescent="0.25">
      <c r="C1801" s="2" t="s">
        <v>6957</v>
      </c>
      <c r="D1801" s="2" t="s">
        <v>27</v>
      </c>
      <c r="E1801" s="2">
        <v>15</v>
      </c>
    </row>
    <row r="1802" spans="3:6" x14ac:dyDescent="0.25">
      <c r="C1802" s="2" t="s">
        <v>6958</v>
      </c>
      <c r="D1802" s="2" t="s">
        <v>27</v>
      </c>
      <c r="E1802" s="2">
        <v>12</v>
      </c>
      <c r="F1802" s="2">
        <v>219.009</v>
      </c>
    </row>
    <row r="1803" spans="3:6" x14ac:dyDescent="0.25">
      <c r="C1803" s="2" t="s">
        <v>6959</v>
      </c>
      <c r="D1803" s="2" t="s">
        <v>27</v>
      </c>
      <c r="E1803" s="2">
        <v>19</v>
      </c>
      <c r="F1803" s="2">
        <v>339</v>
      </c>
    </row>
    <row r="1804" spans="3:6" x14ac:dyDescent="0.25">
      <c r="C1804" s="2" t="s">
        <v>6960</v>
      </c>
      <c r="D1804" s="2" t="s">
        <v>27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10</v>
      </c>
      <c r="C1806" s="2" t="s">
        <v>6961</v>
      </c>
      <c r="D1806" s="2" t="s">
        <v>12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6962</v>
      </c>
      <c r="D1807" s="2" t="s">
        <v>12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503</v>
      </c>
      <c r="C1809" s="2" t="s">
        <v>6963</v>
      </c>
      <c r="D1809" s="2" t="s">
        <v>42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6964</v>
      </c>
      <c r="D1810" s="2" t="s">
        <v>42</v>
      </c>
      <c r="E1810" s="2">
        <v>103</v>
      </c>
      <c r="F1810" s="2">
        <v>2031.84</v>
      </c>
    </row>
    <row r="1811" spans="3:6" x14ac:dyDescent="0.25">
      <c r="C1811" s="2" t="s">
        <v>6965</v>
      </c>
      <c r="D1811" s="2" t="s">
        <v>42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453</v>
      </c>
      <c r="C1813" s="2" t="s">
        <v>6693</v>
      </c>
      <c r="D1813" s="2" t="s">
        <v>204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6687</v>
      </c>
      <c r="D1814" s="2" t="s">
        <v>204</v>
      </c>
      <c r="E1814" s="2">
        <v>105</v>
      </c>
      <c r="F1814" s="2">
        <v>2135.28</v>
      </c>
    </row>
    <row r="1815" spans="3:6" x14ac:dyDescent="0.25">
      <c r="C1815" s="2" t="s">
        <v>6966</v>
      </c>
      <c r="D1815" s="2" t="s">
        <v>204</v>
      </c>
      <c r="E1815" s="2">
        <v>117</v>
      </c>
      <c r="F1815" s="2">
        <v>544.165</v>
      </c>
    </row>
    <row r="1816" spans="3:6" x14ac:dyDescent="0.25">
      <c r="C1816" s="2" t="s">
        <v>6967</v>
      </c>
      <c r="D1816" s="2" t="s">
        <v>204</v>
      </c>
      <c r="E1816" s="2">
        <v>163</v>
      </c>
      <c r="F1816" s="2">
        <v>3015.299</v>
      </c>
    </row>
    <row r="1817" spans="3:6" x14ac:dyDescent="0.25">
      <c r="C1817" s="2" t="s">
        <v>6968</v>
      </c>
      <c r="D1817" s="2" t="s">
        <v>204</v>
      </c>
      <c r="E1817" s="2">
        <v>163</v>
      </c>
      <c r="F1817" s="2">
        <v>3187.23</v>
      </c>
    </row>
    <row r="1818" spans="3:4" x14ac:dyDescent="0.25">
      <c r="C1818" s="2" t="s">
        <v>6969</v>
      </c>
      <c r="D1818" s="2" t="s">
        <v>204</v>
      </c>
    </row>
    <row r="1819" spans="3:6" x14ac:dyDescent="0.25">
      <c r="C1819" s="2" t="s">
        <v>6970</v>
      </c>
      <c r="D1819" s="2" t="s">
        <v>204</v>
      </c>
      <c r="E1819" s="2">
        <v>111</v>
      </c>
      <c r="F1819" s="2">
        <v>2161.22</v>
      </c>
    </row>
    <row r="1820" spans="3:6" x14ac:dyDescent="0.25">
      <c r="C1820" s="2" t="s">
        <v>6971</v>
      </c>
      <c r="D1820" s="2" t="s">
        <v>204</v>
      </c>
      <c r="E1820" s="2">
        <v>163</v>
      </c>
      <c r="F1820" s="2">
        <v>3056.168</v>
      </c>
    </row>
    <row r="1821" spans="3:6" x14ac:dyDescent="0.25">
      <c r="C1821" s="2" t="s">
        <v>6972</v>
      </c>
      <c r="D1821" s="2" t="s">
        <v>204</v>
      </c>
      <c r="E1821" s="2">
        <v>105</v>
      </c>
      <c r="F1821" s="2">
        <v>2157.98</v>
      </c>
    </row>
    <row r="1822" spans="3:6" x14ac:dyDescent="0.25">
      <c r="C1822" s="2" t="s">
        <v>6973</v>
      </c>
      <c r="D1822" s="2" t="s">
        <v>204</v>
      </c>
      <c r="E1822" s="2">
        <v>105</v>
      </c>
      <c r="F1822" s="2">
        <v>2092.85</v>
      </c>
    </row>
    <row r="1823" spans="3:6" x14ac:dyDescent="0.25">
      <c r="C1823" s="2" t="s">
        <v>6974</v>
      </c>
      <c r="D1823" s="2" t="s">
        <v>214</v>
      </c>
      <c r="E1823" s="2">
        <v>100</v>
      </c>
      <c r="F1823" s="2">
        <v>1972.09</v>
      </c>
    </row>
    <row r="1824" spans="3:6" x14ac:dyDescent="0.25">
      <c r="C1824" s="2" t="s">
        <v>6975</v>
      </c>
      <c r="D1824" s="2" t="s">
        <v>214</v>
      </c>
      <c r="E1824" s="2">
        <v>56</v>
      </c>
      <c r="F1824" s="2">
        <v>1109.02</v>
      </c>
    </row>
    <row r="1825" spans="3:6" x14ac:dyDescent="0.25">
      <c r="C1825" s="2" t="s">
        <v>6976</v>
      </c>
      <c r="D1825" s="2" t="s">
        <v>214</v>
      </c>
      <c r="E1825" s="2">
        <v>100</v>
      </c>
      <c r="F1825" s="2">
        <v>2054.06</v>
      </c>
    </row>
    <row r="1826" spans="3:6" x14ac:dyDescent="0.25">
      <c r="C1826" s="2" t="s">
        <v>6977</v>
      </c>
      <c r="D1826" s="2" t="s">
        <v>214</v>
      </c>
      <c r="E1826" s="2">
        <v>56</v>
      </c>
      <c r="F1826" s="2">
        <v>1159.49</v>
      </c>
    </row>
    <row r="1827" spans="3:6" x14ac:dyDescent="0.25">
      <c r="C1827" s="2" t="s">
        <v>6978</v>
      </c>
      <c r="D1827" s="2" t="s">
        <v>214</v>
      </c>
      <c r="E1827" s="2">
        <v>100</v>
      </c>
      <c r="F1827" s="2">
        <v>2043.84</v>
      </c>
    </row>
    <row r="1828" spans="3:6" x14ac:dyDescent="0.25">
      <c r="C1828" s="2" t="s">
        <v>6979</v>
      </c>
      <c r="D1828" s="2" t="s">
        <v>214</v>
      </c>
      <c r="E1828" s="2">
        <v>56</v>
      </c>
      <c r="F1828" s="2">
        <v>1134.39</v>
      </c>
    </row>
    <row r="1829" spans="3:6" x14ac:dyDescent="0.25">
      <c r="C1829" s="2" t="s">
        <v>6980</v>
      </c>
      <c r="D1829" s="2" t="s">
        <v>214</v>
      </c>
      <c r="E1829" s="2">
        <v>100</v>
      </c>
      <c r="F1829" s="2">
        <v>1967.65</v>
      </c>
    </row>
    <row r="1830" spans="3:6" x14ac:dyDescent="0.25">
      <c r="C1830" s="2" t="s">
        <v>6981</v>
      </c>
      <c r="D1830" s="2" t="s">
        <v>214</v>
      </c>
      <c r="E1830" s="2">
        <v>56</v>
      </c>
      <c r="F1830" s="2">
        <v>1113.19</v>
      </c>
    </row>
    <row r="1831" spans="3:6" x14ac:dyDescent="0.25">
      <c r="C1831" s="2" t="s">
        <v>6982</v>
      </c>
      <c r="D1831" s="2" t="s">
        <v>216</v>
      </c>
      <c r="E1831" s="2">
        <v>95</v>
      </c>
      <c r="F1831" s="2">
        <v>1973.33</v>
      </c>
    </row>
    <row r="1832" spans="3:6" x14ac:dyDescent="0.25">
      <c r="C1832" s="2" t="s">
        <v>6983</v>
      </c>
      <c r="D1832" s="2" t="s">
        <v>216</v>
      </c>
      <c r="E1832" s="2">
        <v>156</v>
      </c>
      <c r="F1832" s="2">
        <v>3079.22</v>
      </c>
    </row>
    <row r="1833" spans="3:6" x14ac:dyDescent="0.25">
      <c r="C1833" s="2" t="s">
        <v>6984</v>
      </c>
      <c r="D1833" s="2" t="s">
        <v>216</v>
      </c>
      <c r="E1833" s="2">
        <v>134</v>
      </c>
      <c r="F1833" s="2">
        <v>2681.34</v>
      </c>
    </row>
    <row r="1834" spans="3:6" x14ac:dyDescent="0.25">
      <c r="C1834" s="2" t="s">
        <v>6985</v>
      </c>
      <c r="D1834" s="2" t="s">
        <v>216</v>
      </c>
      <c r="E1834" s="2">
        <v>134</v>
      </c>
      <c r="F1834" s="2">
        <v>2754.619</v>
      </c>
    </row>
    <row r="1835" spans="3:6" x14ac:dyDescent="0.25">
      <c r="C1835" s="2" t="s">
        <v>6986</v>
      </c>
      <c r="D1835" s="2" t="s">
        <v>216</v>
      </c>
      <c r="E1835" s="2">
        <v>134</v>
      </c>
      <c r="F1835" s="2">
        <v>2591.77</v>
      </c>
    </row>
    <row r="1836" spans="3:6" x14ac:dyDescent="0.25">
      <c r="C1836" s="2" t="s">
        <v>6987</v>
      </c>
      <c r="D1836" s="2" t="s">
        <v>216</v>
      </c>
      <c r="E1836" s="2">
        <v>134</v>
      </c>
      <c r="F1836" s="2">
        <v>2707.44</v>
      </c>
    </row>
    <row r="1837" spans="3:6" x14ac:dyDescent="0.25">
      <c r="C1837" s="2" t="s">
        <v>6988</v>
      </c>
      <c r="D1837" s="2" t="s">
        <v>216</v>
      </c>
      <c r="E1837" s="2">
        <v>134</v>
      </c>
      <c r="F1837" s="2">
        <v>2717.728</v>
      </c>
    </row>
    <row r="1838" spans="3:6" x14ac:dyDescent="0.25">
      <c r="C1838" s="2" t="s">
        <v>6989</v>
      </c>
      <c r="D1838" s="2" t="s">
        <v>216</v>
      </c>
      <c r="E1838" s="2">
        <v>134</v>
      </c>
      <c r="F1838" s="2">
        <v>2708.709</v>
      </c>
    </row>
    <row r="1839" spans="3:6" x14ac:dyDescent="0.25">
      <c r="C1839" s="2" t="s">
        <v>6990</v>
      </c>
      <c r="D1839" s="2" t="s">
        <v>216</v>
      </c>
      <c r="E1839" s="2">
        <v>42</v>
      </c>
      <c r="F1839" s="2">
        <v>794.64</v>
      </c>
    </row>
    <row r="1840" spans="3:6" x14ac:dyDescent="0.25">
      <c r="C1840" s="2" t="s">
        <v>6991</v>
      </c>
      <c r="D1840" s="2" t="s">
        <v>236</v>
      </c>
      <c r="E1840" s="2">
        <v>60</v>
      </c>
      <c r="F1840" s="2">
        <v>1116.95</v>
      </c>
    </row>
    <row r="1841" spans="3:6" x14ac:dyDescent="0.25">
      <c r="C1841" s="2" t="s">
        <v>6992</v>
      </c>
      <c r="D1841" s="2" t="s">
        <v>236</v>
      </c>
      <c r="E1841" s="2">
        <v>45</v>
      </c>
      <c r="F1841" s="2">
        <v>823.879</v>
      </c>
    </row>
    <row r="1842" spans="3:6" x14ac:dyDescent="0.25">
      <c r="C1842" s="2" t="s">
        <v>6993</v>
      </c>
      <c r="D1842" s="2" t="s">
        <v>236</v>
      </c>
      <c r="E1842" s="2">
        <v>60</v>
      </c>
      <c r="F1842" s="2">
        <v>1039.509</v>
      </c>
    </row>
    <row r="1843" spans="3:6" x14ac:dyDescent="0.25">
      <c r="C1843" s="2" t="s">
        <v>6994</v>
      </c>
      <c r="D1843" s="2" t="s">
        <v>236</v>
      </c>
      <c r="E1843" s="2">
        <v>45</v>
      </c>
      <c r="F1843" s="2">
        <v>873.02</v>
      </c>
    </row>
    <row r="1844" spans="3:6" x14ac:dyDescent="0.25">
      <c r="C1844" s="2" t="s">
        <v>6995</v>
      </c>
      <c r="D1844" s="2" t="s">
        <v>236</v>
      </c>
      <c r="E1844" s="2">
        <v>80</v>
      </c>
      <c r="F1844" s="2">
        <v>1547.84</v>
      </c>
    </row>
    <row r="1845" spans="3:4" x14ac:dyDescent="0.25">
      <c r="C1845" s="2" t="s">
        <v>6996</v>
      </c>
      <c r="D1845" s="2" t="s">
        <v>236</v>
      </c>
    </row>
    <row r="1846" spans="3:6" x14ac:dyDescent="0.25">
      <c r="C1846" s="2" t="s">
        <v>6997</v>
      </c>
      <c r="D1846" s="2" t="s">
        <v>236</v>
      </c>
      <c r="E1846" s="2">
        <v>20</v>
      </c>
      <c r="F1846" s="2">
        <v>414.07</v>
      </c>
    </row>
    <row r="1847" spans="3:6" x14ac:dyDescent="0.25">
      <c r="C1847" s="2" t="s">
        <v>6998</v>
      </c>
      <c r="D1847" s="2" t="s">
        <v>236</v>
      </c>
      <c r="E1847" s="2">
        <v>80</v>
      </c>
      <c r="F1847" s="2">
        <v>1607.739</v>
      </c>
    </row>
    <row r="1848" spans="3:6" x14ac:dyDescent="0.25">
      <c r="C1848" s="2" t="s">
        <v>6999</v>
      </c>
      <c r="D1848" s="2" t="s">
        <v>236</v>
      </c>
      <c r="E1848" s="2">
        <v>25</v>
      </c>
      <c r="F1848" s="2">
        <v>506.04</v>
      </c>
    </row>
    <row r="1849" spans="3:6" x14ac:dyDescent="0.25">
      <c r="C1849" s="2" t="s">
        <v>7000</v>
      </c>
      <c r="D1849" s="2" t="s">
        <v>347</v>
      </c>
      <c r="E1849" s="2">
        <v>65</v>
      </c>
      <c r="F1849" s="2">
        <v>1208.54</v>
      </c>
    </row>
    <row r="1850" spans="3:6" x14ac:dyDescent="0.25">
      <c r="C1850" s="2" t="s">
        <v>7001</v>
      </c>
      <c r="D1850" s="2" t="s">
        <v>347</v>
      </c>
      <c r="E1850" s="2">
        <v>91</v>
      </c>
      <c r="F1850" s="2">
        <v>1788.31</v>
      </c>
    </row>
    <row r="1851" spans="3:6" x14ac:dyDescent="0.25">
      <c r="C1851" s="2" t="s">
        <v>7002</v>
      </c>
      <c r="D1851" s="2" t="s">
        <v>347</v>
      </c>
      <c r="E1851" s="2">
        <v>100</v>
      </c>
      <c r="F1851" s="2">
        <v>1852.36</v>
      </c>
    </row>
    <row r="1852" spans="3:6" x14ac:dyDescent="0.25">
      <c r="C1852" s="2" t="s">
        <v>7003</v>
      </c>
      <c r="D1852" s="2" t="s">
        <v>347</v>
      </c>
      <c r="E1852" s="2">
        <v>56</v>
      </c>
      <c r="F1852" s="2">
        <v>1079.56</v>
      </c>
    </row>
    <row r="1853" spans="3:6" x14ac:dyDescent="0.25">
      <c r="C1853" s="2" t="s">
        <v>7004</v>
      </c>
      <c r="D1853" s="2" t="s">
        <v>204</v>
      </c>
      <c r="E1853" s="2">
        <v>163</v>
      </c>
      <c r="F1853" s="2">
        <v>3275.5</v>
      </c>
    </row>
    <row r="1855" spans="2:7" x14ac:dyDescent="0.25">
      <c r="B1855" s="2" t="s">
        <v>2077</v>
      </c>
      <c r="C1855" s="2" t="s">
        <v>7005</v>
      </c>
      <c r="D1855" s="2" t="s">
        <v>216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7006</v>
      </c>
      <c r="D1856" s="2" t="s">
        <v>216</v>
      </c>
      <c r="E1856" s="2">
        <v>136</v>
      </c>
      <c r="F1856" s="2">
        <v>2410.278</v>
      </c>
    </row>
    <row r="1857" spans="3:6" x14ac:dyDescent="0.25">
      <c r="C1857" s="2" t="s">
        <v>7007</v>
      </c>
      <c r="D1857" s="2" t="s">
        <v>297</v>
      </c>
      <c r="E1857" s="2">
        <v>71</v>
      </c>
      <c r="F1857" s="2">
        <v>1350.2</v>
      </c>
    </row>
    <row r="1858" spans="3:6" x14ac:dyDescent="0.25">
      <c r="C1858" s="2" t="s">
        <v>7008</v>
      </c>
      <c r="D1858" s="2" t="s">
        <v>297</v>
      </c>
      <c r="E1858" s="2">
        <v>35</v>
      </c>
      <c r="F1858" s="2">
        <v>512.49</v>
      </c>
    </row>
    <row r="1859" spans="3:6" x14ac:dyDescent="0.25">
      <c r="C1859" s="2" t="s">
        <v>7009</v>
      </c>
      <c r="D1859" s="2" t="s">
        <v>297</v>
      </c>
      <c r="E1859" s="2">
        <v>105</v>
      </c>
      <c r="F1859" s="2">
        <v>1933.04</v>
      </c>
    </row>
    <row r="1860" spans="3:6" x14ac:dyDescent="0.25">
      <c r="C1860" s="2" t="s">
        <v>7010</v>
      </c>
      <c r="D1860" s="2" t="s">
        <v>216</v>
      </c>
      <c r="E1860" s="2">
        <v>156</v>
      </c>
      <c r="F1860" s="2">
        <v>2661.58</v>
      </c>
    </row>
    <row r="1861" spans="3:6" x14ac:dyDescent="0.25">
      <c r="C1861" s="2" t="s">
        <v>7011</v>
      </c>
      <c r="D1861" s="2" t="s">
        <v>216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32</v>
      </c>
      <c r="C1863" s="2" t="s">
        <v>7012</v>
      </c>
      <c r="D1863" s="2" t="s">
        <v>20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7013</v>
      </c>
      <c r="D1864" s="2" t="s">
        <v>20</v>
      </c>
      <c r="E1864" s="2">
        <v>105</v>
      </c>
      <c r="F1864" s="2">
        <v>2000.06</v>
      </c>
    </row>
    <row r="1865" spans="3:6" x14ac:dyDescent="0.25">
      <c r="C1865" s="2" t="s">
        <v>7014</v>
      </c>
      <c r="D1865" s="2" t="s">
        <v>20</v>
      </c>
      <c r="E1865" s="2">
        <v>152</v>
      </c>
      <c r="F1865" s="2">
        <v>2970.339</v>
      </c>
    </row>
    <row r="1866" spans="3:6" x14ac:dyDescent="0.25">
      <c r="C1866" s="2" t="s">
        <v>7015</v>
      </c>
      <c r="D1866" s="2" t="s">
        <v>20</v>
      </c>
      <c r="E1866" s="2">
        <v>156</v>
      </c>
      <c r="F1866" s="2">
        <v>3004.08</v>
      </c>
    </row>
    <row r="1867" spans="3:6" x14ac:dyDescent="0.25">
      <c r="C1867" s="2" t="s">
        <v>7016</v>
      </c>
      <c r="D1867" s="2" t="s">
        <v>20</v>
      </c>
      <c r="E1867" s="2">
        <v>210</v>
      </c>
      <c r="F1867" s="2">
        <v>4125.488</v>
      </c>
    </row>
    <row r="1868" spans="3:6" x14ac:dyDescent="0.25">
      <c r="C1868" s="2" t="s">
        <v>7017</v>
      </c>
      <c r="D1868" s="2" t="s">
        <v>20</v>
      </c>
      <c r="E1868" s="2">
        <v>156</v>
      </c>
      <c r="F1868" s="2">
        <v>3071.74</v>
      </c>
    </row>
    <row r="1869" spans="3:6" x14ac:dyDescent="0.25">
      <c r="C1869" s="2" t="s">
        <v>7018</v>
      </c>
      <c r="D1869" s="2" t="s">
        <v>20</v>
      </c>
      <c r="E1869" s="2">
        <v>155</v>
      </c>
      <c r="F1869" s="2">
        <v>3047.67</v>
      </c>
    </row>
    <row r="1870" spans="3:6" x14ac:dyDescent="0.25">
      <c r="C1870" s="2" t="s">
        <v>7019</v>
      </c>
      <c r="D1870" s="2" t="s">
        <v>20</v>
      </c>
      <c r="E1870" s="2">
        <v>154</v>
      </c>
      <c r="F1870" s="2">
        <v>3250.48</v>
      </c>
    </row>
    <row r="1871" spans="3:6" x14ac:dyDescent="0.25">
      <c r="C1871" s="2" t="s">
        <v>7020</v>
      </c>
      <c r="D1871" s="2" t="s">
        <v>20</v>
      </c>
      <c r="E1871" s="2">
        <v>70</v>
      </c>
      <c r="F1871" s="2">
        <v>1386.49</v>
      </c>
    </row>
    <row r="1872" spans="3:6" x14ac:dyDescent="0.25">
      <c r="C1872" s="2" t="s">
        <v>7021</v>
      </c>
      <c r="D1872" s="2" t="s">
        <v>20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7022</v>
      </c>
      <c r="C1874" s="2" t="s">
        <v>7023</v>
      </c>
      <c r="D1874" s="2" t="s">
        <v>20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7024</v>
      </c>
      <c r="D1875" s="2" t="s">
        <v>20</v>
      </c>
      <c r="E1875" s="2">
        <v>156</v>
      </c>
      <c r="F1875" s="2">
        <v>3093.05</v>
      </c>
    </row>
    <row r="1876" spans="3:6" x14ac:dyDescent="0.25">
      <c r="C1876" s="2" t="s">
        <v>7025</v>
      </c>
      <c r="D1876" s="2" t="s">
        <v>20</v>
      </c>
      <c r="E1876" s="2">
        <v>156</v>
      </c>
      <c r="F1876" s="2">
        <v>3047.26</v>
      </c>
    </row>
    <row r="1877" spans="3:6" x14ac:dyDescent="0.25">
      <c r="C1877" s="2" t="s">
        <v>7026</v>
      </c>
      <c r="D1877" s="2" t="s">
        <v>20</v>
      </c>
      <c r="E1877" s="2">
        <v>105</v>
      </c>
      <c r="F1877" s="2">
        <v>1987.258</v>
      </c>
    </row>
    <row r="1878" spans="3:6" x14ac:dyDescent="0.25">
      <c r="C1878" s="2" t="s">
        <v>7027</v>
      </c>
      <c r="D1878" s="2" t="s">
        <v>20</v>
      </c>
      <c r="E1878" s="2">
        <v>312</v>
      </c>
      <c r="F1878" s="2">
        <v>6062.227</v>
      </c>
    </row>
    <row r="1879" spans="3:6" x14ac:dyDescent="0.25">
      <c r="C1879" s="2" t="s">
        <v>7028</v>
      </c>
      <c r="D1879" s="2" t="s">
        <v>20</v>
      </c>
      <c r="E1879" s="2">
        <v>261</v>
      </c>
      <c r="F1879" s="2">
        <v>5349.999</v>
      </c>
    </row>
    <row r="1880" spans="3:6" x14ac:dyDescent="0.25">
      <c r="C1880" s="2" t="s">
        <v>7029</v>
      </c>
      <c r="D1880" s="2" t="s">
        <v>20</v>
      </c>
      <c r="E1880" s="2">
        <v>105</v>
      </c>
      <c r="F1880" s="2">
        <v>2170.48</v>
      </c>
    </row>
    <row r="1881" spans="3:6" x14ac:dyDescent="0.25">
      <c r="C1881" s="2" t="s">
        <v>7030</v>
      </c>
      <c r="D1881" s="2" t="s">
        <v>20</v>
      </c>
      <c r="E1881" s="2">
        <v>105</v>
      </c>
      <c r="F1881" s="2">
        <v>2113.849</v>
      </c>
    </row>
    <row r="1882" spans="3:6" x14ac:dyDescent="0.25">
      <c r="C1882" s="2" t="s">
        <v>7031</v>
      </c>
      <c r="D1882" s="2" t="s">
        <v>20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183</v>
      </c>
      <c r="C1884" s="2" t="s">
        <v>7032</v>
      </c>
      <c r="D1884" s="2" t="s">
        <v>122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7033</v>
      </c>
      <c r="D1885" s="2" t="s">
        <v>122</v>
      </c>
      <c r="E1885" s="2">
        <v>17</v>
      </c>
      <c r="F1885" s="2">
        <v>327.43</v>
      </c>
    </row>
    <row r="1886" spans="3:6" x14ac:dyDescent="0.25">
      <c r="C1886" s="2" t="s">
        <v>7034</v>
      </c>
      <c r="D1886" s="2" t="s">
        <v>122</v>
      </c>
      <c r="E1886" s="2">
        <v>114</v>
      </c>
      <c r="F1886" s="2">
        <v>2275.577</v>
      </c>
    </row>
    <row r="1887" spans="3:6" x14ac:dyDescent="0.25">
      <c r="C1887" s="2" t="s">
        <v>7035</v>
      </c>
      <c r="D1887" s="2" t="s">
        <v>122</v>
      </c>
      <c r="E1887" s="2">
        <v>109</v>
      </c>
      <c r="F1887" s="2">
        <v>2246.43</v>
      </c>
    </row>
    <row r="1888" spans="3:6" x14ac:dyDescent="0.25">
      <c r="C1888" s="2" t="s">
        <v>7036</v>
      </c>
      <c r="D1888" s="2" t="s">
        <v>122</v>
      </c>
      <c r="E1888" s="2">
        <v>70</v>
      </c>
      <c r="F1888" s="2">
        <v>1405.06</v>
      </c>
    </row>
    <row r="1889" spans="3:6" x14ac:dyDescent="0.25">
      <c r="C1889" s="2" t="s">
        <v>7037</v>
      </c>
      <c r="D1889" s="2" t="s">
        <v>122</v>
      </c>
      <c r="E1889" s="2">
        <v>10</v>
      </c>
      <c r="F1889" s="2">
        <v>208.84</v>
      </c>
    </row>
    <row r="1890" spans="3:6" x14ac:dyDescent="0.25">
      <c r="C1890" s="2" t="s">
        <v>7038</v>
      </c>
      <c r="D1890" s="2" t="s">
        <v>122</v>
      </c>
      <c r="E1890" s="2">
        <v>141</v>
      </c>
      <c r="F1890" s="2">
        <v>2806.357</v>
      </c>
    </row>
    <row r="1891" spans="3:6" x14ac:dyDescent="0.25">
      <c r="C1891" s="2" t="s">
        <v>7039</v>
      </c>
      <c r="D1891" s="2" t="s">
        <v>122</v>
      </c>
      <c r="E1891" s="2">
        <v>141</v>
      </c>
      <c r="F1891" s="2">
        <v>2926.76</v>
      </c>
    </row>
    <row r="1892" spans="3:6" x14ac:dyDescent="0.25">
      <c r="C1892" s="2" t="s">
        <v>7040</v>
      </c>
      <c r="D1892" s="2" t="s">
        <v>122</v>
      </c>
      <c r="E1892" s="2">
        <v>141</v>
      </c>
      <c r="F1892" s="2">
        <v>2833.69</v>
      </c>
    </row>
    <row r="1893" spans="3:6" x14ac:dyDescent="0.25">
      <c r="C1893" s="2" t="s">
        <v>7041</v>
      </c>
      <c r="D1893" s="2" t="s">
        <v>122</v>
      </c>
      <c r="E1893" s="2">
        <v>60</v>
      </c>
      <c r="F1893" s="2">
        <v>272.028</v>
      </c>
    </row>
    <row r="1894" spans="3:6" x14ac:dyDescent="0.25">
      <c r="C1894" s="2" t="s">
        <v>7042</v>
      </c>
      <c r="D1894" s="2" t="s">
        <v>122</v>
      </c>
      <c r="E1894" s="2">
        <v>12</v>
      </c>
      <c r="F1894" s="2">
        <v>75.46</v>
      </c>
    </row>
    <row r="1895" spans="3:6" x14ac:dyDescent="0.25">
      <c r="C1895" s="2" t="s">
        <v>7043</v>
      </c>
      <c r="D1895" s="2" t="s">
        <v>122</v>
      </c>
      <c r="E1895" s="2">
        <v>63</v>
      </c>
      <c r="F1895" s="2">
        <v>1312.64</v>
      </c>
    </row>
    <row r="1896" spans="3:6" x14ac:dyDescent="0.25">
      <c r="C1896" s="2" t="s">
        <v>7044</v>
      </c>
      <c r="D1896" s="2" t="s">
        <v>122</v>
      </c>
      <c r="E1896" s="2">
        <v>121</v>
      </c>
      <c r="F1896" s="2">
        <v>2374.12</v>
      </c>
    </row>
    <row r="1897" spans="3:6" x14ac:dyDescent="0.25">
      <c r="C1897" s="2" t="s">
        <v>7045</v>
      </c>
      <c r="D1897" s="2" t="s">
        <v>122</v>
      </c>
      <c r="E1897" s="2">
        <v>141</v>
      </c>
      <c r="F1897" s="2">
        <v>2880.999</v>
      </c>
    </row>
    <row r="1898" spans="3:6" x14ac:dyDescent="0.25">
      <c r="C1898" s="2" t="s">
        <v>7046</v>
      </c>
      <c r="D1898" s="2" t="s">
        <v>122</v>
      </c>
      <c r="E1898" s="2">
        <v>141</v>
      </c>
      <c r="F1898" s="2">
        <v>2915.07</v>
      </c>
    </row>
    <row r="1899" spans="3:6" x14ac:dyDescent="0.25">
      <c r="C1899" s="2" t="s">
        <v>7047</v>
      </c>
      <c r="D1899" s="2" t="s">
        <v>122</v>
      </c>
      <c r="E1899" s="2">
        <v>141</v>
      </c>
      <c r="F1899" s="2">
        <v>2830.729</v>
      </c>
    </row>
    <row r="1900" spans="3:6" x14ac:dyDescent="0.25">
      <c r="C1900" s="2" t="s">
        <v>7048</v>
      </c>
      <c r="D1900" s="2" t="s">
        <v>122</v>
      </c>
      <c r="E1900" s="2">
        <v>142</v>
      </c>
      <c r="F1900" s="2">
        <v>2735.82</v>
      </c>
    </row>
    <row r="1901" spans="3:6" x14ac:dyDescent="0.25">
      <c r="C1901" s="2" t="s">
        <v>7049</v>
      </c>
      <c r="D1901" s="2" t="s">
        <v>122</v>
      </c>
      <c r="E1901" s="2">
        <v>142</v>
      </c>
      <c r="F1901" s="2">
        <v>2739.458</v>
      </c>
    </row>
    <row r="1902" spans="3:6" x14ac:dyDescent="0.25">
      <c r="C1902" s="2" t="s">
        <v>7050</v>
      </c>
      <c r="D1902" s="2" t="s">
        <v>122</v>
      </c>
      <c r="E1902" s="2">
        <v>117</v>
      </c>
      <c r="F1902" s="2">
        <v>1529.684</v>
      </c>
    </row>
    <row r="1903" spans="3:6" x14ac:dyDescent="0.25">
      <c r="C1903" s="2" t="s">
        <v>7051</v>
      </c>
      <c r="D1903" s="2" t="s">
        <v>122</v>
      </c>
      <c r="E1903" s="2">
        <v>41</v>
      </c>
      <c r="F1903" s="2">
        <v>926.129</v>
      </c>
    </row>
    <row r="1904" spans="3:6" x14ac:dyDescent="0.25">
      <c r="C1904" s="2" t="s">
        <v>7052</v>
      </c>
      <c r="D1904" s="2" t="s">
        <v>122</v>
      </c>
      <c r="E1904" s="2">
        <v>78</v>
      </c>
      <c r="F1904" s="2">
        <v>1576.56</v>
      </c>
    </row>
    <row r="1905" spans="3:6" x14ac:dyDescent="0.25">
      <c r="C1905" s="2" t="s">
        <v>7053</v>
      </c>
      <c r="D1905" s="2" t="s">
        <v>122</v>
      </c>
      <c r="E1905" s="2">
        <v>60</v>
      </c>
      <c r="F1905" s="2">
        <v>250.018</v>
      </c>
    </row>
    <row r="1906" spans="3:6" x14ac:dyDescent="0.25">
      <c r="C1906" s="2" t="s">
        <v>7054</v>
      </c>
      <c r="D1906" s="2" t="s">
        <v>122</v>
      </c>
      <c r="E1906" s="2">
        <v>30</v>
      </c>
      <c r="F1906" s="2">
        <v>143.16</v>
      </c>
    </row>
    <row r="1907" spans="3:6" x14ac:dyDescent="0.25">
      <c r="C1907" s="2" t="s">
        <v>7055</v>
      </c>
      <c r="D1907" s="2" t="s">
        <v>122</v>
      </c>
      <c r="E1907" s="2">
        <v>62</v>
      </c>
      <c r="F1907" s="2">
        <v>1302.25</v>
      </c>
    </row>
    <row r="1908" spans="3:6" x14ac:dyDescent="0.25">
      <c r="C1908" s="2" t="s">
        <v>7056</v>
      </c>
      <c r="D1908" s="2" t="s">
        <v>122</v>
      </c>
      <c r="E1908" s="2">
        <v>36</v>
      </c>
      <c r="F1908" s="2">
        <v>752.45</v>
      </c>
    </row>
    <row r="1909" spans="3:6" x14ac:dyDescent="0.25">
      <c r="C1909" s="2" t="s">
        <v>7057</v>
      </c>
      <c r="D1909" s="2" t="s">
        <v>122</v>
      </c>
      <c r="E1909" s="2">
        <v>30</v>
      </c>
      <c r="F1909" s="2">
        <v>592.78</v>
      </c>
    </row>
    <row r="1910" spans="3:6" x14ac:dyDescent="0.25">
      <c r="C1910" s="2" t="s">
        <v>7058</v>
      </c>
      <c r="D1910" s="2" t="s">
        <v>122</v>
      </c>
      <c r="E1910" s="2">
        <v>36</v>
      </c>
      <c r="F1910" s="2">
        <v>756.35</v>
      </c>
    </row>
    <row r="1911" spans="3:6" x14ac:dyDescent="0.25">
      <c r="C1911" s="2" t="s">
        <v>7059</v>
      </c>
      <c r="D1911" s="2" t="s">
        <v>122</v>
      </c>
      <c r="E1911" s="2">
        <v>27</v>
      </c>
      <c r="F1911" s="2">
        <v>534.72</v>
      </c>
    </row>
    <row r="1912" spans="3:6" x14ac:dyDescent="0.25">
      <c r="C1912" s="2" t="s">
        <v>7060</v>
      </c>
      <c r="D1912" s="2" t="s">
        <v>122</v>
      </c>
      <c r="E1912" s="2">
        <v>13</v>
      </c>
      <c r="F1912" s="2">
        <v>261.23</v>
      </c>
    </row>
    <row r="1913" spans="3:6" x14ac:dyDescent="0.25">
      <c r="C1913" s="2" t="s">
        <v>7061</v>
      </c>
      <c r="D1913" s="2" t="s">
        <v>122</v>
      </c>
      <c r="E1913" s="2">
        <v>55</v>
      </c>
      <c r="F1913" s="2">
        <v>1079.45</v>
      </c>
    </row>
    <row r="1914" spans="3:6" x14ac:dyDescent="0.25">
      <c r="C1914" s="2" t="s">
        <v>7062</v>
      </c>
      <c r="D1914" s="2" t="s">
        <v>122</v>
      </c>
      <c r="E1914" s="2">
        <v>47</v>
      </c>
      <c r="F1914" s="2">
        <v>962.85</v>
      </c>
    </row>
    <row r="1915" spans="3:6" x14ac:dyDescent="0.25">
      <c r="C1915" s="2" t="s">
        <v>7063</v>
      </c>
      <c r="D1915" s="2" t="s">
        <v>122</v>
      </c>
      <c r="E1915" s="2">
        <v>134</v>
      </c>
      <c r="F1915" s="2">
        <v>2825.239</v>
      </c>
    </row>
    <row r="1916" spans="3:6" x14ac:dyDescent="0.25">
      <c r="C1916" s="2" t="s">
        <v>7064</v>
      </c>
      <c r="D1916" s="2" t="s">
        <v>122</v>
      </c>
      <c r="E1916" s="2">
        <v>102</v>
      </c>
      <c r="F1916" s="2">
        <v>1975.76</v>
      </c>
    </row>
    <row r="1917" spans="3:6" x14ac:dyDescent="0.25">
      <c r="C1917" s="2" t="s">
        <v>7065</v>
      </c>
      <c r="D1917" s="2" t="s">
        <v>122</v>
      </c>
      <c r="E1917" s="2">
        <v>41</v>
      </c>
      <c r="F1917" s="2">
        <v>823.23</v>
      </c>
    </row>
    <row r="1918" spans="3:6" x14ac:dyDescent="0.25">
      <c r="C1918" s="2" t="s">
        <v>7066</v>
      </c>
      <c r="D1918" s="2" t="s">
        <v>122</v>
      </c>
      <c r="E1918" s="2">
        <v>61</v>
      </c>
      <c r="F1918" s="2">
        <v>1273.86</v>
      </c>
    </row>
    <row r="1919" spans="3:6" x14ac:dyDescent="0.25">
      <c r="C1919" s="2" t="s">
        <v>7067</v>
      </c>
      <c r="D1919" s="2" t="s">
        <v>122</v>
      </c>
      <c r="E1919" s="2">
        <v>90</v>
      </c>
      <c r="F1919" s="2">
        <v>1726.74</v>
      </c>
    </row>
    <row r="1920" spans="3:6" x14ac:dyDescent="0.25">
      <c r="C1920" s="2" t="s">
        <v>7068</v>
      </c>
      <c r="D1920" s="2" t="s">
        <v>122</v>
      </c>
      <c r="E1920" s="2">
        <v>51</v>
      </c>
      <c r="F1920" s="2">
        <v>1032.56</v>
      </c>
    </row>
    <row r="1921" spans="3:6" x14ac:dyDescent="0.25">
      <c r="C1921" s="2" t="s">
        <v>7069</v>
      </c>
      <c r="D1921" s="2" t="s">
        <v>122</v>
      </c>
      <c r="E1921" s="2">
        <v>53</v>
      </c>
      <c r="F1921" s="2">
        <v>1087.38</v>
      </c>
    </row>
    <row r="1922" spans="3:6" x14ac:dyDescent="0.25">
      <c r="C1922" s="2" t="s">
        <v>7070</v>
      </c>
      <c r="D1922" s="2" t="s">
        <v>122</v>
      </c>
      <c r="E1922" s="2">
        <v>17</v>
      </c>
      <c r="F1922" s="2">
        <v>316.79</v>
      </c>
    </row>
    <row r="1923" spans="3:6" x14ac:dyDescent="0.25">
      <c r="C1923" s="2" t="s">
        <v>7071</v>
      </c>
      <c r="D1923" s="2" t="s">
        <v>122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398</v>
      </c>
      <c r="C1925" s="2" t="s">
        <v>7072</v>
      </c>
      <c r="D1925" s="2" t="s">
        <v>12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7073</v>
      </c>
      <c r="D1926" s="2" t="s">
        <v>12</v>
      </c>
      <c r="E1926" s="2">
        <v>156</v>
      </c>
      <c r="F1926" s="2">
        <v>3140.96</v>
      </c>
    </row>
    <row r="1927" spans="3:6" x14ac:dyDescent="0.25">
      <c r="C1927" s="2" t="s">
        <v>7074</v>
      </c>
      <c r="D1927" s="2" t="s">
        <v>12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10</v>
      </c>
      <c r="C1929" s="2" t="s">
        <v>7075</v>
      </c>
      <c r="D1929" s="2" t="s">
        <v>12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7076</v>
      </c>
      <c r="D1930" s="2" t="s">
        <v>12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7077</v>
      </c>
      <c r="C1932" s="2" t="s">
        <v>7078</v>
      </c>
      <c r="D1932" s="2" t="s">
        <v>204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7079</v>
      </c>
      <c r="D1933" s="2" t="s">
        <v>204</v>
      </c>
      <c r="E1933" s="2">
        <v>105</v>
      </c>
      <c r="F1933" s="2">
        <v>2120.21</v>
      </c>
    </row>
    <row r="1934" spans="3:6" x14ac:dyDescent="0.25">
      <c r="C1934" s="2" t="s">
        <v>7080</v>
      </c>
      <c r="D1934" s="2" t="s">
        <v>204</v>
      </c>
      <c r="E1934" s="2">
        <v>105</v>
      </c>
      <c r="F1934" s="2">
        <v>2093.6</v>
      </c>
    </row>
    <row r="1935" spans="3:6" x14ac:dyDescent="0.25">
      <c r="C1935" s="2" t="s">
        <v>7081</v>
      </c>
      <c r="D1935" s="2" t="s">
        <v>216</v>
      </c>
      <c r="E1935" s="2">
        <v>30</v>
      </c>
      <c r="F1935" s="2">
        <v>594.18</v>
      </c>
    </row>
    <row r="1936" spans="3:6" x14ac:dyDescent="0.25">
      <c r="C1936" s="2" t="s">
        <v>7082</v>
      </c>
      <c r="D1936" s="2" t="s">
        <v>204</v>
      </c>
      <c r="E1936" s="2">
        <v>50</v>
      </c>
      <c r="F1936" s="2">
        <v>1015.789</v>
      </c>
    </row>
    <row r="1937" spans="3:6" x14ac:dyDescent="0.25">
      <c r="C1937" s="2" t="s">
        <v>7083</v>
      </c>
      <c r="D1937" s="2" t="s">
        <v>204</v>
      </c>
      <c r="E1937" s="2">
        <v>55</v>
      </c>
      <c r="F1937" s="2">
        <v>1117.31</v>
      </c>
    </row>
    <row r="1938" spans="3:6" x14ac:dyDescent="0.25">
      <c r="C1938" s="2" t="s">
        <v>7084</v>
      </c>
      <c r="D1938" s="2" t="s">
        <v>204</v>
      </c>
      <c r="E1938" s="2">
        <v>105</v>
      </c>
      <c r="F1938" s="2">
        <v>2139.41</v>
      </c>
    </row>
    <row r="1939" spans="3:6" x14ac:dyDescent="0.25">
      <c r="C1939" s="2" t="s">
        <v>7085</v>
      </c>
      <c r="D1939" s="2" t="s">
        <v>204</v>
      </c>
      <c r="E1939" s="2">
        <v>105</v>
      </c>
      <c r="F1939" s="2">
        <v>1960.258</v>
      </c>
    </row>
    <row r="1940" spans="3:6" x14ac:dyDescent="0.25">
      <c r="C1940" s="2" t="s">
        <v>7086</v>
      </c>
      <c r="D1940" s="2" t="s">
        <v>216</v>
      </c>
      <c r="E1940" s="2">
        <v>134</v>
      </c>
      <c r="F1940" s="2">
        <v>2637.82</v>
      </c>
    </row>
    <row r="1941" spans="3:6" x14ac:dyDescent="0.25">
      <c r="C1941" s="2" t="s">
        <v>7087</v>
      </c>
      <c r="D1941" s="2" t="s">
        <v>216</v>
      </c>
      <c r="E1941" s="2">
        <v>134</v>
      </c>
      <c r="F1941" s="2">
        <v>2713.85</v>
      </c>
    </row>
    <row r="1942" spans="3:6" x14ac:dyDescent="0.25">
      <c r="C1942" s="2" t="s">
        <v>7088</v>
      </c>
      <c r="D1942" s="2" t="s">
        <v>216</v>
      </c>
      <c r="E1942" s="2">
        <v>134</v>
      </c>
      <c r="F1942" s="2">
        <v>2610.979</v>
      </c>
    </row>
    <row r="1943" spans="3:6" x14ac:dyDescent="0.25">
      <c r="C1943" s="2" t="s">
        <v>7089</v>
      </c>
      <c r="D1943" s="2" t="s">
        <v>216</v>
      </c>
      <c r="E1943" s="2">
        <v>134</v>
      </c>
      <c r="F1943" s="2">
        <v>2729.549</v>
      </c>
    </row>
    <row r="1944" spans="3:6" x14ac:dyDescent="0.25">
      <c r="C1944" s="2" t="s">
        <v>7090</v>
      </c>
      <c r="D1944" s="2" t="s">
        <v>216</v>
      </c>
      <c r="E1944" s="2">
        <v>134</v>
      </c>
      <c r="F1944" s="2">
        <v>2766.77</v>
      </c>
    </row>
    <row r="1945" spans="3:6" x14ac:dyDescent="0.25">
      <c r="C1945" s="2" t="s">
        <v>7091</v>
      </c>
      <c r="D1945" s="2" t="s">
        <v>204</v>
      </c>
      <c r="E1945" s="2">
        <v>163</v>
      </c>
      <c r="F1945" s="2">
        <v>3217.12</v>
      </c>
    </row>
    <row r="1946" spans="3:6" x14ac:dyDescent="0.25">
      <c r="C1946" s="2" t="s">
        <v>7092</v>
      </c>
      <c r="D1946" s="2" t="s">
        <v>204</v>
      </c>
      <c r="E1946" s="2">
        <v>163</v>
      </c>
      <c r="F1946" s="2">
        <v>2991.04</v>
      </c>
    </row>
    <row r="1947" spans="3:6" x14ac:dyDescent="0.25">
      <c r="C1947" s="2" t="s">
        <v>7093</v>
      </c>
      <c r="D1947" s="2" t="s">
        <v>204</v>
      </c>
      <c r="E1947" s="2">
        <v>163</v>
      </c>
      <c r="F1947" s="2">
        <v>3095.21</v>
      </c>
    </row>
    <row r="1948" spans="3:6" x14ac:dyDescent="0.25">
      <c r="C1948" s="2" t="s">
        <v>7094</v>
      </c>
      <c r="D1948" s="2" t="s">
        <v>204</v>
      </c>
      <c r="E1948" s="2">
        <v>163</v>
      </c>
      <c r="F1948" s="2">
        <v>3252.8</v>
      </c>
    </row>
    <row r="1949" spans="3:6" x14ac:dyDescent="0.25">
      <c r="C1949" s="2" t="s">
        <v>7095</v>
      </c>
      <c r="D1949" s="2" t="s">
        <v>204</v>
      </c>
      <c r="E1949" s="2">
        <v>163</v>
      </c>
      <c r="F1949" s="2">
        <v>3143.009</v>
      </c>
    </row>
    <row r="1950" spans="3:6" x14ac:dyDescent="0.25">
      <c r="C1950" s="2" t="s">
        <v>7096</v>
      </c>
      <c r="D1950" s="2" t="s">
        <v>204</v>
      </c>
      <c r="E1950" s="2">
        <v>163</v>
      </c>
      <c r="F1950" s="2">
        <v>3003.749</v>
      </c>
    </row>
    <row r="1951" spans="3:6" x14ac:dyDescent="0.25">
      <c r="C1951" s="2" t="s">
        <v>7097</v>
      </c>
      <c r="D1951" s="2" t="s">
        <v>204</v>
      </c>
      <c r="E1951" s="2">
        <v>163</v>
      </c>
      <c r="F1951" s="2">
        <v>3120.1</v>
      </c>
    </row>
    <row r="1952" spans="3:6" x14ac:dyDescent="0.25">
      <c r="C1952" s="2" t="s">
        <v>7098</v>
      </c>
      <c r="D1952" s="2" t="s">
        <v>204</v>
      </c>
      <c r="E1952" s="2">
        <v>53</v>
      </c>
      <c r="F1952" s="2">
        <v>1341.57</v>
      </c>
    </row>
    <row r="1953" spans="3:6" x14ac:dyDescent="0.25">
      <c r="C1953" s="2" t="s">
        <v>7099</v>
      </c>
      <c r="D1953" s="2" t="s">
        <v>204</v>
      </c>
      <c r="E1953" s="2">
        <v>53</v>
      </c>
      <c r="F1953" s="2">
        <v>1307.511</v>
      </c>
    </row>
    <row r="1954" spans="3:6" x14ac:dyDescent="0.25">
      <c r="C1954" s="2" t="s">
        <v>7100</v>
      </c>
      <c r="D1954" s="2" t="s">
        <v>204</v>
      </c>
      <c r="E1954" s="2">
        <v>105</v>
      </c>
      <c r="F1954" s="2">
        <v>2101.579</v>
      </c>
    </row>
    <row r="1955" spans="3:6" x14ac:dyDescent="0.25">
      <c r="C1955" s="2" t="s">
        <v>6970</v>
      </c>
      <c r="D1955" s="2" t="s">
        <v>204</v>
      </c>
      <c r="E1955" s="2">
        <v>111</v>
      </c>
      <c r="F1955" s="2">
        <v>2161.22</v>
      </c>
    </row>
    <row r="1956" spans="3:6" x14ac:dyDescent="0.25">
      <c r="C1956" s="2" t="s">
        <v>6989</v>
      </c>
      <c r="D1956" s="2" t="s">
        <v>216</v>
      </c>
      <c r="E1956" s="2">
        <v>134</v>
      </c>
      <c r="F1956" s="2">
        <v>2708.709</v>
      </c>
    </row>
    <row r="1957" spans="3:6" x14ac:dyDescent="0.25">
      <c r="C1957" s="2" t="s">
        <v>6971</v>
      </c>
      <c r="D1957" s="2" t="s">
        <v>204</v>
      </c>
      <c r="E1957" s="2">
        <v>163</v>
      </c>
      <c r="F1957" s="2">
        <v>3056.168</v>
      </c>
    </row>
    <row r="1958" spans="3:6" x14ac:dyDescent="0.25">
      <c r="C1958" s="2" t="s">
        <v>6990</v>
      </c>
      <c r="D1958" s="2" t="s">
        <v>216</v>
      </c>
      <c r="E1958" s="2">
        <v>42</v>
      </c>
      <c r="F1958" s="2">
        <v>794.64</v>
      </c>
    </row>
    <row r="1959" spans="3:6" x14ac:dyDescent="0.25">
      <c r="C1959" s="2" t="s">
        <v>6967</v>
      </c>
      <c r="D1959" s="2" t="s">
        <v>204</v>
      </c>
      <c r="E1959" s="2">
        <v>163</v>
      </c>
      <c r="F1959" s="2">
        <v>3015.299</v>
      </c>
    </row>
    <row r="1960" spans="3:6" x14ac:dyDescent="0.25">
      <c r="C1960" s="2" t="s">
        <v>6968</v>
      </c>
      <c r="D1960" s="2" t="s">
        <v>204</v>
      </c>
      <c r="E1960" s="2">
        <v>163</v>
      </c>
      <c r="F1960" s="2">
        <v>3187.23</v>
      </c>
    </row>
    <row r="1961" spans="3:6" x14ac:dyDescent="0.25">
      <c r="C1961" s="2" t="s">
        <v>7078</v>
      </c>
      <c r="D1961" s="2" t="s">
        <v>204</v>
      </c>
      <c r="E1961" s="2">
        <v>163</v>
      </c>
      <c r="F1961" s="2">
        <v>3202</v>
      </c>
    </row>
    <row r="1963" spans="2:7" x14ac:dyDescent="0.25">
      <c r="B1963" s="2" t="s">
        <v>2077</v>
      </c>
      <c r="C1963" s="2" t="s">
        <v>7101</v>
      </c>
      <c r="D1963" s="2" t="s">
        <v>216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7102</v>
      </c>
      <c r="D1964" s="2" t="s">
        <v>297</v>
      </c>
      <c r="E1964" s="2">
        <v>148</v>
      </c>
      <c r="F1964" s="2">
        <v>2705.27</v>
      </c>
    </row>
    <row r="1965" spans="3:6" x14ac:dyDescent="0.25">
      <c r="C1965" s="2" t="s">
        <v>7103</v>
      </c>
      <c r="D1965" s="2" t="s">
        <v>216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7104</v>
      </c>
      <c r="C1967" s="2" t="s">
        <v>7105</v>
      </c>
      <c r="D1967" s="2" t="s">
        <v>20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7106</v>
      </c>
      <c r="D1968" s="2" t="s">
        <v>20</v>
      </c>
      <c r="E1968" s="2">
        <v>105</v>
      </c>
      <c r="F1968" s="2">
        <v>2050.11</v>
      </c>
    </row>
    <row r="1969" spans="3:6" x14ac:dyDescent="0.25">
      <c r="C1969" s="2" t="s">
        <v>7107</v>
      </c>
      <c r="D1969" s="2" t="s">
        <v>20</v>
      </c>
      <c r="E1969" s="2">
        <v>156</v>
      </c>
      <c r="F1969" s="2">
        <v>3053.3</v>
      </c>
    </row>
    <row r="1970" spans="3:6" x14ac:dyDescent="0.25">
      <c r="C1970" s="2" t="s">
        <v>7108</v>
      </c>
      <c r="D1970" s="2" t="s">
        <v>20</v>
      </c>
      <c r="E1970" s="2">
        <v>156</v>
      </c>
      <c r="F1970" s="2">
        <v>2974.969</v>
      </c>
    </row>
    <row r="1971" spans="3:6" x14ac:dyDescent="0.25">
      <c r="C1971" s="2" t="s">
        <v>7109</v>
      </c>
      <c r="D1971" s="2" t="s">
        <v>20</v>
      </c>
      <c r="E1971" s="2">
        <v>312</v>
      </c>
      <c r="F1971" s="2">
        <v>6378.748</v>
      </c>
    </row>
    <row r="1972" spans="3:6" x14ac:dyDescent="0.25">
      <c r="C1972" s="2" t="s">
        <v>7110</v>
      </c>
      <c r="D1972" s="2" t="s">
        <v>20</v>
      </c>
      <c r="E1972" s="2">
        <v>210</v>
      </c>
      <c r="F1972" s="2">
        <v>4107.15</v>
      </c>
    </row>
    <row r="1973" spans="3:6" x14ac:dyDescent="0.25">
      <c r="C1973" s="2" t="s">
        <v>7111</v>
      </c>
      <c r="D1973" s="2" t="s">
        <v>20</v>
      </c>
      <c r="E1973" s="2">
        <v>154</v>
      </c>
      <c r="F1973" s="2">
        <v>2982.289</v>
      </c>
    </row>
    <row r="1974" spans="3:6" x14ac:dyDescent="0.25">
      <c r="C1974" s="2" t="s">
        <v>7112</v>
      </c>
      <c r="D1974" s="2" t="s">
        <v>20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5633</v>
      </c>
      <c r="C1976" s="2" t="s">
        <v>7113</v>
      </c>
      <c r="D1976" s="2" t="s">
        <v>27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7114</v>
      </c>
      <c r="D1977" s="2" t="s">
        <v>27</v>
      </c>
      <c r="E1977" s="2">
        <v>16</v>
      </c>
      <c r="F1977" s="2">
        <v>267.059</v>
      </c>
    </row>
    <row r="1978" spans="3:6" x14ac:dyDescent="0.25">
      <c r="C1978" s="2" t="s">
        <v>7115</v>
      </c>
      <c r="D1978" s="2" t="s">
        <v>27</v>
      </c>
      <c r="E1978" s="2">
        <v>69</v>
      </c>
      <c r="F1978" s="2">
        <v>1317.199</v>
      </c>
    </row>
    <row r="1979" spans="3:6" x14ac:dyDescent="0.25">
      <c r="C1979" s="2" t="s">
        <v>7116</v>
      </c>
      <c r="D1979" s="2" t="s">
        <v>27</v>
      </c>
      <c r="E1979" s="2">
        <v>16</v>
      </c>
      <c r="F1979" s="2">
        <v>288.42</v>
      </c>
    </row>
    <row r="1980" spans="3:6" x14ac:dyDescent="0.25">
      <c r="C1980" s="2" t="s">
        <v>7117</v>
      </c>
      <c r="D1980" s="2" t="s">
        <v>27</v>
      </c>
      <c r="E1980" s="2">
        <v>86</v>
      </c>
      <c r="F1980" s="2">
        <v>1744.919</v>
      </c>
    </row>
    <row r="1981" spans="3:6" x14ac:dyDescent="0.25">
      <c r="C1981" s="2" t="s">
        <v>7118</v>
      </c>
      <c r="D1981" s="2" t="s">
        <v>27</v>
      </c>
      <c r="E1981" s="2">
        <v>48</v>
      </c>
      <c r="F1981" s="2">
        <v>886.5</v>
      </c>
    </row>
    <row r="1982" spans="3:6" x14ac:dyDescent="0.25">
      <c r="C1982" s="2" t="s">
        <v>7119</v>
      </c>
      <c r="D1982" s="2" t="s">
        <v>27</v>
      </c>
      <c r="E1982" s="2">
        <v>40</v>
      </c>
      <c r="F1982" s="2">
        <v>657.01</v>
      </c>
    </row>
    <row r="1983" spans="3:6" x14ac:dyDescent="0.25">
      <c r="C1983" s="2" t="s">
        <v>7120</v>
      </c>
      <c r="D1983" s="2" t="s">
        <v>27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2196</v>
      </c>
      <c r="C1985" s="2" t="s">
        <v>7121</v>
      </c>
      <c r="D1985" s="2" t="s">
        <v>9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7122</v>
      </c>
      <c r="D1986" s="2" t="s">
        <v>9</v>
      </c>
      <c r="E1986" s="2">
        <v>102</v>
      </c>
      <c r="F1986" s="2">
        <v>2081.71</v>
      </c>
    </row>
    <row r="1987" spans="3:6" x14ac:dyDescent="0.25">
      <c r="C1987" s="2" t="s">
        <v>7123</v>
      </c>
      <c r="D1987" s="2" t="s">
        <v>9</v>
      </c>
      <c r="E1987" s="2">
        <v>141</v>
      </c>
      <c r="F1987" s="2">
        <v>2842.87</v>
      </c>
    </row>
    <row r="1988" spans="3:6" x14ac:dyDescent="0.25">
      <c r="C1988" s="2" t="s">
        <v>7124</v>
      </c>
      <c r="D1988" s="2" t="s">
        <v>9</v>
      </c>
      <c r="E1988" s="2">
        <v>146</v>
      </c>
      <c r="F1988" s="2">
        <v>2816.209</v>
      </c>
    </row>
    <row r="1989" spans="3:6" x14ac:dyDescent="0.25">
      <c r="C1989" s="2" t="s">
        <v>7125</v>
      </c>
      <c r="D1989" s="2" t="s">
        <v>9</v>
      </c>
      <c r="E1989" s="2">
        <v>61</v>
      </c>
      <c r="F1989" s="2">
        <v>1168.79</v>
      </c>
    </row>
    <row r="1990" spans="3:6" x14ac:dyDescent="0.25">
      <c r="C1990" s="2" t="s">
        <v>7126</v>
      </c>
      <c r="D1990" s="2" t="s">
        <v>9</v>
      </c>
      <c r="E1990" s="2">
        <v>56</v>
      </c>
      <c r="F1990" s="2">
        <v>1031.66</v>
      </c>
    </row>
    <row r="1991" spans="3:6" x14ac:dyDescent="0.25">
      <c r="C1991" s="2" t="s">
        <v>7127</v>
      </c>
      <c r="D1991" s="2" t="s">
        <v>9</v>
      </c>
      <c r="E1991" s="2">
        <v>90</v>
      </c>
      <c r="F1991" s="2">
        <v>403.76</v>
      </c>
    </row>
    <row r="1992" spans="3:6" x14ac:dyDescent="0.25">
      <c r="C1992" s="2" t="s">
        <v>7128</v>
      </c>
      <c r="D1992" s="2" t="s">
        <v>9</v>
      </c>
      <c r="E1992" s="2">
        <v>141</v>
      </c>
      <c r="F1992" s="2">
        <v>2885.83</v>
      </c>
    </row>
    <row r="1993" spans="3:6" x14ac:dyDescent="0.25">
      <c r="C1993" s="2" t="s">
        <v>7129</v>
      </c>
      <c r="D1993" s="2" t="s">
        <v>9</v>
      </c>
      <c r="E1993" s="2">
        <v>141</v>
      </c>
      <c r="F1993" s="2">
        <v>2927.95</v>
      </c>
    </row>
    <row r="1994" spans="3:6" x14ac:dyDescent="0.25">
      <c r="C1994" s="2" t="s">
        <v>7130</v>
      </c>
      <c r="D1994" s="2" t="s">
        <v>9</v>
      </c>
      <c r="E1994" s="2">
        <v>141</v>
      </c>
      <c r="F1994" s="2">
        <v>2919.81</v>
      </c>
    </row>
    <row r="1995" spans="3:6" x14ac:dyDescent="0.25">
      <c r="C1995" s="2" t="s">
        <v>7131</v>
      </c>
      <c r="D1995" s="2" t="s">
        <v>9</v>
      </c>
      <c r="E1995" s="2">
        <v>145</v>
      </c>
      <c r="F1995" s="2">
        <v>2857.028</v>
      </c>
    </row>
    <row r="1996" spans="3:6" x14ac:dyDescent="0.25">
      <c r="C1996" s="2" t="s">
        <v>7132</v>
      </c>
      <c r="D1996" s="2" t="s">
        <v>9</v>
      </c>
      <c r="E1996" s="2">
        <v>71</v>
      </c>
      <c r="F1996" s="2">
        <v>316.909</v>
      </c>
    </row>
    <row r="1997" spans="3:6" x14ac:dyDescent="0.25">
      <c r="C1997" s="2" t="s">
        <v>7133</v>
      </c>
      <c r="D1997" s="2" t="s">
        <v>9</v>
      </c>
      <c r="E1997" s="2">
        <v>142</v>
      </c>
      <c r="F1997" s="2">
        <v>2818.26</v>
      </c>
    </row>
    <row r="1998" spans="3:6" x14ac:dyDescent="0.25">
      <c r="C1998" s="2" t="s">
        <v>7134</v>
      </c>
      <c r="D1998" s="2" t="s">
        <v>9</v>
      </c>
      <c r="E1998" s="2">
        <v>141</v>
      </c>
      <c r="F1998" s="2">
        <v>2883.74</v>
      </c>
    </row>
    <row r="1999" spans="3:6" x14ac:dyDescent="0.25">
      <c r="C1999" s="2" t="s">
        <v>7135</v>
      </c>
      <c r="D1999" s="2" t="s">
        <v>9</v>
      </c>
      <c r="E1999" s="2">
        <v>141</v>
      </c>
      <c r="F1999" s="2">
        <v>2886.679</v>
      </c>
    </row>
    <row r="2000" spans="3:6" x14ac:dyDescent="0.25">
      <c r="C2000" s="2" t="s">
        <v>7136</v>
      </c>
      <c r="D2000" s="2" t="s">
        <v>9</v>
      </c>
      <c r="E2000" s="2">
        <v>102</v>
      </c>
      <c r="F2000" s="2">
        <v>2075.44</v>
      </c>
    </row>
    <row r="2001" spans="3:6" x14ac:dyDescent="0.25">
      <c r="C2001" s="2" t="s">
        <v>7137</v>
      </c>
      <c r="D2001" s="2" t="s">
        <v>9</v>
      </c>
      <c r="E2001" s="2">
        <v>123</v>
      </c>
      <c r="F2001" s="2">
        <v>2562.55</v>
      </c>
    </row>
    <row r="2002" spans="3:6" x14ac:dyDescent="0.25">
      <c r="C2002" s="2" t="s">
        <v>7138</v>
      </c>
      <c r="D2002" s="2" t="s">
        <v>9</v>
      </c>
      <c r="E2002" s="2">
        <v>123</v>
      </c>
      <c r="F2002" s="2">
        <v>2084.03</v>
      </c>
    </row>
    <row r="2003" spans="3:6" x14ac:dyDescent="0.25">
      <c r="C2003" s="2" t="s">
        <v>7139</v>
      </c>
      <c r="D2003" s="2" t="s">
        <v>9</v>
      </c>
      <c r="E2003" s="2">
        <v>123</v>
      </c>
      <c r="F2003" s="2">
        <v>2459.42</v>
      </c>
    </row>
    <row r="2004" spans="3:6" x14ac:dyDescent="0.25">
      <c r="C2004" s="2" t="s">
        <v>7140</v>
      </c>
      <c r="D2004" s="2" t="s">
        <v>9</v>
      </c>
      <c r="E2004" s="2">
        <v>61</v>
      </c>
      <c r="F2004" s="2">
        <v>1258.19</v>
      </c>
    </row>
    <row r="2005" spans="3:6" x14ac:dyDescent="0.25">
      <c r="C2005" s="2" t="s">
        <v>7141</v>
      </c>
      <c r="D2005" s="2" t="s">
        <v>9</v>
      </c>
      <c r="E2005" s="2">
        <v>60</v>
      </c>
      <c r="F2005" s="2">
        <v>1149.25</v>
      </c>
    </row>
    <row r="2006" spans="3:6" x14ac:dyDescent="0.25">
      <c r="C2006" s="2" t="s">
        <v>7142</v>
      </c>
      <c r="D2006" s="2" t="s">
        <v>9</v>
      </c>
      <c r="E2006" s="2">
        <v>141</v>
      </c>
      <c r="F2006" s="2">
        <v>2822.479</v>
      </c>
    </row>
    <row r="2007" spans="3:6" x14ac:dyDescent="0.25">
      <c r="C2007" s="2" t="s">
        <v>7143</v>
      </c>
      <c r="D2007" s="2" t="s">
        <v>9</v>
      </c>
      <c r="E2007" s="2">
        <v>141</v>
      </c>
      <c r="F2007" s="2">
        <v>2864.15</v>
      </c>
    </row>
    <row r="2008" spans="3:6" x14ac:dyDescent="0.25">
      <c r="C2008" s="2" t="s">
        <v>7144</v>
      </c>
      <c r="D2008" s="2" t="s">
        <v>9</v>
      </c>
      <c r="E2008" s="2">
        <v>22</v>
      </c>
      <c r="F2008" s="2">
        <v>325.06</v>
      </c>
    </row>
    <row r="2009" spans="3:6" x14ac:dyDescent="0.25">
      <c r="C2009" s="2" t="s">
        <v>7145</v>
      </c>
      <c r="D2009" s="2" t="s">
        <v>9</v>
      </c>
      <c r="E2009" s="2">
        <v>107</v>
      </c>
      <c r="F2009" s="2">
        <v>1666.679</v>
      </c>
    </row>
    <row r="2010" spans="3:6" x14ac:dyDescent="0.25">
      <c r="C2010" s="2" t="s">
        <v>7146</v>
      </c>
      <c r="D2010" s="2" t="s">
        <v>9</v>
      </c>
      <c r="E2010" s="2">
        <v>12</v>
      </c>
      <c r="F2010" s="2">
        <v>186.57</v>
      </c>
    </row>
    <row r="2011" spans="3:6" x14ac:dyDescent="0.25">
      <c r="C2011" s="2" t="s">
        <v>7147</v>
      </c>
      <c r="D2011" s="2" t="s">
        <v>9</v>
      </c>
      <c r="E2011" s="2">
        <v>102</v>
      </c>
      <c r="F2011" s="2">
        <v>2055.118</v>
      </c>
    </row>
    <row r="2012" spans="3:6" x14ac:dyDescent="0.25">
      <c r="C2012" s="2" t="s">
        <v>7148</v>
      </c>
      <c r="D2012" s="2" t="s">
        <v>9</v>
      </c>
      <c r="E2012" s="2">
        <v>141</v>
      </c>
      <c r="F2012" s="2">
        <v>2566.1</v>
      </c>
    </row>
    <row r="2013" spans="3:6" x14ac:dyDescent="0.25">
      <c r="C2013" s="2" t="s">
        <v>7149</v>
      </c>
      <c r="D2013" s="2" t="s">
        <v>9</v>
      </c>
      <c r="E2013" s="2">
        <v>65</v>
      </c>
      <c r="F2013" s="2">
        <v>1248.255</v>
      </c>
    </row>
    <row r="2014" spans="3:6" x14ac:dyDescent="0.25">
      <c r="C2014" s="2" t="s">
        <v>7150</v>
      </c>
      <c r="D2014" s="2" t="s">
        <v>9</v>
      </c>
      <c r="E2014" s="2">
        <v>49</v>
      </c>
      <c r="F2014" s="2">
        <v>676.169</v>
      </c>
    </row>
    <row r="2015" spans="3:6" x14ac:dyDescent="0.25">
      <c r="C2015" s="2" t="s">
        <v>7151</v>
      </c>
      <c r="D2015" s="2" t="s">
        <v>9</v>
      </c>
      <c r="E2015" s="2">
        <v>27</v>
      </c>
      <c r="F2015" s="2">
        <v>480.679</v>
      </c>
    </row>
    <row r="2016" spans="3:6" x14ac:dyDescent="0.25">
      <c r="C2016" s="2" t="s">
        <v>7152</v>
      </c>
      <c r="D2016" s="2" t="s">
        <v>9</v>
      </c>
      <c r="E2016" s="2">
        <v>97</v>
      </c>
      <c r="F2016" s="2">
        <v>1853.99</v>
      </c>
    </row>
    <row r="2017" spans="3:6" x14ac:dyDescent="0.25">
      <c r="C2017" s="2" t="s">
        <v>7153</v>
      </c>
      <c r="D2017" s="2" t="s">
        <v>9</v>
      </c>
      <c r="E2017" s="2">
        <v>102</v>
      </c>
      <c r="F2017" s="2">
        <v>1698.04</v>
      </c>
    </row>
    <row r="2018" spans="3:6" x14ac:dyDescent="0.25">
      <c r="C2018" s="2" t="s">
        <v>7154</v>
      </c>
      <c r="D2018" s="2" t="s">
        <v>9</v>
      </c>
      <c r="E2018" s="2">
        <v>65</v>
      </c>
      <c r="F2018" s="2">
        <v>1326.37</v>
      </c>
    </row>
    <row r="2019" spans="3:6" x14ac:dyDescent="0.25">
      <c r="C2019" s="2" t="s">
        <v>7155</v>
      </c>
      <c r="D2019" s="2" t="s">
        <v>9</v>
      </c>
      <c r="E2019" s="2">
        <v>37</v>
      </c>
      <c r="F2019" s="2">
        <v>720.12</v>
      </c>
    </row>
    <row r="2020" spans="3:6" x14ac:dyDescent="0.25">
      <c r="C2020" s="2" t="s">
        <v>7156</v>
      </c>
      <c r="D2020" s="2" t="s">
        <v>9</v>
      </c>
      <c r="E2020" s="2">
        <v>141</v>
      </c>
      <c r="F2020" s="2">
        <v>2417.118</v>
      </c>
    </row>
    <row r="2021" spans="3:6" x14ac:dyDescent="0.25">
      <c r="C2021" s="2" t="s">
        <v>7157</v>
      </c>
      <c r="D2021" s="2" t="s">
        <v>9</v>
      </c>
      <c r="E2021" s="2">
        <v>74</v>
      </c>
      <c r="F2021" s="2">
        <v>1439.69</v>
      </c>
    </row>
    <row r="2022" spans="3:6" x14ac:dyDescent="0.25">
      <c r="C2022" s="2" t="s">
        <v>7158</v>
      </c>
      <c r="D2022" s="2" t="s">
        <v>9</v>
      </c>
      <c r="E2022" s="2">
        <v>18</v>
      </c>
      <c r="F2022" s="2">
        <v>358.96</v>
      </c>
    </row>
    <row r="2023" spans="3:6" x14ac:dyDescent="0.25">
      <c r="C2023" s="2" t="s">
        <v>7159</v>
      </c>
      <c r="D2023" s="2" t="s">
        <v>9</v>
      </c>
      <c r="E2023" s="2">
        <v>7</v>
      </c>
      <c r="F2023" s="2">
        <v>96.98</v>
      </c>
    </row>
    <row r="2024" spans="3:6" x14ac:dyDescent="0.25">
      <c r="C2024" s="2" t="s">
        <v>7160</v>
      </c>
      <c r="D2024" s="2" t="s">
        <v>9</v>
      </c>
      <c r="E2024" s="2">
        <v>2</v>
      </c>
      <c r="F2024" s="2">
        <v>14.75</v>
      </c>
    </row>
    <row r="2025" spans="3:6" x14ac:dyDescent="0.25">
      <c r="C2025" s="2" t="s">
        <v>7161</v>
      </c>
      <c r="D2025" s="2" t="s">
        <v>9</v>
      </c>
      <c r="E2025" s="2">
        <v>10</v>
      </c>
      <c r="F2025" s="2">
        <v>135.97</v>
      </c>
    </row>
    <row r="2026" spans="3:6" x14ac:dyDescent="0.25">
      <c r="C2026" s="2" t="s">
        <v>7162</v>
      </c>
      <c r="D2026" s="2" t="s">
        <v>9</v>
      </c>
      <c r="E2026" s="2">
        <v>17</v>
      </c>
      <c r="F2026" s="2">
        <v>297.88</v>
      </c>
    </row>
    <row r="2027" spans="3:6" x14ac:dyDescent="0.25">
      <c r="C2027" s="2" t="s">
        <v>7163</v>
      </c>
      <c r="D2027" s="2" t="s">
        <v>9</v>
      </c>
      <c r="E2027" s="2">
        <v>50</v>
      </c>
      <c r="F2027" s="2">
        <v>825.609</v>
      </c>
    </row>
    <row r="2028" spans="3:6" x14ac:dyDescent="0.25">
      <c r="C2028" s="2" t="s">
        <v>7164</v>
      </c>
      <c r="D2028" s="2" t="s">
        <v>9</v>
      </c>
      <c r="E2028" s="2">
        <v>64</v>
      </c>
      <c r="F2028" s="2">
        <v>1269.32</v>
      </c>
    </row>
    <row r="2029" spans="3:6" x14ac:dyDescent="0.25">
      <c r="C2029" s="2" t="s">
        <v>7165</v>
      </c>
      <c r="D2029" s="2" t="s">
        <v>9</v>
      </c>
      <c r="E2029" s="2">
        <v>77</v>
      </c>
      <c r="F2029" s="2">
        <v>1342.39</v>
      </c>
    </row>
    <row r="2030" spans="3:6" x14ac:dyDescent="0.25">
      <c r="C2030" s="2" t="s">
        <v>7166</v>
      </c>
      <c r="D2030" s="2" t="s">
        <v>9</v>
      </c>
      <c r="E2030" s="2">
        <v>27</v>
      </c>
      <c r="F2030" s="2">
        <v>515.37</v>
      </c>
    </row>
    <row r="2031" spans="3:6" x14ac:dyDescent="0.25">
      <c r="C2031" s="2" t="s">
        <v>7167</v>
      </c>
      <c r="D2031" s="2" t="s">
        <v>9</v>
      </c>
      <c r="E2031" s="2">
        <v>12</v>
      </c>
      <c r="F2031" s="2">
        <v>237.35</v>
      </c>
    </row>
    <row r="2032" spans="3:6" x14ac:dyDescent="0.25">
      <c r="C2032" s="2" t="s">
        <v>7168</v>
      </c>
      <c r="D2032" s="2" t="s">
        <v>9</v>
      </c>
      <c r="E2032" s="2">
        <v>7</v>
      </c>
      <c r="F2032" s="2">
        <v>147.6</v>
      </c>
    </row>
    <row r="2033" spans="3:6" x14ac:dyDescent="0.25">
      <c r="C2033" s="2" t="s">
        <v>7169</v>
      </c>
      <c r="D2033" s="2" t="s">
        <v>9</v>
      </c>
      <c r="E2033" s="2">
        <v>24</v>
      </c>
      <c r="F2033" s="2">
        <v>463.06</v>
      </c>
    </row>
    <row r="2034" spans="3:6" x14ac:dyDescent="0.25">
      <c r="C2034" s="2" t="s">
        <v>7170</v>
      </c>
      <c r="D2034" s="2" t="s">
        <v>9</v>
      </c>
      <c r="E2034" s="2">
        <v>71</v>
      </c>
      <c r="F2034" s="2">
        <v>1423.68</v>
      </c>
    </row>
    <row r="2035" spans="3:6" x14ac:dyDescent="0.25">
      <c r="C2035" s="2" t="s">
        <v>7171</v>
      </c>
      <c r="D2035" s="2" t="s">
        <v>9</v>
      </c>
      <c r="E2035" s="2">
        <v>133</v>
      </c>
      <c r="F2035" s="2">
        <v>2559.84</v>
      </c>
    </row>
    <row r="2036" spans="3:5" x14ac:dyDescent="0.25">
      <c r="C2036" s="2" t="s">
        <v>7172</v>
      </c>
      <c r="D2036" s="2" t="s">
        <v>9</v>
      </c>
      <c r="E2036" s="2">
        <v>138</v>
      </c>
    </row>
    <row r="2038" spans="1:7" x14ac:dyDescent="0.25">
      <c r="A2038" s="1">
        <v>46223</v>
      </c>
      <c r="B2038" s="2" t="s">
        <v>120</v>
      </c>
      <c r="C2038" s="2" t="s">
        <v>7173</v>
      </c>
      <c r="D2038" s="2" t="s">
        <v>122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7174</v>
      </c>
      <c r="D2039" s="2" t="s">
        <v>122</v>
      </c>
      <c r="E2039" s="2">
        <v>61</v>
      </c>
      <c r="F2039" s="2">
        <v>1203.75</v>
      </c>
    </row>
    <row r="2040" spans="3:6" x14ac:dyDescent="0.25">
      <c r="C2040" s="2" t="s">
        <v>7175</v>
      </c>
      <c r="D2040" s="2" t="s">
        <v>122</v>
      </c>
      <c r="E2040" s="2">
        <v>3</v>
      </c>
      <c r="F2040" s="2">
        <v>18.15</v>
      </c>
    </row>
    <row r="2041" spans="3:6" x14ac:dyDescent="0.25">
      <c r="C2041" s="2" t="s">
        <v>7176</v>
      </c>
      <c r="D2041" s="2" t="s">
        <v>122</v>
      </c>
      <c r="E2041" s="2">
        <v>3</v>
      </c>
      <c r="F2041" s="2">
        <v>46.3</v>
      </c>
    </row>
    <row r="2042" spans="3:6" x14ac:dyDescent="0.25">
      <c r="C2042" s="2" t="s">
        <v>7177</v>
      </c>
      <c r="D2042" s="2" t="s">
        <v>122</v>
      </c>
      <c r="E2042" s="2">
        <v>3</v>
      </c>
      <c r="F2042" s="2">
        <v>57.3</v>
      </c>
    </row>
    <row r="2043" spans="3:6" x14ac:dyDescent="0.25">
      <c r="C2043" s="2" t="s">
        <v>7178</v>
      </c>
      <c r="D2043" s="2" t="s">
        <v>122</v>
      </c>
      <c r="E2043" s="2">
        <v>5</v>
      </c>
      <c r="F2043" s="2">
        <v>75.9</v>
      </c>
    </row>
    <row r="2044" spans="3:6" x14ac:dyDescent="0.25">
      <c r="C2044" s="2" t="s">
        <v>7179</v>
      </c>
      <c r="D2044" s="2" t="s">
        <v>122</v>
      </c>
      <c r="E2044" s="2">
        <v>5</v>
      </c>
      <c r="F2044" s="2">
        <v>66.9</v>
      </c>
    </row>
    <row r="2045" spans="3:6" x14ac:dyDescent="0.25">
      <c r="C2045" s="2" t="s">
        <v>7180</v>
      </c>
      <c r="D2045" s="2" t="s">
        <v>122</v>
      </c>
      <c r="E2045" s="2">
        <v>5</v>
      </c>
      <c r="F2045" s="2">
        <v>72.9</v>
      </c>
    </row>
    <row r="2046" spans="3:6" x14ac:dyDescent="0.25">
      <c r="C2046" s="2" t="s">
        <v>7181</v>
      </c>
      <c r="D2046" s="2" t="s">
        <v>122</v>
      </c>
      <c r="E2046" s="2">
        <v>51</v>
      </c>
      <c r="F2046" s="2">
        <v>1030.16</v>
      </c>
    </row>
    <row r="2047" spans="3:6" x14ac:dyDescent="0.25">
      <c r="C2047" s="2" t="s">
        <v>7182</v>
      </c>
      <c r="D2047" s="2" t="s">
        <v>122</v>
      </c>
      <c r="E2047" s="2">
        <v>65</v>
      </c>
      <c r="F2047" s="2">
        <v>1794.149</v>
      </c>
    </row>
    <row r="2048" spans="3:6" x14ac:dyDescent="0.25">
      <c r="C2048" s="2" t="s">
        <v>7183</v>
      </c>
      <c r="D2048" s="2" t="s">
        <v>122</v>
      </c>
      <c r="E2048" s="2">
        <v>77</v>
      </c>
      <c r="F2048" s="2">
        <v>1679.777</v>
      </c>
    </row>
    <row r="2049" spans="3:6" x14ac:dyDescent="0.25">
      <c r="C2049" s="2" t="s">
        <v>7184</v>
      </c>
      <c r="D2049" s="2" t="s">
        <v>122</v>
      </c>
      <c r="E2049" s="2">
        <v>83</v>
      </c>
      <c r="F2049" s="2">
        <v>2310.716</v>
      </c>
    </row>
    <row r="2050" spans="3:6" x14ac:dyDescent="0.25">
      <c r="C2050" s="2" t="s">
        <v>7185</v>
      </c>
      <c r="D2050" s="2" t="s">
        <v>122</v>
      </c>
      <c r="E2050" s="2">
        <v>97</v>
      </c>
      <c r="F2050" s="2">
        <v>2141.496</v>
      </c>
    </row>
    <row r="2051" spans="3:6" x14ac:dyDescent="0.25">
      <c r="C2051" s="2" t="s">
        <v>7186</v>
      </c>
      <c r="D2051" s="2" t="s">
        <v>122</v>
      </c>
      <c r="E2051" s="2">
        <v>141</v>
      </c>
      <c r="F2051" s="2">
        <v>2797.459</v>
      </c>
    </row>
    <row r="2052" spans="3:6" x14ac:dyDescent="0.25">
      <c r="C2052" s="2" t="s">
        <v>7187</v>
      </c>
      <c r="D2052" s="2" t="s">
        <v>122</v>
      </c>
      <c r="E2052" s="2">
        <v>141</v>
      </c>
      <c r="F2052" s="2">
        <v>2785.079</v>
      </c>
    </row>
    <row r="2053" spans="3:6" x14ac:dyDescent="0.25">
      <c r="C2053" s="2" t="s">
        <v>7188</v>
      </c>
      <c r="D2053" s="2" t="s">
        <v>122</v>
      </c>
      <c r="E2053" s="2">
        <v>141</v>
      </c>
      <c r="F2053" s="2">
        <v>2797.939</v>
      </c>
    </row>
    <row r="2054" spans="3:6" x14ac:dyDescent="0.25">
      <c r="C2054" s="2" t="s">
        <v>7189</v>
      </c>
      <c r="D2054" s="2" t="s">
        <v>122</v>
      </c>
      <c r="E2054" s="2">
        <v>102</v>
      </c>
      <c r="F2054" s="2">
        <v>1909.82</v>
      </c>
    </row>
    <row r="2055" spans="3:6" x14ac:dyDescent="0.25">
      <c r="C2055" s="2" t="s">
        <v>7190</v>
      </c>
      <c r="D2055" s="2" t="s">
        <v>122</v>
      </c>
      <c r="E2055" s="2">
        <v>75</v>
      </c>
      <c r="F2055" s="2">
        <v>1498.999</v>
      </c>
    </row>
    <row r="2056" spans="3:6" x14ac:dyDescent="0.25">
      <c r="C2056" s="2" t="s">
        <v>7191</v>
      </c>
      <c r="D2056" s="2" t="s">
        <v>122</v>
      </c>
      <c r="E2056" s="2">
        <v>50</v>
      </c>
      <c r="F2056" s="2">
        <v>1009.65</v>
      </c>
    </row>
    <row r="2057" spans="3:6" x14ac:dyDescent="0.25">
      <c r="C2057" s="2" t="s">
        <v>7192</v>
      </c>
      <c r="D2057" s="2" t="s">
        <v>122</v>
      </c>
      <c r="E2057" s="2">
        <v>50</v>
      </c>
      <c r="F2057" s="2">
        <v>933.13</v>
      </c>
    </row>
    <row r="2058" spans="3:6" x14ac:dyDescent="0.25">
      <c r="C2058" s="2" t="s">
        <v>7193</v>
      </c>
      <c r="D2058" s="2" t="s">
        <v>122</v>
      </c>
      <c r="E2058" s="2">
        <v>41</v>
      </c>
      <c r="F2058" s="2">
        <v>795.77</v>
      </c>
    </row>
    <row r="2059" spans="3:6" x14ac:dyDescent="0.25">
      <c r="C2059" s="2" t="s">
        <v>7194</v>
      </c>
      <c r="D2059" s="2" t="s">
        <v>122</v>
      </c>
      <c r="E2059" s="2">
        <v>10</v>
      </c>
      <c r="F2059" s="2">
        <v>196.67</v>
      </c>
    </row>
    <row r="2060" spans="3:6" x14ac:dyDescent="0.25">
      <c r="C2060" s="2" t="s">
        <v>7195</v>
      </c>
      <c r="D2060" s="2" t="s">
        <v>122</v>
      </c>
      <c r="E2060" s="2">
        <v>24</v>
      </c>
      <c r="F2060" s="2">
        <v>459.55</v>
      </c>
    </row>
    <row r="2061" spans="3:6" x14ac:dyDescent="0.25">
      <c r="C2061" s="2" t="s">
        <v>7196</v>
      </c>
      <c r="D2061" s="2" t="s">
        <v>122</v>
      </c>
      <c r="E2061" s="2">
        <v>28</v>
      </c>
      <c r="F2061" s="2">
        <v>563.588</v>
      </c>
    </row>
    <row r="2062" spans="3:6" x14ac:dyDescent="0.25">
      <c r="C2062" s="2" t="s">
        <v>7197</v>
      </c>
      <c r="D2062" s="2" t="s">
        <v>122</v>
      </c>
      <c r="E2062" s="2">
        <v>12</v>
      </c>
      <c r="F2062" s="2">
        <v>239.23</v>
      </c>
    </row>
    <row r="2063" spans="3:6" x14ac:dyDescent="0.25">
      <c r="C2063" s="2" t="s">
        <v>7198</v>
      </c>
      <c r="D2063" s="2" t="s">
        <v>122</v>
      </c>
      <c r="E2063" s="2">
        <v>11</v>
      </c>
      <c r="F2063" s="2">
        <v>201.13</v>
      </c>
    </row>
    <row r="2064" spans="3:6" x14ac:dyDescent="0.25">
      <c r="C2064" s="2" t="s">
        <v>7199</v>
      </c>
      <c r="D2064" s="2" t="s">
        <v>122</v>
      </c>
      <c r="E2064" s="2">
        <v>18</v>
      </c>
      <c r="F2064" s="2">
        <v>354.89</v>
      </c>
    </row>
    <row r="2065" spans="3:6" x14ac:dyDescent="0.25">
      <c r="C2065" s="2" t="s">
        <v>7200</v>
      </c>
      <c r="D2065" s="2" t="s">
        <v>122</v>
      </c>
      <c r="E2065" s="2">
        <v>60</v>
      </c>
      <c r="F2065" s="2">
        <v>276.81</v>
      </c>
    </row>
    <row r="2066" spans="3:6" x14ac:dyDescent="0.25">
      <c r="C2066" s="2" t="s">
        <v>7201</v>
      </c>
      <c r="D2066" s="2" t="s">
        <v>122</v>
      </c>
      <c r="E2066" s="2">
        <v>43</v>
      </c>
      <c r="F2066" s="2">
        <v>194.29</v>
      </c>
    </row>
    <row r="2067" spans="3:6" x14ac:dyDescent="0.25">
      <c r="C2067" s="2" t="s">
        <v>7202</v>
      </c>
      <c r="D2067" s="2" t="s">
        <v>122</v>
      </c>
      <c r="E2067" s="2">
        <v>35</v>
      </c>
      <c r="F2067" s="2">
        <v>613.109</v>
      </c>
    </row>
    <row r="2068" spans="3:6" x14ac:dyDescent="0.25">
      <c r="C2068" s="2" t="s">
        <v>7203</v>
      </c>
      <c r="D2068" s="2" t="s">
        <v>122</v>
      </c>
      <c r="E2068" s="2">
        <v>24</v>
      </c>
      <c r="F2068" s="2">
        <v>479.49</v>
      </c>
    </row>
    <row r="2069" spans="3:6" x14ac:dyDescent="0.25">
      <c r="C2069" s="2" t="s">
        <v>7204</v>
      </c>
      <c r="D2069" s="2" t="s">
        <v>122</v>
      </c>
      <c r="E2069" s="2">
        <v>27</v>
      </c>
      <c r="F2069" s="2">
        <v>502.85</v>
      </c>
    </row>
    <row r="2070" spans="3:6" x14ac:dyDescent="0.25">
      <c r="C2070" s="2" t="s">
        <v>7205</v>
      </c>
      <c r="D2070" s="2" t="s">
        <v>122</v>
      </c>
      <c r="E2070" s="2">
        <v>16</v>
      </c>
      <c r="F2070" s="2">
        <v>322.84</v>
      </c>
    </row>
    <row r="2071" spans="3:6" x14ac:dyDescent="0.25">
      <c r="C2071" s="2" t="s">
        <v>7206</v>
      </c>
      <c r="D2071" s="2" t="s">
        <v>122</v>
      </c>
      <c r="E2071" s="2">
        <v>68</v>
      </c>
      <c r="F2071" s="2">
        <v>1386.25</v>
      </c>
    </row>
    <row r="2072" spans="3:6" x14ac:dyDescent="0.25">
      <c r="C2072" s="2" t="s">
        <v>7207</v>
      </c>
      <c r="D2072" s="2" t="s">
        <v>122</v>
      </c>
      <c r="E2072" s="2">
        <v>23</v>
      </c>
      <c r="F2072" s="2">
        <v>221.678</v>
      </c>
    </row>
    <row r="2073" spans="3:6" x14ac:dyDescent="0.25">
      <c r="C2073" s="2" t="s">
        <v>7208</v>
      </c>
      <c r="D2073" s="2" t="s">
        <v>122</v>
      </c>
      <c r="E2073" s="2">
        <v>70</v>
      </c>
      <c r="F2073" s="2">
        <v>1448.97</v>
      </c>
    </row>
    <row r="2074" spans="3:6" x14ac:dyDescent="0.25">
      <c r="C2074" s="2" t="s">
        <v>7209</v>
      </c>
      <c r="D2074" s="2" t="s">
        <v>122</v>
      </c>
      <c r="E2074" s="2">
        <v>32</v>
      </c>
      <c r="F2074" s="2">
        <v>653.68</v>
      </c>
    </row>
    <row r="2075" spans="3:6" x14ac:dyDescent="0.25">
      <c r="C2075" s="2" t="s">
        <v>7210</v>
      </c>
      <c r="D2075" s="2" t="s">
        <v>122</v>
      </c>
      <c r="E2075" s="2">
        <v>40</v>
      </c>
      <c r="F2075" s="2">
        <v>791.1</v>
      </c>
    </row>
    <row r="2076" spans="3:6" x14ac:dyDescent="0.25">
      <c r="C2076" s="2" t="s">
        <v>7211</v>
      </c>
      <c r="D2076" s="2" t="s">
        <v>122</v>
      </c>
      <c r="E2076" s="2">
        <v>16</v>
      </c>
      <c r="F2076" s="2">
        <v>333.48</v>
      </c>
    </row>
    <row r="2077" spans="3:6" x14ac:dyDescent="0.25">
      <c r="C2077" s="2" t="s">
        <v>7212</v>
      </c>
      <c r="D2077" s="2" t="s">
        <v>122</v>
      </c>
      <c r="E2077" s="2">
        <v>64</v>
      </c>
      <c r="F2077" s="2">
        <v>1278.16</v>
      </c>
    </row>
    <row r="2078" spans="3:6" x14ac:dyDescent="0.25">
      <c r="C2078" s="2" t="s">
        <v>7213</v>
      </c>
      <c r="D2078" s="2" t="s">
        <v>122</v>
      </c>
      <c r="E2078" s="2">
        <v>14</v>
      </c>
      <c r="F2078" s="2">
        <v>281.02</v>
      </c>
    </row>
    <row r="2079" spans="3:6" x14ac:dyDescent="0.25">
      <c r="C2079" s="2" t="s">
        <v>7214</v>
      </c>
      <c r="D2079" s="2" t="s">
        <v>122</v>
      </c>
      <c r="E2079" s="2">
        <v>55</v>
      </c>
      <c r="F2079" s="2">
        <v>238.529</v>
      </c>
    </row>
    <row r="2080" spans="3:6" x14ac:dyDescent="0.25">
      <c r="C2080" s="2" t="s">
        <v>7215</v>
      </c>
      <c r="D2080" s="2" t="s">
        <v>122</v>
      </c>
      <c r="E2080" s="2">
        <v>120</v>
      </c>
      <c r="F2080" s="2">
        <v>2353.489</v>
      </c>
    </row>
    <row r="2081" spans="3:6" x14ac:dyDescent="0.25">
      <c r="C2081" s="2" t="s">
        <v>7216</v>
      </c>
      <c r="D2081" s="2" t="s">
        <v>122</v>
      </c>
      <c r="E2081" s="2">
        <v>21</v>
      </c>
      <c r="F2081" s="2">
        <v>402.94</v>
      </c>
    </row>
    <row r="2082" spans="3:6" x14ac:dyDescent="0.25">
      <c r="C2082" s="2" t="s">
        <v>7217</v>
      </c>
      <c r="D2082" s="2" t="s">
        <v>122</v>
      </c>
      <c r="E2082" s="2">
        <v>118</v>
      </c>
      <c r="F2082" s="2">
        <v>2366.55</v>
      </c>
    </row>
    <row r="2083" spans="3:6" x14ac:dyDescent="0.25">
      <c r="C2083" s="2" t="s">
        <v>7218</v>
      </c>
      <c r="D2083" s="2" t="s">
        <v>122</v>
      </c>
      <c r="E2083" s="2">
        <v>23</v>
      </c>
      <c r="F2083" s="2">
        <v>445.95</v>
      </c>
    </row>
    <row r="2084" spans="3:6" x14ac:dyDescent="0.25">
      <c r="C2084" s="2" t="s">
        <v>7219</v>
      </c>
      <c r="D2084" s="2" t="s">
        <v>122</v>
      </c>
      <c r="E2084" s="2">
        <v>34</v>
      </c>
      <c r="F2084" s="2">
        <v>658.55</v>
      </c>
    </row>
    <row r="2085" spans="3:6" x14ac:dyDescent="0.25">
      <c r="C2085" s="2" t="s">
        <v>7220</v>
      </c>
      <c r="D2085" s="2" t="s">
        <v>122</v>
      </c>
      <c r="E2085" s="2">
        <v>35</v>
      </c>
      <c r="F2085" s="2">
        <v>707.8</v>
      </c>
    </row>
    <row r="2086" spans="3:6" x14ac:dyDescent="0.25">
      <c r="C2086" s="2" t="s">
        <v>7221</v>
      </c>
      <c r="D2086" s="2" t="s">
        <v>122</v>
      </c>
      <c r="E2086" s="2">
        <v>40</v>
      </c>
      <c r="F2086" s="2">
        <v>771.87</v>
      </c>
    </row>
    <row r="2087" spans="3:6" x14ac:dyDescent="0.25">
      <c r="C2087" s="2" t="s">
        <v>7222</v>
      </c>
      <c r="D2087" s="2" t="s">
        <v>122</v>
      </c>
      <c r="E2087" s="2">
        <v>32</v>
      </c>
      <c r="F2087" s="2">
        <v>625.37</v>
      </c>
    </row>
    <row r="2088" spans="3:6" x14ac:dyDescent="0.25">
      <c r="C2088" s="2" t="s">
        <v>7223</v>
      </c>
      <c r="D2088" s="2" t="s">
        <v>122</v>
      </c>
      <c r="E2088" s="2">
        <v>141</v>
      </c>
      <c r="F2088" s="2">
        <v>2766.64</v>
      </c>
    </row>
    <row r="2089" spans="3:6" x14ac:dyDescent="0.25">
      <c r="C2089" s="2" t="s">
        <v>7224</v>
      </c>
      <c r="D2089" s="2" t="s">
        <v>122</v>
      </c>
      <c r="E2089" s="2">
        <v>47</v>
      </c>
      <c r="F2089" s="2">
        <v>896.41</v>
      </c>
    </row>
    <row r="2090" spans="3:6" x14ac:dyDescent="0.25">
      <c r="C2090" s="2" t="s">
        <v>7225</v>
      </c>
      <c r="D2090" s="2" t="s">
        <v>122</v>
      </c>
      <c r="E2090" s="2">
        <v>47</v>
      </c>
      <c r="F2090" s="2">
        <v>949.96</v>
      </c>
    </row>
    <row r="2091" spans="3:6" x14ac:dyDescent="0.25">
      <c r="C2091" s="2" t="s">
        <v>7226</v>
      </c>
      <c r="D2091" s="2" t="s">
        <v>122</v>
      </c>
      <c r="E2091" s="2">
        <v>27</v>
      </c>
      <c r="F2091" s="2">
        <v>483.35</v>
      </c>
    </row>
    <row r="2092" spans="3:6" x14ac:dyDescent="0.25">
      <c r="C2092" s="2" t="s">
        <v>7227</v>
      </c>
      <c r="D2092" s="2" t="s">
        <v>122</v>
      </c>
      <c r="E2092" s="2">
        <v>20</v>
      </c>
      <c r="F2092" s="2">
        <v>373.19</v>
      </c>
    </row>
    <row r="2093" spans="3:6" x14ac:dyDescent="0.25">
      <c r="C2093" s="2" t="s">
        <v>7228</v>
      </c>
      <c r="D2093" s="2" t="s">
        <v>122</v>
      </c>
      <c r="E2093" s="2">
        <v>102</v>
      </c>
      <c r="F2093" s="2">
        <v>1977.628</v>
      </c>
    </row>
    <row r="2094" spans="3:6" x14ac:dyDescent="0.25">
      <c r="C2094" s="2" t="s">
        <v>7229</v>
      </c>
      <c r="D2094" s="2" t="s">
        <v>122</v>
      </c>
      <c r="E2094" s="2">
        <v>39</v>
      </c>
      <c r="F2094" s="2">
        <v>736.18</v>
      </c>
    </row>
    <row r="2095" spans="3:6" x14ac:dyDescent="0.25">
      <c r="C2095" s="2" t="s">
        <v>7230</v>
      </c>
      <c r="D2095" s="2" t="s">
        <v>122</v>
      </c>
      <c r="E2095" s="2">
        <v>66</v>
      </c>
      <c r="F2095" s="2">
        <v>1161.87</v>
      </c>
    </row>
    <row r="2096" spans="3:6" x14ac:dyDescent="0.25">
      <c r="C2096" s="2" t="s">
        <v>7231</v>
      </c>
      <c r="D2096" s="2" t="s">
        <v>122</v>
      </c>
      <c r="E2096" s="2">
        <v>31</v>
      </c>
      <c r="F2096" s="2">
        <v>574.98</v>
      </c>
    </row>
    <row r="2097" spans="3:6" x14ac:dyDescent="0.25">
      <c r="C2097" s="2" t="s">
        <v>7232</v>
      </c>
      <c r="D2097" s="2" t="s">
        <v>122</v>
      </c>
      <c r="E2097" s="2">
        <v>29</v>
      </c>
      <c r="F2097" s="2">
        <v>458.209</v>
      </c>
    </row>
    <row r="2098" spans="3:6" x14ac:dyDescent="0.25">
      <c r="C2098" s="2" t="s">
        <v>7233</v>
      </c>
      <c r="D2098" s="2" t="s">
        <v>122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90</v>
      </c>
      <c r="C2100" s="2" t="s">
        <v>7234</v>
      </c>
      <c r="D2100" s="2" t="s">
        <v>42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7235</v>
      </c>
      <c r="D2101" s="2" t="s">
        <v>42</v>
      </c>
      <c r="E2101" s="2">
        <v>63</v>
      </c>
      <c r="F2101" s="2">
        <v>1238.78</v>
      </c>
    </row>
    <row r="2102" spans="3:6" x14ac:dyDescent="0.25">
      <c r="C2102" s="2" t="s">
        <v>7236</v>
      </c>
      <c r="D2102" s="2" t="s">
        <v>42</v>
      </c>
      <c r="E2102" s="2">
        <v>65</v>
      </c>
      <c r="F2102" s="2">
        <v>1209.559</v>
      </c>
    </row>
    <row r="2103" spans="3:6" x14ac:dyDescent="0.25">
      <c r="C2103" s="2" t="s">
        <v>7237</v>
      </c>
      <c r="D2103" s="2" t="s">
        <v>42</v>
      </c>
      <c r="E2103" s="2">
        <v>60</v>
      </c>
      <c r="F2103" s="2">
        <v>1112.94</v>
      </c>
    </row>
    <row r="2104" spans="3:6" x14ac:dyDescent="0.25">
      <c r="C2104" s="2" t="s">
        <v>7238</v>
      </c>
      <c r="D2104" s="2" t="s">
        <v>42</v>
      </c>
      <c r="E2104" s="2">
        <v>141</v>
      </c>
      <c r="F2104" s="2">
        <v>2833.45</v>
      </c>
    </row>
    <row r="2105" spans="3:6" x14ac:dyDescent="0.25">
      <c r="C2105" s="2" t="s">
        <v>7239</v>
      </c>
      <c r="D2105" s="2" t="s">
        <v>42</v>
      </c>
      <c r="E2105" s="2">
        <v>141</v>
      </c>
      <c r="F2105" s="2">
        <v>2717.179</v>
      </c>
    </row>
    <row r="2106" spans="3:6" x14ac:dyDescent="0.25">
      <c r="C2106" s="2" t="s">
        <v>7240</v>
      </c>
      <c r="D2106" s="2" t="s">
        <v>42</v>
      </c>
      <c r="E2106" s="2">
        <v>141</v>
      </c>
      <c r="F2106" s="2">
        <v>2582.369</v>
      </c>
    </row>
    <row r="2107" spans="3:6" x14ac:dyDescent="0.25">
      <c r="C2107" s="2" t="s">
        <v>7241</v>
      </c>
      <c r="D2107" s="2" t="s">
        <v>42</v>
      </c>
      <c r="E2107" s="2">
        <v>141</v>
      </c>
      <c r="F2107" s="2">
        <v>2931.71</v>
      </c>
    </row>
    <row r="2108" spans="3:6" x14ac:dyDescent="0.25">
      <c r="C2108" s="2" t="s">
        <v>7242</v>
      </c>
      <c r="D2108" s="2" t="s">
        <v>42</v>
      </c>
      <c r="E2108" s="2">
        <v>123</v>
      </c>
      <c r="F2108" s="2">
        <v>2706.93</v>
      </c>
    </row>
    <row r="2109" spans="3:6" x14ac:dyDescent="0.25">
      <c r="C2109" s="2" t="s">
        <v>7243</v>
      </c>
      <c r="D2109" s="2" t="s">
        <v>42</v>
      </c>
      <c r="E2109" s="2">
        <v>123</v>
      </c>
      <c r="F2109" s="2">
        <v>2635.93</v>
      </c>
    </row>
    <row r="2110" spans="3:6" x14ac:dyDescent="0.25">
      <c r="C2110" s="2" t="s">
        <v>7244</v>
      </c>
      <c r="D2110" s="2" t="s">
        <v>42</v>
      </c>
      <c r="E2110" s="2">
        <v>45</v>
      </c>
      <c r="F2110" s="2">
        <v>219.23</v>
      </c>
    </row>
    <row r="2111" spans="3:6" x14ac:dyDescent="0.25">
      <c r="C2111" s="2" t="s">
        <v>7245</v>
      </c>
      <c r="D2111" s="2" t="s">
        <v>42</v>
      </c>
      <c r="E2111" s="2">
        <v>50</v>
      </c>
      <c r="F2111" s="2">
        <v>240.209</v>
      </c>
    </row>
    <row r="2112" spans="3:6" x14ac:dyDescent="0.25">
      <c r="C2112" s="2" t="s">
        <v>7246</v>
      </c>
      <c r="D2112" s="2" t="s">
        <v>42</v>
      </c>
      <c r="E2112" s="2">
        <v>12</v>
      </c>
      <c r="F2112" s="2">
        <v>253.54</v>
      </c>
    </row>
    <row r="2113" spans="3:6" x14ac:dyDescent="0.25">
      <c r="C2113" s="2" t="s">
        <v>7247</v>
      </c>
      <c r="D2113" s="2" t="s">
        <v>42</v>
      </c>
      <c r="E2113" s="2">
        <v>41</v>
      </c>
      <c r="F2113" s="2">
        <v>786.04</v>
      </c>
    </row>
    <row r="2114" spans="3:6" x14ac:dyDescent="0.25">
      <c r="C2114" s="2" t="s">
        <v>7248</v>
      </c>
      <c r="D2114" s="2" t="s">
        <v>42</v>
      </c>
      <c r="E2114" s="2">
        <v>60</v>
      </c>
      <c r="F2114" s="2">
        <v>1229.21</v>
      </c>
    </row>
    <row r="2115" spans="3:6" x14ac:dyDescent="0.25">
      <c r="C2115" s="2" t="s">
        <v>7249</v>
      </c>
      <c r="D2115" s="2" t="s">
        <v>42</v>
      </c>
      <c r="E2115" s="2">
        <v>41</v>
      </c>
      <c r="F2115" s="2">
        <v>813.73</v>
      </c>
    </row>
    <row r="2116" spans="3:6" x14ac:dyDescent="0.25">
      <c r="C2116" s="2" t="s">
        <v>7250</v>
      </c>
      <c r="D2116" s="2" t="s">
        <v>42</v>
      </c>
      <c r="E2116" s="2">
        <v>64</v>
      </c>
      <c r="F2116" s="2">
        <v>1220.16</v>
      </c>
    </row>
    <row r="2117" spans="3:6" x14ac:dyDescent="0.25">
      <c r="C2117" s="2" t="s">
        <v>7251</v>
      </c>
      <c r="D2117" s="2" t="s">
        <v>42</v>
      </c>
      <c r="E2117" s="2">
        <v>13</v>
      </c>
      <c r="F2117" s="2">
        <v>110.85</v>
      </c>
    </row>
    <row r="2118" spans="3:6" x14ac:dyDescent="0.25">
      <c r="C2118" s="2" t="s">
        <v>7252</v>
      </c>
      <c r="D2118" s="2" t="s">
        <v>42</v>
      </c>
      <c r="E2118" s="2">
        <v>12</v>
      </c>
      <c r="F2118" s="2">
        <v>208.08</v>
      </c>
    </row>
    <row r="2119" spans="3:6" x14ac:dyDescent="0.25">
      <c r="C2119" s="2" t="s">
        <v>7253</v>
      </c>
      <c r="D2119" s="2" t="s">
        <v>42</v>
      </c>
      <c r="E2119" s="2">
        <v>15</v>
      </c>
      <c r="F2119" s="2">
        <v>262.199</v>
      </c>
    </row>
    <row r="2120" spans="3:6" x14ac:dyDescent="0.25">
      <c r="C2120" s="2" t="s">
        <v>7254</v>
      </c>
      <c r="D2120" s="2" t="s">
        <v>42</v>
      </c>
      <c r="E2120" s="2">
        <v>77</v>
      </c>
      <c r="F2120" s="2">
        <v>1489.54</v>
      </c>
    </row>
    <row r="2121" spans="3:6" x14ac:dyDescent="0.25">
      <c r="C2121" s="2" t="s">
        <v>7255</v>
      </c>
      <c r="D2121" s="2" t="s">
        <v>42</v>
      </c>
      <c r="E2121" s="2">
        <v>117</v>
      </c>
      <c r="F2121" s="2">
        <v>2258.25</v>
      </c>
    </row>
    <row r="2122" spans="3:6" x14ac:dyDescent="0.25">
      <c r="C2122" s="2" t="s">
        <v>7256</v>
      </c>
      <c r="D2122" s="2" t="s">
        <v>42</v>
      </c>
      <c r="E2122" s="2">
        <v>17</v>
      </c>
      <c r="F2122" s="2">
        <v>342.53</v>
      </c>
    </row>
    <row r="2123" spans="3:6" x14ac:dyDescent="0.25">
      <c r="C2123" s="2" t="s">
        <v>7257</v>
      </c>
      <c r="D2123" s="2" t="s">
        <v>42</v>
      </c>
      <c r="E2123" s="2">
        <v>10</v>
      </c>
      <c r="F2123" s="2">
        <v>202.56</v>
      </c>
    </row>
    <row r="2124" spans="3:6" x14ac:dyDescent="0.25">
      <c r="C2124" s="2" t="s">
        <v>7258</v>
      </c>
      <c r="D2124" s="2" t="s">
        <v>42</v>
      </c>
      <c r="E2124" s="2">
        <v>65</v>
      </c>
      <c r="F2124" s="2">
        <v>1276.13</v>
      </c>
    </row>
    <row r="2125" spans="3:6" x14ac:dyDescent="0.25">
      <c r="C2125" s="2" t="s">
        <v>7259</v>
      </c>
      <c r="D2125" s="2" t="s">
        <v>42</v>
      </c>
      <c r="E2125" s="2">
        <v>85</v>
      </c>
      <c r="F2125" s="2">
        <v>1568.3</v>
      </c>
    </row>
    <row r="2126" spans="3:6" x14ac:dyDescent="0.25">
      <c r="C2126" s="2" t="s">
        <v>7260</v>
      </c>
      <c r="D2126" s="2" t="s">
        <v>42</v>
      </c>
      <c r="E2126" s="2">
        <v>56</v>
      </c>
      <c r="F2126" s="2">
        <v>1203.61</v>
      </c>
    </row>
    <row r="2127" spans="3:6" x14ac:dyDescent="0.25">
      <c r="C2127" s="2" t="s">
        <v>7261</v>
      </c>
      <c r="D2127" s="2" t="s">
        <v>42</v>
      </c>
      <c r="E2127" s="2">
        <v>51</v>
      </c>
      <c r="F2127" s="2">
        <v>1001.76</v>
      </c>
    </row>
    <row r="2128" spans="3:6" x14ac:dyDescent="0.25">
      <c r="C2128" s="2" t="s">
        <v>7262</v>
      </c>
      <c r="D2128" s="2" t="s">
        <v>42</v>
      </c>
      <c r="E2128" s="2">
        <v>64</v>
      </c>
      <c r="F2128" s="2">
        <v>1163.228</v>
      </c>
    </row>
    <row r="2129" spans="3:6" x14ac:dyDescent="0.25">
      <c r="C2129" s="2" t="s">
        <v>7263</v>
      </c>
      <c r="D2129" s="2" t="s">
        <v>42</v>
      </c>
      <c r="E2129" s="2">
        <v>26</v>
      </c>
      <c r="F2129" s="2">
        <v>475.93</v>
      </c>
    </row>
    <row r="2130" spans="3:6" x14ac:dyDescent="0.25">
      <c r="C2130" s="2" t="s">
        <v>7264</v>
      </c>
      <c r="D2130" s="2" t="s">
        <v>42</v>
      </c>
      <c r="E2130" s="2">
        <v>100</v>
      </c>
      <c r="F2130" s="2">
        <v>1918.35</v>
      </c>
    </row>
    <row r="2131" spans="3:6" x14ac:dyDescent="0.25">
      <c r="C2131" s="2" t="s">
        <v>7265</v>
      </c>
      <c r="D2131" s="2" t="s">
        <v>42</v>
      </c>
      <c r="E2131" s="2">
        <v>65</v>
      </c>
      <c r="F2131" s="2">
        <v>1410.27</v>
      </c>
    </row>
    <row r="2132" spans="3:6" x14ac:dyDescent="0.25">
      <c r="C2132" s="2" t="s">
        <v>7266</v>
      </c>
      <c r="D2132" s="2" t="s">
        <v>42</v>
      </c>
      <c r="E2132" s="2">
        <v>78</v>
      </c>
      <c r="F2132" s="2">
        <v>1530.01</v>
      </c>
    </row>
    <row r="2133" spans="3:6" x14ac:dyDescent="0.25">
      <c r="C2133" s="2" t="s">
        <v>7267</v>
      </c>
      <c r="D2133" s="2" t="s">
        <v>42</v>
      </c>
      <c r="E2133" s="2">
        <v>116</v>
      </c>
      <c r="F2133" s="2">
        <v>2529.68</v>
      </c>
    </row>
    <row r="2134" spans="3:6" x14ac:dyDescent="0.25">
      <c r="C2134" s="2" t="s">
        <v>7268</v>
      </c>
      <c r="D2134" s="2" t="s">
        <v>42</v>
      </c>
      <c r="E2134" s="2">
        <v>25</v>
      </c>
      <c r="F2134" s="2">
        <v>503.58</v>
      </c>
    </row>
    <row r="2135" spans="3:6" x14ac:dyDescent="0.25">
      <c r="C2135" s="2" t="s">
        <v>7269</v>
      </c>
      <c r="D2135" s="2" t="s">
        <v>42</v>
      </c>
      <c r="E2135" s="2">
        <v>45</v>
      </c>
      <c r="F2135" s="2">
        <v>214.7</v>
      </c>
    </row>
    <row r="2136" spans="3:6" x14ac:dyDescent="0.25">
      <c r="C2136" s="2" t="s">
        <v>7270</v>
      </c>
      <c r="D2136" s="2" t="s">
        <v>42</v>
      </c>
      <c r="E2136" s="2">
        <v>141</v>
      </c>
      <c r="F2136" s="2">
        <v>2695.34</v>
      </c>
    </row>
    <row r="2137" spans="3:6" x14ac:dyDescent="0.25">
      <c r="C2137" s="2" t="s">
        <v>7271</v>
      </c>
      <c r="D2137" s="2" t="s">
        <v>42</v>
      </c>
      <c r="E2137" s="2">
        <v>47</v>
      </c>
      <c r="F2137" s="2">
        <v>1052.72</v>
      </c>
    </row>
    <row r="2138" spans="3:6" x14ac:dyDescent="0.25">
      <c r="C2138" s="2" t="s">
        <v>7272</v>
      </c>
      <c r="D2138" s="2" t="s">
        <v>42</v>
      </c>
      <c r="E2138" s="2">
        <v>42</v>
      </c>
      <c r="F2138" s="2">
        <v>841.45</v>
      </c>
    </row>
    <row r="2139" spans="3:6" x14ac:dyDescent="0.25">
      <c r="C2139" s="2" t="s">
        <v>7273</v>
      </c>
      <c r="D2139" s="2" t="s">
        <v>42</v>
      </c>
      <c r="E2139" s="2">
        <v>67</v>
      </c>
      <c r="F2139" s="2">
        <v>1328.08</v>
      </c>
    </row>
    <row r="2140" spans="3:6" x14ac:dyDescent="0.25">
      <c r="C2140" s="2" t="s">
        <v>7274</v>
      </c>
      <c r="D2140" s="2" t="s">
        <v>42</v>
      </c>
      <c r="E2140" s="2">
        <v>60</v>
      </c>
      <c r="F2140" s="2">
        <v>305.15</v>
      </c>
    </row>
    <row r="2141" spans="3:6" x14ac:dyDescent="0.25">
      <c r="C2141" s="2" t="s">
        <v>7275</v>
      </c>
      <c r="D2141" s="2" t="s">
        <v>42</v>
      </c>
      <c r="E2141" s="2">
        <v>9</v>
      </c>
      <c r="F2141" s="2">
        <v>114.79</v>
      </c>
    </row>
    <row r="2142" spans="3:6" x14ac:dyDescent="0.25">
      <c r="C2142" s="2" t="s">
        <v>7276</v>
      </c>
      <c r="D2142" s="2" t="s">
        <v>42</v>
      </c>
      <c r="E2142" s="2">
        <v>92</v>
      </c>
      <c r="F2142" s="2">
        <v>1884.792</v>
      </c>
    </row>
    <row r="2143" spans="3:6" x14ac:dyDescent="0.25">
      <c r="C2143" s="2" t="s">
        <v>7277</v>
      </c>
      <c r="D2143" s="2" t="s">
        <v>42</v>
      </c>
      <c r="E2143" s="2">
        <v>32</v>
      </c>
      <c r="F2143" s="2">
        <v>658.81</v>
      </c>
    </row>
    <row r="2144" spans="3:6" x14ac:dyDescent="0.25">
      <c r="C2144" s="2" t="s">
        <v>7278</v>
      </c>
      <c r="D2144" s="2" t="s">
        <v>42</v>
      </c>
      <c r="E2144" s="2">
        <v>40</v>
      </c>
      <c r="F2144" s="2">
        <v>747.049</v>
      </c>
    </row>
    <row r="2145" spans="3:6" x14ac:dyDescent="0.25">
      <c r="C2145" s="2" t="s">
        <v>7279</v>
      </c>
      <c r="D2145" s="2" t="s">
        <v>42</v>
      </c>
      <c r="E2145" s="2">
        <v>40</v>
      </c>
      <c r="F2145" s="2">
        <v>823.6</v>
      </c>
    </row>
    <row r="2146" spans="3:6" x14ac:dyDescent="0.25">
      <c r="C2146" s="2" t="s">
        <v>7280</v>
      </c>
      <c r="D2146" s="2" t="s">
        <v>42</v>
      </c>
      <c r="E2146" s="2">
        <v>70</v>
      </c>
      <c r="F2146" s="2">
        <v>1415.769</v>
      </c>
    </row>
    <row r="2147" spans="3:6" x14ac:dyDescent="0.25">
      <c r="C2147" s="2" t="s">
        <v>7281</v>
      </c>
      <c r="D2147" s="2" t="s">
        <v>42</v>
      </c>
      <c r="E2147" s="2">
        <v>36</v>
      </c>
      <c r="F2147" s="2">
        <v>723.21</v>
      </c>
    </row>
    <row r="2148" spans="3:6" x14ac:dyDescent="0.25">
      <c r="C2148" s="2" t="s">
        <v>7282</v>
      </c>
      <c r="D2148" s="2" t="s">
        <v>42</v>
      </c>
      <c r="E2148" s="2">
        <v>13</v>
      </c>
      <c r="F2148" s="2">
        <v>223.62</v>
      </c>
    </row>
    <row r="2149" spans="3:6" x14ac:dyDescent="0.25">
      <c r="C2149" s="2" t="s">
        <v>7283</v>
      </c>
      <c r="D2149" s="2" t="s">
        <v>42</v>
      </c>
      <c r="E2149" s="2">
        <v>11</v>
      </c>
      <c r="F2149" s="2">
        <v>220.99</v>
      </c>
    </row>
    <row r="2150" spans="3:6" x14ac:dyDescent="0.25">
      <c r="C2150" s="2" t="s">
        <v>7284</v>
      </c>
      <c r="D2150" s="2" t="s">
        <v>42</v>
      </c>
      <c r="E2150" s="2">
        <v>30</v>
      </c>
      <c r="F2150" s="2">
        <v>603.96</v>
      </c>
    </row>
    <row r="2151" spans="3:6" x14ac:dyDescent="0.25">
      <c r="C2151" s="2" t="s">
        <v>7285</v>
      </c>
      <c r="D2151" s="2" t="s">
        <v>42</v>
      </c>
      <c r="E2151" s="2">
        <v>64</v>
      </c>
      <c r="F2151" s="2">
        <v>1238.54</v>
      </c>
    </row>
    <row r="2152" spans="3:6" x14ac:dyDescent="0.25">
      <c r="C2152" s="2" t="s">
        <v>7286</v>
      </c>
      <c r="D2152" s="2" t="s">
        <v>42</v>
      </c>
      <c r="E2152" s="2">
        <v>112</v>
      </c>
      <c r="F2152" s="2">
        <v>1999.17</v>
      </c>
    </row>
    <row r="2153" spans="3:6" x14ac:dyDescent="0.25">
      <c r="C2153" s="2" t="s">
        <v>7287</v>
      </c>
      <c r="D2153" s="2" t="s">
        <v>42</v>
      </c>
      <c r="E2153" s="2">
        <v>109</v>
      </c>
      <c r="F2153" s="2">
        <v>2411.77</v>
      </c>
    </row>
    <row r="2154" spans="3:6" x14ac:dyDescent="0.25">
      <c r="C2154" s="2" t="s">
        <v>7288</v>
      </c>
      <c r="D2154" s="2" t="s">
        <v>42</v>
      </c>
      <c r="E2154" s="2">
        <v>10</v>
      </c>
      <c r="F2154" s="2">
        <v>162.31</v>
      </c>
    </row>
    <row r="2155" spans="3:6" x14ac:dyDescent="0.25">
      <c r="C2155" s="2" t="s">
        <v>7289</v>
      </c>
      <c r="D2155" s="2" t="s">
        <v>42</v>
      </c>
      <c r="E2155" s="2">
        <v>32</v>
      </c>
      <c r="F2155" s="2">
        <v>542.01</v>
      </c>
    </row>
    <row r="2156" spans="3:6" x14ac:dyDescent="0.25">
      <c r="C2156" s="2" t="s">
        <v>7290</v>
      </c>
      <c r="D2156" s="2" t="s">
        <v>42</v>
      </c>
      <c r="E2156" s="2">
        <v>31</v>
      </c>
      <c r="F2156" s="2">
        <v>394.99</v>
      </c>
    </row>
    <row r="2157" spans="3:6" x14ac:dyDescent="0.25">
      <c r="C2157" s="2" t="s">
        <v>7291</v>
      </c>
      <c r="D2157" s="2" t="s">
        <v>42</v>
      </c>
      <c r="E2157" s="2">
        <v>27</v>
      </c>
      <c r="F2157" s="2">
        <v>490.91</v>
      </c>
    </row>
    <row r="2158" spans="3:6" x14ac:dyDescent="0.25">
      <c r="C2158" s="2" t="s">
        <v>7292</v>
      </c>
      <c r="D2158" s="2" t="s">
        <v>42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10</v>
      </c>
      <c r="C2160" s="2" t="s">
        <v>7293</v>
      </c>
      <c r="D2160" s="2" t="s">
        <v>12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7294</v>
      </c>
      <c r="D2161" s="2" t="s">
        <v>12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375</v>
      </c>
      <c r="C2163" s="2" t="s">
        <v>7295</v>
      </c>
      <c r="D2163" s="2" t="s">
        <v>347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7296</v>
      </c>
      <c r="D2164" s="2" t="s">
        <v>347</v>
      </c>
      <c r="E2164" s="2">
        <v>100</v>
      </c>
      <c r="F2164" s="2">
        <v>1908.249</v>
      </c>
    </row>
    <row r="2165" spans="3:6" x14ac:dyDescent="0.25">
      <c r="C2165" s="2" t="s">
        <v>7297</v>
      </c>
      <c r="D2165" s="2" t="s">
        <v>216</v>
      </c>
      <c r="E2165" s="2">
        <v>134</v>
      </c>
      <c r="F2165" s="2">
        <v>2644.669</v>
      </c>
    </row>
    <row r="2166" spans="3:6" x14ac:dyDescent="0.25">
      <c r="C2166" s="2" t="s">
        <v>7298</v>
      </c>
      <c r="D2166" s="2" t="s">
        <v>216</v>
      </c>
      <c r="E2166" s="2">
        <v>134</v>
      </c>
      <c r="F2166" s="2">
        <v>2719.019</v>
      </c>
    </row>
    <row r="2167" spans="3:6" x14ac:dyDescent="0.25">
      <c r="C2167" s="2" t="s">
        <v>7299</v>
      </c>
      <c r="D2167" s="2" t="s">
        <v>214</v>
      </c>
      <c r="E2167" s="2">
        <v>156</v>
      </c>
      <c r="F2167" s="2">
        <v>3061.9</v>
      </c>
    </row>
    <row r="2168" spans="3:6" x14ac:dyDescent="0.25">
      <c r="C2168" s="2" t="s">
        <v>7300</v>
      </c>
      <c r="D2168" s="2" t="s">
        <v>214</v>
      </c>
      <c r="E2168" s="2">
        <v>156</v>
      </c>
      <c r="F2168" s="2">
        <v>3059.92</v>
      </c>
    </row>
    <row r="2169" spans="3:6" x14ac:dyDescent="0.25">
      <c r="C2169" s="2" t="s">
        <v>7301</v>
      </c>
      <c r="D2169" s="2" t="s">
        <v>204</v>
      </c>
      <c r="E2169" s="2">
        <v>31</v>
      </c>
      <c r="F2169" s="2">
        <v>659.83</v>
      </c>
    </row>
    <row r="2170" spans="3:6" x14ac:dyDescent="0.25">
      <c r="C2170" s="2" t="s">
        <v>7302</v>
      </c>
      <c r="D2170" s="2" t="s">
        <v>204</v>
      </c>
      <c r="E2170" s="2">
        <v>59</v>
      </c>
      <c r="F2170" s="2">
        <v>261.578</v>
      </c>
    </row>
    <row r="2171" spans="3:6" x14ac:dyDescent="0.25">
      <c r="C2171" s="2" t="s">
        <v>7303</v>
      </c>
      <c r="D2171" s="2" t="s">
        <v>347</v>
      </c>
      <c r="E2171" s="2">
        <v>100</v>
      </c>
      <c r="F2171" s="2">
        <v>1941.48</v>
      </c>
    </row>
    <row r="2172" spans="3:6" x14ac:dyDescent="0.25">
      <c r="C2172" s="2" t="s">
        <v>7304</v>
      </c>
      <c r="D2172" s="2" t="s">
        <v>347</v>
      </c>
      <c r="E2172" s="2">
        <v>50</v>
      </c>
      <c r="F2172" s="2">
        <v>958.23</v>
      </c>
    </row>
    <row r="2173" spans="3:6" x14ac:dyDescent="0.25">
      <c r="C2173" s="2" t="s">
        <v>7305</v>
      </c>
      <c r="D2173" s="2" t="s">
        <v>347</v>
      </c>
      <c r="E2173" s="2">
        <v>7</v>
      </c>
      <c r="F2173" s="2">
        <v>28.78</v>
      </c>
    </row>
    <row r="2174" spans="3:6" x14ac:dyDescent="0.25">
      <c r="C2174" s="2" t="s">
        <v>7306</v>
      </c>
      <c r="D2174" s="2" t="s">
        <v>214</v>
      </c>
      <c r="E2174" s="2">
        <v>56</v>
      </c>
      <c r="F2174" s="2">
        <v>1090.03</v>
      </c>
    </row>
    <row r="2175" spans="3:6" x14ac:dyDescent="0.25">
      <c r="C2175" s="2" t="s">
        <v>7307</v>
      </c>
      <c r="D2175" s="2" t="s">
        <v>214</v>
      </c>
      <c r="E2175" s="2">
        <v>100</v>
      </c>
      <c r="F2175" s="2">
        <v>1994.989</v>
      </c>
    </row>
    <row r="2176" spans="3:6" x14ac:dyDescent="0.25">
      <c r="C2176" s="2" t="s">
        <v>7308</v>
      </c>
      <c r="D2176" s="2" t="s">
        <v>216</v>
      </c>
      <c r="E2176" s="2">
        <v>134</v>
      </c>
      <c r="F2176" s="2">
        <v>2666.369</v>
      </c>
    </row>
    <row r="2177" spans="3:6" x14ac:dyDescent="0.25">
      <c r="C2177" s="2" t="s">
        <v>7309</v>
      </c>
      <c r="D2177" s="2" t="s">
        <v>216</v>
      </c>
      <c r="E2177" s="2">
        <v>134</v>
      </c>
      <c r="F2177" s="2">
        <v>2572.93</v>
      </c>
    </row>
    <row r="2178" spans="3:6" x14ac:dyDescent="0.25">
      <c r="C2178" s="2" t="s">
        <v>7310</v>
      </c>
      <c r="D2178" s="2" t="s">
        <v>216</v>
      </c>
      <c r="E2178" s="2">
        <v>134</v>
      </c>
      <c r="F2178" s="2">
        <v>2685.49</v>
      </c>
    </row>
    <row r="2179" spans="3:6" x14ac:dyDescent="0.25">
      <c r="C2179" s="2" t="s">
        <v>7311</v>
      </c>
      <c r="D2179" s="2" t="s">
        <v>204</v>
      </c>
      <c r="E2179" s="2">
        <v>71</v>
      </c>
      <c r="F2179" s="2">
        <v>1323.049</v>
      </c>
    </row>
    <row r="2180" spans="3:6" x14ac:dyDescent="0.25">
      <c r="C2180" s="2" t="s">
        <v>7312</v>
      </c>
      <c r="D2180" s="2" t="s">
        <v>347</v>
      </c>
      <c r="E2180" s="2">
        <v>42</v>
      </c>
      <c r="F2180" s="2">
        <v>794.53</v>
      </c>
    </row>
    <row r="2181" spans="3:6" x14ac:dyDescent="0.25">
      <c r="C2181" s="2" t="s">
        <v>7313</v>
      </c>
      <c r="D2181" s="2" t="s">
        <v>347</v>
      </c>
      <c r="E2181" s="2">
        <v>100</v>
      </c>
      <c r="F2181" s="2">
        <v>1945.84</v>
      </c>
    </row>
    <row r="2182" spans="3:6" x14ac:dyDescent="0.25">
      <c r="C2182" s="2" t="s">
        <v>7314</v>
      </c>
      <c r="D2182" s="2" t="s">
        <v>347</v>
      </c>
      <c r="E2182" s="2">
        <v>14</v>
      </c>
      <c r="F2182" s="2">
        <v>266.76</v>
      </c>
    </row>
    <row r="2183" spans="3:6" x14ac:dyDescent="0.25">
      <c r="C2183" s="2" t="s">
        <v>7315</v>
      </c>
      <c r="D2183" s="2" t="s">
        <v>236</v>
      </c>
      <c r="E2183" s="2">
        <v>45</v>
      </c>
      <c r="F2183" s="2">
        <v>812.619</v>
      </c>
    </row>
    <row r="2184" spans="3:6" x14ac:dyDescent="0.25">
      <c r="C2184" s="2" t="s">
        <v>7316</v>
      </c>
      <c r="D2184" s="2" t="s">
        <v>236</v>
      </c>
      <c r="E2184" s="2">
        <v>45</v>
      </c>
      <c r="F2184" s="2">
        <v>850.18</v>
      </c>
    </row>
    <row r="2185" spans="3:6" x14ac:dyDescent="0.25">
      <c r="C2185" s="2" t="s">
        <v>7317</v>
      </c>
      <c r="D2185" s="2" t="s">
        <v>236</v>
      </c>
      <c r="E2185" s="2">
        <v>80</v>
      </c>
      <c r="F2185" s="2">
        <v>1661.94</v>
      </c>
    </row>
    <row r="2186" spans="3:6" x14ac:dyDescent="0.25">
      <c r="C2186" s="2" t="s">
        <v>7318</v>
      </c>
      <c r="D2186" s="2" t="s">
        <v>236</v>
      </c>
      <c r="E2186" s="2">
        <v>60</v>
      </c>
      <c r="F2186" s="2">
        <v>1120.52</v>
      </c>
    </row>
    <row r="2187" spans="3:6" x14ac:dyDescent="0.25">
      <c r="C2187" s="2" t="s">
        <v>7319</v>
      </c>
      <c r="D2187" s="2" t="s">
        <v>236</v>
      </c>
      <c r="E2187" s="2">
        <v>60</v>
      </c>
      <c r="F2187" s="2">
        <v>1138.85</v>
      </c>
    </row>
    <row r="2188" spans="3:6" x14ac:dyDescent="0.25">
      <c r="C2188" s="2" t="s">
        <v>7320</v>
      </c>
      <c r="D2188" s="2" t="s">
        <v>236</v>
      </c>
      <c r="E2188" s="2">
        <v>18</v>
      </c>
      <c r="F2188" s="2">
        <v>328.02</v>
      </c>
    </row>
    <row r="2189" spans="3:6" x14ac:dyDescent="0.25">
      <c r="C2189" s="2" t="s">
        <v>7078</v>
      </c>
      <c r="D2189" s="2" t="s">
        <v>204</v>
      </c>
      <c r="E2189" s="2">
        <v>163</v>
      </c>
      <c r="F2189" s="2">
        <v>3172.669</v>
      </c>
    </row>
    <row r="2190" spans="3:6" x14ac:dyDescent="0.25">
      <c r="C2190" s="2" t="s">
        <v>7079</v>
      </c>
      <c r="D2190" s="2" t="s">
        <v>204</v>
      </c>
      <c r="E2190" s="2">
        <v>105</v>
      </c>
      <c r="F2190" s="2">
        <v>2120.21</v>
      </c>
    </row>
    <row r="2191" spans="3:6" x14ac:dyDescent="0.25">
      <c r="C2191" s="2" t="s">
        <v>7080</v>
      </c>
      <c r="D2191" s="2" t="s">
        <v>204</v>
      </c>
      <c r="E2191" s="2">
        <v>105</v>
      </c>
      <c r="F2191" s="2">
        <v>2093.6</v>
      </c>
    </row>
    <row r="2192" spans="3:6" x14ac:dyDescent="0.25">
      <c r="C2192" s="2" t="s">
        <v>7321</v>
      </c>
      <c r="D2192" s="2" t="s">
        <v>216</v>
      </c>
      <c r="E2192" s="2">
        <v>134</v>
      </c>
      <c r="F2192" s="2">
        <v>2675.34</v>
      </c>
    </row>
    <row r="2193" spans="3:6" x14ac:dyDescent="0.25">
      <c r="C2193" s="2" t="s">
        <v>7091</v>
      </c>
      <c r="D2193" s="2" t="s">
        <v>204</v>
      </c>
      <c r="E2193" s="2">
        <v>163</v>
      </c>
      <c r="F2193" s="2">
        <v>3217.12</v>
      </c>
    </row>
    <row r="2194" spans="3:6" x14ac:dyDescent="0.25">
      <c r="C2194" s="2" t="s">
        <v>6973</v>
      </c>
      <c r="D2194" s="2" t="s">
        <v>204</v>
      </c>
      <c r="E2194" s="2">
        <v>105</v>
      </c>
      <c r="F2194" s="2">
        <v>2092.85</v>
      </c>
    </row>
    <row r="2195" spans="3:6" x14ac:dyDescent="0.25">
      <c r="C2195" s="2" t="s">
        <v>6990</v>
      </c>
      <c r="D2195" s="2" t="s">
        <v>216</v>
      </c>
      <c r="E2195" s="2">
        <v>42</v>
      </c>
      <c r="F2195" s="2">
        <v>794.64</v>
      </c>
    </row>
    <row r="2196" spans="3:6" x14ac:dyDescent="0.25">
      <c r="C2196" s="2" t="s">
        <v>7322</v>
      </c>
      <c r="D2196" s="2" t="s">
        <v>204</v>
      </c>
      <c r="E2196" s="2">
        <v>92</v>
      </c>
      <c r="F2196" s="2">
        <v>1750</v>
      </c>
    </row>
    <row r="2197" spans="3:6" x14ac:dyDescent="0.25">
      <c r="C2197" s="2" t="s">
        <v>7323</v>
      </c>
      <c r="D2197" s="2" t="s">
        <v>236</v>
      </c>
      <c r="E2197" s="2">
        <v>7</v>
      </c>
      <c r="F2197" s="2">
        <v>159</v>
      </c>
    </row>
    <row r="2199" spans="2:7" x14ac:dyDescent="0.25">
      <c r="B2199" s="2" t="s">
        <v>342</v>
      </c>
      <c r="C2199" s="2" t="s">
        <v>7324</v>
      </c>
      <c r="D2199" s="2" t="s">
        <v>342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7325</v>
      </c>
      <c r="D2200" s="2" t="s">
        <v>342</v>
      </c>
      <c r="E2200" s="2">
        <v>34</v>
      </c>
      <c r="F2200" s="2">
        <v>594.6</v>
      </c>
    </row>
    <row r="2201" spans="3:6" x14ac:dyDescent="0.25">
      <c r="C2201" s="2" t="s">
        <v>7326</v>
      </c>
      <c r="D2201" s="2" t="s">
        <v>342</v>
      </c>
      <c r="E2201" s="2">
        <v>157</v>
      </c>
      <c r="F2201" s="2">
        <v>3322.18</v>
      </c>
    </row>
    <row r="2203" spans="2:7" x14ac:dyDescent="0.25">
      <c r="B2203" s="2" t="s">
        <v>2077</v>
      </c>
      <c r="C2203" s="2" t="s">
        <v>7327</v>
      </c>
      <c r="D2203" s="2" t="s">
        <v>216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7328</v>
      </c>
      <c r="D2204" s="2" t="s">
        <v>297</v>
      </c>
      <c r="E2204" s="2">
        <v>156</v>
      </c>
      <c r="F2204" s="2">
        <v>2862.15</v>
      </c>
    </row>
    <row r="2205" spans="3:6" x14ac:dyDescent="0.25">
      <c r="C2205" s="2" t="s">
        <v>7329</v>
      </c>
      <c r="D2205" s="2" t="s">
        <v>216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18</v>
      </c>
      <c r="C2207" s="2" t="s">
        <v>7330</v>
      </c>
      <c r="D2207" s="2" t="s">
        <v>20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7331</v>
      </c>
      <c r="D2208" s="2" t="s">
        <v>20</v>
      </c>
      <c r="E2208" s="2">
        <v>142</v>
      </c>
      <c r="F2208" s="2">
        <v>2749.72</v>
      </c>
    </row>
    <row r="2209" spans="3:6" x14ac:dyDescent="0.25">
      <c r="C2209" s="2" t="s">
        <v>7332</v>
      </c>
      <c r="D2209" s="2" t="s">
        <v>20</v>
      </c>
      <c r="E2209" s="2">
        <v>102</v>
      </c>
      <c r="F2209" s="2">
        <v>1972.97</v>
      </c>
    </row>
    <row r="2210" spans="3:6" x14ac:dyDescent="0.25">
      <c r="C2210" s="2" t="s">
        <v>7333</v>
      </c>
      <c r="D2210" s="2" t="s">
        <v>20</v>
      </c>
      <c r="E2210" s="2">
        <v>94</v>
      </c>
      <c r="F2210" s="2">
        <v>2090.93</v>
      </c>
    </row>
    <row r="2211" spans="3:6" x14ac:dyDescent="0.25">
      <c r="C2211" s="2" t="s">
        <v>7334</v>
      </c>
      <c r="D2211" s="2" t="s">
        <v>20</v>
      </c>
      <c r="E2211" s="2">
        <v>142</v>
      </c>
      <c r="F2211" s="2">
        <v>2752.41</v>
      </c>
    </row>
    <row r="2212" spans="3:6" x14ac:dyDescent="0.25">
      <c r="C2212" s="2" t="s">
        <v>7335</v>
      </c>
      <c r="D2212" s="2" t="s">
        <v>20</v>
      </c>
      <c r="E2212" s="2">
        <v>142</v>
      </c>
      <c r="F2212" s="2">
        <v>2902.959</v>
      </c>
    </row>
    <row r="2213" spans="3:6" x14ac:dyDescent="0.25">
      <c r="C2213" s="2" t="s">
        <v>7336</v>
      </c>
      <c r="D2213" s="2" t="s">
        <v>20</v>
      </c>
      <c r="E2213" s="2">
        <v>102</v>
      </c>
      <c r="F2213" s="2">
        <v>2032.549</v>
      </c>
    </row>
    <row r="2214" spans="3:6" x14ac:dyDescent="0.25">
      <c r="C2214" s="2" t="s">
        <v>7109</v>
      </c>
      <c r="D2214" s="2" t="s">
        <v>20</v>
      </c>
      <c r="E2214" s="2">
        <v>312</v>
      </c>
      <c r="F2214" s="2">
        <v>6378.748</v>
      </c>
    </row>
    <row r="2215" spans="3:6" x14ac:dyDescent="0.25">
      <c r="C2215" s="2" t="s">
        <v>7112</v>
      </c>
      <c r="D2215" s="2" t="s">
        <v>20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1434</v>
      </c>
      <c r="C2217" s="2" t="s">
        <v>7337</v>
      </c>
      <c r="D2217" s="2" t="s">
        <v>27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7338</v>
      </c>
      <c r="D2218" s="2" t="s">
        <v>27</v>
      </c>
      <c r="E2218" s="2">
        <v>41</v>
      </c>
      <c r="F2218" s="2">
        <v>710.69</v>
      </c>
    </row>
    <row r="2219" spans="3:6" x14ac:dyDescent="0.25">
      <c r="C2219" s="2" t="s">
        <v>7339</v>
      </c>
      <c r="D2219" s="2" t="s">
        <v>27</v>
      </c>
      <c r="E2219" s="2">
        <v>83</v>
      </c>
      <c r="F2219" s="2">
        <v>1736.87</v>
      </c>
    </row>
    <row r="2220" spans="3:6" x14ac:dyDescent="0.25">
      <c r="C2220" s="2" t="s">
        <v>7340</v>
      </c>
      <c r="D2220" s="2" t="s">
        <v>27</v>
      </c>
      <c r="E2220" s="2">
        <v>98</v>
      </c>
      <c r="F2220" s="2">
        <v>1903.42</v>
      </c>
    </row>
    <row r="2221" spans="3:6" x14ac:dyDescent="0.25">
      <c r="C2221" s="2" t="s">
        <v>7341</v>
      </c>
      <c r="D2221" s="2" t="s">
        <v>27</v>
      </c>
      <c r="E2221" s="2">
        <v>89</v>
      </c>
      <c r="F2221" s="2">
        <v>1795.02</v>
      </c>
    </row>
    <row r="2222" spans="3:6" x14ac:dyDescent="0.25">
      <c r="C2222" s="2" t="s">
        <v>7342</v>
      </c>
      <c r="D2222" s="2" t="s">
        <v>27</v>
      </c>
      <c r="E2222" s="2">
        <v>6</v>
      </c>
      <c r="F2222" s="2">
        <v>111.24</v>
      </c>
    </row>
    <row r="2223" spans="3:6" x14ac:dyDescent="0.25">
      <c r="C2223" s="2" t="s">
        <v>7343</v>
      </c>
      <c r="D2223" s="2" t="s">
        <v>27</v>
      </c>
      <c r="E2223" s="2">
        <v>93</v>
      </c>
      <c r="F2223" s="2">
        <v>1787.497</v>
      </c>
    </row>
    <row r="2224" spans="3:6" x14ac:dyDescent="0.25">
      <c r="C2224" s="2" t="s">
        <v>7344</v>
      </c>
      <c r="D2224" s="2" t="s">
        <v>27</v>
      </c>
      <c r="E2224" s="2">
        <v>30</v>
      </c>
      <c r="F2224" s="2">
        <v>536.01</v>
      </c>
    </row>
    <row r="2225" spans="3:6" x14ac:dyDescent="0.25">
      <c r="C2225" s="2" t="s">
        <v>7345</v>
      </c>
      <c r="D2225" s="2" t="s">
        <v>27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10</v>
      </c>
      <c r="C2227" s="2" t="s">
        <v>7346</v>
      </c>
      <c r="D2227" s="2" t="s">
        <v>12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7347</v>
      </c>
      <c r="D2228" s="2" t="s">
        <v>12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10</v>
      </c>
      <c r="C2230" s="2" t="s">
        <v>7348</v>
      </c>
      <c r="D2230" s="2" t="s">
        <v>12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7349</v>
      </c>
      <c r="D2231" s="2" t="s">
        <v>12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238</v>
      </c>
      <c r="C2233" s="2" t="s">
        <v>7350</v>
      </c>
      <c r="D2233" s="2" t="s">
        <v>204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7351</v>
      </c>
      <c r="D2234" s="2" t="s">
        <v>204</v>
      </c>
      <c r="E2234" s="2">
        <v>105</v>
      </c>
      <c r="F2234" s="2">
        <v>2096.489</v>
      </c>
    </row>
    <row r="2235" spans="3:6" x14ac:dyDescent="0.25">
      <c r="C2235" s="2" t="s">
        <v>7352</v>
      </c>
      <c r="D2235" s="2" t="s">
        <v>204</v>
      </c>
      <c r="E2235" s="2">
        <v>134</v>
      </c>
      <c r="F2235" s="2">
        <v>2657.09</v>
      </c>
    </row>
    <row r="2236" spans="3:6" x14ac:dyDescent="0.25">
      <c r="C2236" s="2" t="s">
        <v>7353</v>
      </c>
      <c r="D2236" s="2" t="s">
        <v>204</v>
      </c>
      <c r="E2236" s="2">
        <v>134</v>
      </c>
      <c r="F2236" s="2">
        <v>2403.438</v>
      </c>
    </row>
    <row r="2237" spans="3:6" x14ac:dyDescent="0.25">
      <c r="C2237" s="2" t="s">
        <v>7354</v>
      </c>
      <c r="D2237" s="2" t="s">
        <v>204</v>
      </c>
      <c r="E2237" s="2">
        <v>134</v>
      </c>
      <c r="F2237" s="2">
        <v>2717.04</v>
      </c>
    </row>
    <row r="2238" spans="3:6" x14ac:dyDescent="0.25">
      <c r="C2238" s="2" t="s">
        <v>7355</v>
      </c>
      <c r="D2238" s="2" t="s">
        <v>204</v>
      </c>
      <c r="E2238" s="2">
        <v>134</v>
      </c>
      <c r="F2238" s="2">
        <v>2497.89</v>
      </c>
    </row>
    <row r="2239" spans="3:6" x14ac:dyDescent="0.25">
      <c r="C2239" s="2" t="s">
        <v>7356</v>
      </c>
      <c r="D2239" s="2" t="s">
        <v>204</v>
      </c>
      <c r="E2239" s="2">
        <v>134</v>
      </c>
      <c r="F2239" s="2">
        <v>2758.639</v>
      </c>
    </row>
    <row r="2240" spans="3:5" x14ac:dyDescent="0.25">
      <c r="C2240" s="2" t="s">
        <v>7357</v>
      </c>
      <c r="D2240" s="2" t="s">
        <v>204</v>
      </c>
      <c r="E2240" s="2">
        <v>37</v>
      </c>
    </row>
    <row r="2241" spans="3:6" x14ac:dyDescent="0.25">
      <c r="C2241" s="2" t="s">
        <v>7358</v>
      </c>
      <c r="D2241" s="2" t="s">
        <v>204</v>
      </c>
      <c r="E2241" s="2">
        <v>126</v>
      </c>
      <c r="F2241" s="2">
        <v>2463.079</v>
      </c>
    </row>
    <row r="2242" spans="3:6" x14ac:dyDescent="0.25">
      <c r="C2242" s="2" t="s">
        <v>7359</v>
      </c>
      <c r="D2242" s="2" t="s">
        <v>204</v>
      </c>
      <c r="E2242" s="2">
        <v>163</v>
      </c>
      <c r="F2242" s="2">
        <v>3211.839</v>
      </c>
    </row>
    <row r="2243" spans="3:6" x14ac:dyDescent="0.25">
      <c r="C2243" s="2" t="s">
        <v>7360</v>
      </c>
      <c r="D2243" s="2" t="s">
        <v>204</v>
      </c>
      <c r="E2243" s="2">
        <v>163</v>
      </c>
      <c r="F2243" s="2">
        <v>3197.89</v>
      </c>
    </row>
    <row r="2244" spans="3:6" x14ac:dyDescent="0.25">
      <c r="C2244" s="2" t="s">
        <v>7361</v>
      </c>
      <c r="D2244" s="2" t="s">
        <v>204</v>
      </c>
      <c r="E2244" s="2">
        <v>163</v>
      </c>
      <c r="F2244" s="2">
        <v>3150.608</v>
      </c>
    </row>
    <row r="2245" spans="3:6" x14ac:dyDescent="0.25">
      <c r="C2245" s="2" t="s">
        <v>7362</v>
      </c>
      <c r="D2245" s="2" t="s">
        <v>204</v>
      </c>
      <c r="E2245" s="2">
        <v>163</v>
      </c>
      <c r="F2245" s="2">
        <v>3229.47</v>
      </c>
    </row>
    <row r="2246" spans="3:6" x14ac:dyDescent="0.25">
      <c r="C2246" s="2" t="s">
        <v>7363</v>
      </c>
      <c r="D2246" s="2" t="s">
        <v>204</v>
      </c>
      <c r="E2246" s="2">
        <v>163</v>
      </c>
      <c r="F2246" s="2">
        <v>3167.309</v>
      </c>
    </row>
    <row r="2247" spans="3:6" x14ac:dyDescent="0.25">
      <c r="C2247" s="2" t="s">
        <v>7364</v>
      </c>
      <c r="D2247" s="2" t="s">
        <v>204</v>
      </c>
      <c r="E2247" s="2">
        <v>105</v>
      </c>
      <c r="F2247" s="2">
        <v>1785.62</v>
      </c>
    </row>
    <row r="2248" spans="3:6" x14ac:dyDescent="0.25">
      <c r="C2248" s="2" t="s">
        <v>7365</v>
      </c>
      <c r="D2248" s="2" t="s">
        <v>204</v>
      </c>
      <c r="E2248" s="2">
        <v>36</v>
      </c>
      <c r="F2248" s="2">
        <v>877.56</v>
      </c>
    </row>
    <row r="2249" spans="3:6" x14ac:dyDescent="0.25">
      <c r="C2249" s="2" t="s">
        <v>7366</v>
      </c>
      <c r="D2249" s="2" t="s">
        <v>204</v>
      </c>
      <c r="E2249" s="2">
        <v>95</v>
      </c>
      <c r="F2249" s="2">
        <v>451.286</v>
      </c>
    </row>
    <row r="2250" spans="3:6" x14ac:dyDescent="0.25">
      <c r="C2250" s="2" t="s">
        <v>7367</v>
      </c>
      <c r="D2250" s="2" t="s">
        <v>204</v>
      </c>
      <c r="E2250" s="2">
        <v>163</v>
      </c>
      <c r="F2250" s="2">
        <v>3250.4</v>
      </c>
    </row>
    <row r="2251" spans="3:6" x14ac:dyDescent="0.25">
      <c r="C2251" s="2" t="s">
        <v>7368</v>
      </c>
      <c r="D2251" s="2" t="s">
        <v>204</v>
      </c>
      <c r="E2251" s="2">
        <v>163</v>
      </c>
      <c r="F2251" s="2">
        <v>2901.769</v>
      </c>
    </row>
    <row r="2252" spans="3:6" x14ac:dyDescent="0.25">
      <c r="C2252" s="2" t="s">
        <v>7369</v>
      </c>
      <c r="D2252" s="2" t="s">
        <v>204</v>
      </c>
      <c r="E2252" s="2">
        <v>105</v>
      </c>
      <c r="F2252" s="2">
        <v>2167.448</v>
      </c>
    </row>
    <row r="2253" spans="3:6" x14ac:dyDescent="0.25">
      <c r="C2253" s="2" t="s">
        <v>7370</v>
      </c>
      <c r="D2253" s="2" t="s">
        <v>214</v>
      </c>
      <c r="E2253" s="2">
        <v>100</v>
      </c>
      <c r="F2253" s="2">
        <v>1944.36</v>
      </c>
    </row>
    <row r="2254" spans="3:6" x14ac:dyDescent="0.25">
      <c r="C2254" s="2" t="s">
        <v>7371</v>
      </c>
      <c r="D2254" s="2" t="s">
        <v>214</v>
      </c>
      <c r="E2254" s="2">
        <v>56</v>
      </c>
      <c r="F2254" s="2">
        <v>1123.43</v>
      </c>
    </row>
    <row r="2255" spans="3:6" x14ac:dyDescent="0.25">
      <c r="C2255" s="2" t="s">
        <v>7372</v>
      </c>
      <c r="D2255" s="2" t="s">
        <v>214</v>
      </c>
      <c r="E2255" s="2">
        <v>100</v>
      </c>
      <c r="F2255" s="2">
        <v>1935.63</v>
      </c>
    </row>
    <row r="2256" spans="3:6" x14ac:dyDescent="0.25">
      <c r="C2256" s="2" t="s">
        <v>7373</v>
      </c>
      <c r="D2256" s="2" t="s">
        <v>214</v>
      </c>
      <c r="E2256" s="2">
        <v>56</v>
      </c>
      <c r="F2256" s="2">
        <v>1097.72</v>
      </c>
    </row>
    <row r="2257" spans="3:6" x14ac:dyDescent="0.25">
      <c r="C2257" s="2" t="s">
        <v>7374</v>
      </c>
      <c r="D2257" s="2" t="s">
        <v>214</v>
      </c>
      <c r="E2257" s="2">
        <v>100</v>
      </c>
      <c r="F2257" s="2">
        <v>1958.14</v>
      </c>
    </row>
    <row r="2258" spans="3:6" x14ac:dyDescent="0.25">
      <c r="C2258" s="2" t="s">
        <v>7375</v>
      </c>
      <c r="D2258" s="2" t="s">
        <v>214</v>
      </c>
      <c r="E2258" s="2">
        <v>56</v>
      </c>
      <c r="F2258" s="2">
        <v>1141.66</v>
      </c>
    </row>
    <row r="2259" spans="3:5" x14ac:dyDescent="0.25">
      <c r="C2259" s="2" t="s">
        <v>7376</v>
      </c>
      <c r="D2259" s="2" t="s">
        <v>236</v>
      </c>
      <c r="E2259" s="2">
        <v>7</v>
      </c>
    </row>
    <row r="2260" spans="3:6" x14ac:dyDescent="0.25">
      <c r="C2260" s="2" t="s">
        <v>7377</v>
      </c>
      <c r="D2260" s="2" t="s">
        <v>236</v>
      </c>
      <c r="E2260" s="2">
        <v>18</v>
      </c>
      <c r="F2260" s="2">
        <v>312.93</v>
      </c>
    </row>
    <row r="2261" spans="3:6" x14ac:dyDescent="0.25">
      <c r="C2261" s="2" t="s">
        <v>7378</v>
      </c>
      <c r="D2261" s="2" t="s">
        <v>236</v>
      </c>
      <c r="E2261" s="2">
        <v>80</v>
      </c>
      <c r="F2261" s="2">
        <v>1581.19</v>
      </c>
    </row>
    <row r="2262" spans="3:6" x14ac:dyDescent="0.25">
      <c r="C2262" s="2" t="s">
        <v>7379</v>
      </c>
      <c r="D2262" s="2" t="s">
        <v>236</v>
      </c>
      <c r="E2262" s="2">
        <v>80</v>
      </c>
      <c r="F2262" s="2">
        <v>1544.65</v>
      </c>
    </row>
    <row r="2263" spans="3:6" x14ac:dyDescent="0.25">
      <c r="C2263" s="2" t="s">
        <v>7380</v>
      </c>
      <c r="D2263" s="2" t="s">
        <v>236</v>
      </c>
      <c r="E2263" s="2">
        <v>26</v>
      </c>
      <c r="F2263" s="2">
        <v>509.19</v>
      </c>
    </row>
    <row r="2264" spans="3:6" x14ac:dyDescent="0.25">
      <c r="C2264" s="2" t="s">
        <v>7381</v>
      </c>
      <c r="D2264" s="2" t="s">
        <v>236</v>
      </c>
      <c r="E2264" s="2">
        <v>45</v>
      </c>
      <c r="F2264" s="2">
        <v>853.19</v>
      </c>
    </row>
    <row r="2265" spans="3:6" x14ac:dyDescent="0.25">
      <c r="C2265" s="2" t="s">
        <v>7382</v>
      </c>
      <c r="D2265" s="2" t="s">
        <v>236</v>
      </c>
      <c r="E2265" s="2">
        <v>60</v>
      </c>
      <c r="F2265" s="2">
        <v>1081.51</v>
      </c>
    </row>
    <row r="2266" spans="3:6" x14ac:dyDescent="0.25">
      <c r="C2266" s="2" t="s">
        <v>7383</v>
      </c>
      <c r="D2266" s="2" t="s">
        <v>347</v>
      </c>
      <c r="E2266" s="2">
        <v>100</v>
      </c>
      <c r="F2266" s="2">
        <v>1933.76</v>
      </c>
    </row>
    <row r="2267" spans="3:6" x14ac:dyDescent="0.25">
      <c r="C2267" s="2" t="s">
        <v>7384</v>
      </c>
      <c r="D2267" s="2" t="s">
        <v>347</v>
      </c>
      <c r="E2267" s="2">
        <v>20</v>
      </c>
      <c r="F2267" s="2">
        <v>370.82</v>
      </c>
    </row>
    <row r="2268" spans="3:6" x14ac:dyDescent="0.25">
      <c r="C2268" s="2" t="s">
        <v>7385</v>
      </c>
      <c r="D2268" s="2" t="s">
        <v>347</v>
      </c>
      <c r="E2268" s="2">
        <v>36</v>
      </c>
      <c r="F2268" s="2">
        <v>680.92</v>
      </c>
    </row>
    <row r="2270" spans="2:7" x14ac:dyDescent="0.25">
      <c r="B2270" s="2" t="s">
        <v>6539</v>
      </c>
      <c r="C2270" s="2" t="s">
        <v>7386</v>
      </c>
      <c r="D2270" s="2" t="s">
        <v>342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7326</v>
      </c>
      <c r="D2271" s="2" t="s">
        <v>342</v>
      </c>
      <c r="E2271" s="2">
        <v>157</v>
      </c>
      <c r="F2271" s="2">
        <v>3322.18</v>
      </c>
    </row>
    <row r="2273" spans="2:7" x14ac:dyDescent="0.25">
      <c r="B2273" s="2" t="s">
        <v>2077</v>
      </c>
      <c r="C2273" s="2" t="s">
        <v>7387</v>
      </c>
      <c r="D2273" s="2" t="s">
        <v>297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7388</v>
      </c>
      <c r="D2274" s="2" t="s">
        <v>297</v>
      </c>
      <c r="E2274" s="2">
        <v>128</v>
      </c>
      <c r="F2274" s="2">
        <v>2315.8</v>
      </c>
    </row>
    <row r="2275" spans="3:6" x14ac:dyDescent="0.25">
      <c r="C2275" s="2" t="s">
        <v>7389</v>
      </c>
      <c r="D2275" s="2" t="s">
        <v>297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7390</v>
      </c>
      <c r="C2277" s="2" t="s">
        <v>7391</v>
      </c>
      <c r="D2277" s="2" t="s">
        <v>20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7392</v>
      </c>
      <c r="D2278" s="2" t="s">
        <v>20</v>
      </c>
      <c r="E2278" s="2">
        <v>156</v>
      </c>
      <c r="F2278" s="2">
        <v>2977.31</v>
      </c>
    </row>
    <row r="2279" spans="3:6" x14ac:dyDescent="0.25">
      <c r="C2279" s="2" t="s">
        <v>7393</v>
      </c>
      <c r="D2279" s="2" t="s">
        <v>20</v>
      </c>
      <c r="E2279" s="2">
        <v>105</v>
      </c>
      <c r="F2279" s="2">
        <v>2031.02</v>
      </c>
    </row>
    <row r="2280" spans="3:6" x14ac:dyDescent="0.25">
      <c r="C2280" s="2" t="s">
        <v>7394</v>
      </c>
      <c r="D2280" s="2" t="s">
        <v>20</v>
      </c>
      <c r="E2280" s="2">
        <v>156</v>
      </c>
      <c r="F2280" s="2">
        <v>3205.64</v>
      </c>
    </row>
    <row r="2281" spans="3:6" x14ac:dyDescent="0.25">
      <c r="C2281" s="2" t="s">
        <v>7395</v>
      </c>
      <c r="D2281" s="2" t="s">
        <v>20</v>
      </c>
      <c r="E2281" s="2">
        <v>97</v>
      </c>
      <c r="F2281" s="2">
        <v>2094.35</v>
      </c>
    </row>
    <row r="2282" spans="3:6" x14ac:dyDescent="0.25">
      <c r="C2282" s="2" t="s">
        <v>7396</v>
      </c>
      <c r="D2282" s="2" t="s">
        <v>20</v>
      </c>
      <c r="E2282" s="2">
        <v>210</v>
      </c>
      <c r="F2282" s="2">
        <v>4078.599</v>
      </c>
    </row>
    <row r="2283" spans="3:6" x14ac:dyDescent="0.25">
      <c r="C2283" s="2" t="s">
        <v>7397</v>
      </c>
      <c r="D2283" s="2" t="s">
        <v>20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120</v>
      </c>
      <c r="C2285" s="2" t="s">
        <v>7398</v>
      </c>
      <c r="D2285" s="2" t="s">
        <v>42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7399</v>
      </c>
      <c r="D2286" s="2" t="s">
        <v>42</v>
      </c>
      <c r="E2286" s="2">
        <v>100</v>
      </c>
      <c r="F2286" s="2">
        <v>2032.9</v>
      </c>
    </row>
    <row r="2287" spans="3:6" x14ac:dyDescent="0.25">
      <c r="C2287" s="2" t="s">
        <v>7400</v>
      </c>
      <c r="D2287" s="2" t="s">
        <v>42</v>
      </c>
      <c r="E2287" s="2">
        <v>100</v>
      </c>
      <c r="F2287" s="2">
        <v>2000.49</v>
      </c>
    </row>
    <row r="2288" spans="3:6" x14ac:dyDescent="0.25">
      <c r="C2288" s="2" t="s">
        <v>7401</v>
      </c>
      <c r="D2288" s="2" t="s">
        <v>42</v>
      </c>
      <c r="E2288" s="2">
        <v>123</v>
      </c>
      <c r="F2288" s="2">
        <v>2713.79</v>
      </c>
    </row>
    <row r="2289" spans="3:6" x14ac:dyDescent="0.25">
      <c r="C2289" s="2" t="s">
        <v>7402</v>
      </c>
      <c r="D2289" s="2" t="s">
        <v>42</v>
      </c>
      <c r="E2289" s="2">
        <v>65</v>
      </c>
      <c r="F2289" s="2">
        <v>1287.49</v>
      </c>
    </row>
    <row r="2290" spans="3:6" x14ac:dyDescent="0.25">
      <c r="C2290" s="2" t="s">
        <v>7403</v>
      </c>
      <c r="D2290" s="2" t="s">
        <v>42</v>
      </c>
      <c r="E2290" s="2">
        <v>10</v>
      </c>
      <c r="F2290" s="2">
        <v>180.02</v>
      </c>
    </row>
    <row r="2291" spans="3:6" x14ac:dyDescent="0.25">
      <c r="C2291" s="2" t="s">
        <v>7404</v>
      </c>
      <c r="D2291" s="2" t="s">
        <v>42</v>
      </c>
      <c r="E2291" s="2">
        <v>64</v>
      </c>
      <c r="F2291" s="2">
        <v>1221.88</v>
      </c>
    </row>
    <row r="2292" spans="3:6" x14ac:dyDescent="0.25">
      <c r="C2292" s="2" t="s">
        <v>7405</v>
      </c>
      <c r="D2292" s="2" t="s">
        <v>42</v>
      </c>
      <c r="E2292" s="2">
        <v>134</v>
      </c>
      <c r="F2292" s="2">
        <v>2959.33</v>
      </c>
    </row>
    <row r="2293" spans="3:6" x14ac:dyDescent="0.25">
      <c r="C2293" s="2" t="s">
        <v>7406</v>
      </c>
      <c r="D2293" s="2" t="s">
        <v>42</v>
      </c>
      <c r="E2293" s="2">
        <v>141</v>
      </c>
      <c r="F2293" s="2">
        <v>2811.79</v>
      </c>
    </row>
    <row r="2294" spans="3:6" x14ac:dyDescent="0.25">
      <c r="C2294" s="2" t="s">
        <v>7407</v>
      </c>
      <c r="D2294" s="2" t="s">
        <v>42</v>
      </c>
      <c r="E2294" s="2">
        <v>123</v>
      </c>
      <c r="F2294" s="2">
        <v>2675.46</v>
      </c>
    </row>
    <row r="2295" spans="3:6" x14ac:dyDescent="0.25">
      <c r="C2295" s="2" t="s">
        <v>7408</v>
      </c>
      <c r="D2295" s="2" t="s">
        <v>42</v>
      </c>
      <c r="E2295" s="2">
        <v>45</v>
      </c>
      <c r="F2295" s="2">
        <v>211.15</v>
      </c>
    </row>
    <row r="2296" spans="3:6" x14ac:dyDescent="0.25">
      <c r="C2296" s="2" t="s">
        <v>7409</v>
      </c>
      <c r="D2296" s="2" t="s">
        <v>42</v>
      </c>
      <c r="E2296" s="2">
        <v>77</v>
      </c>
      <c r="F2296" s="2">
        <v>1448.57</v>
      </c>
    </row>
    <row r="2297" spans="3:6" x14ac:dyDescent="0.25">
      <c r="C2297" s="2" t="s">
        <v>7410</v>
      </c>
      <c r="D2297" s="2" t="s">
        <v>42</v>
      </c>
      <c r="E2297" s="2">
        <v>75</v>
      </c>
      <c r="F2297" s="2">
        <v>1657.32</v>
      </c>
    </row>
    <row r="2298" spans="3:6" x14ac:dyDescent="0.25">
      <c r="C2298" s="2" t="s">
        <v>7411</v>
      </c>
      <c r="D2298" s="2" t="s">
        <v>42</v>
      </c>
      <c r="E2298" s="2">
        <v>141</v>
      </c>
      <c r="F2298" s="2">
        <v>2726.16</v>
      </c>
    </row>
    <row r="2299" spans="3:6" x14ac:dyDescent="0.25">
      <c r="C2299" s="2" t="s">
        <v>7412</v>
      </c>
      <c r="D2299" s="2" t="s">
        <v>42</v>
      </c>
      <c r="E2299" s="2">
        <v>58</v>
      </c>
      <c r="F2299" s="2">
        <v>1170.96</v>
      </c>
    </row>
    <row r="2300" spans="3:6" x14ac:dyDescent="0.25">
      <c r="C2300" s="2" t="s">
        <v>7413</v>
      </c>
      <c r="D2300" s="2" t="s">
        <v>42</v>
      </c>
      <c r="E2300" s="2">
        <v>56</v>
      </c>
      <c r="F2300" s="2">
        <v>1007.73</v>
      </c>
    </row>
    <row r="2301" spans="3:6" x14ac:dyDescent="0.25">
      <c r="C2301" s="2" t="s">
        <v>7414</v>
      </c>
      <c r="D2301" s="2" t="s">
        <v>42</v>
      </c>
      <c r="E2301" s="2">
        <v>141</v>
      </c>
      <c r="F2301" s="2">
        <v>2795.26</v>
      </c>
    </row>
    <row r="2302" spans="3:6" x14ac:dyDescent="0.25">
      <c r="C2302" s="2" t="s">
        <v>7415</v>
      </c>
      <c r="D2302" s="2" t="s">
        <v>42</v>
      </c>
      <c r="E2302" s="2">
        <v>50</v>
      </c>
      <c r="F2302" s="2">
        <v>235.7</v>
      </c>
    </row>
    <row r="2303" spans="3:6" x14ac:dyDescent="0.25">
      <c r="C2303" s="2" t="s">
        <v>7416</v>
      </c>
      <c r="D2303" s="2" t="s">
        <v>42</v>
      </c>
      <c r="E2303" s="2">
        <v>45</v>
      </c>
      <c r="F2303" s="2">
        <v>219.18</v>
      </c>
    </row>
    <row r="2304" spans="3:6" x14ac:dyDescent="0.25">
      <c r="C2304" s="2" t="s">
        <v>7417</v>
      </c>
      <c r="D2304" s="2" t="s">
        <v>42</v>
      </c>
      <c r="E2304" s="2">
        <v>12</v>
      </c>
      <c r="F2304" s="2">
        <v>200.61</v>
      </c>
    </row>
    <row r="2305" spans="3:6" x14ac:dyDescent="0.25">
      <c r="C2305" s="2" t="s">
        <v>7418</v>
      </c>
      <c r="D2305" s="2" t="s">
        <v>42</v>
      </c>
      <c r="E2305" s="2">
        <v>11</v>
      </c>
      <c r="F2305" s="2">
        <v>232.13</v>
      </c>
    </row>
    <row r="2306" spans="3:6" x14ac:dyDescent="0.25">
      <c r="C2306" s="2" t="s">
        <v>7419</v>
      </c>
      <c r="D2306" s="2" t="s">
        <v>42</v>
      </c>
      <c r="E2306" s="2">
        <v>67</v>
      </c>
      <c r="F2306" s="2">
        <v>1331.86</v>
      </c>
    </row>
    <row r="2307" spans="3:6" x14ac:dyDescent="0.25">
      <c r="C2307" s="2" t="s">
        <v>7420</v>
      </c>
      <c r="D2307" s="2" t="s">
        <v>42</v>
      </c>
      <c r="E2307" s="2">
        <v>33</v>
      </c>
      <c r="F2307" s="2">
        <v>638.09</v>
      </c>
    </row>
    <row r="2308" spans="3:6" x14ac:dyDescent="0.25">
      <c r="C2308" s="2" t="s">
        <v>7421</v>
      </c>
      <c r="D2308" s="2" t="s">
        <v>42</v>
      </c>
      <c r="E2308" s="2">
        <v>48</v>
      </c>
      <c r="F2308" s="2">
        <v>803.64</v>
      </c>
    </row>
    <row r="2309" spans="3:6" x14ac:dyDescent="0.25">
      <c r="C2309" s="2" t="s">
        <v>7422</v>
      </c>
      <c r="D2309" s="2" t="s">
        <v>42</v>
      </c>
      <c r="E2309" s="2">
        <v>60</v>
      </c>
      <c r="F2309" s="2">
        <v>1135.47</v>
      </c>
    </row>
    <row r="2310" spans="3:6" x14ac:dyDescent="0.25">
      <c r="C2310" s="2" t="s">
        <v>7423</v>
      </c>
      <c r="D2310" s="2" t="s">
        <v>42</v>
      </c>
      <c r="E2310" s="2">
        <v>28</v>
      </c>
      <c r="F2310" s="2">
        <v>543.92</v>
      </c>
    </row>
    <row r="2311" spans="3:6" x14ac:dyDescent="0.25">
      <c r="C2311" s="2" t="s">
        <v>7424</v>
      </c>
      <c r="D2311" s="2" t="s">
        <v>42</v>
      </c>
      <c r="E2311" s="2">
        <v>20</v>
      </c>
      <c r="F2311" s="2">
        <v>402.08</v>
      </c>
    </row>
    <row r="2312" spans="3:6" x14ac:dyDescent="0.25">
      <c r="C2312" s="2" t="s">
        <v>7425</v>
      </c>
      <c r="D2312" s="2" t="s">
        <v>42</v>
      </c>
      <c r="E2312" s="2">
        <v>18</v>
      </c>
      <c r="F2312" s="2">
        <v>345.99</v>
      </c>
    </row>
    <row r="2313" spans="3:6" x14ac:dyDescent="0.25">
      <c r="C2313" s="2" t="s">
        <v>7426</v>
      </c>
      <c r="D2313" s="2" t="s">
        <v>42</v>
      </c>
      <c r="E2313" s="2">
        <v>45</v>
      </c>
      <c r="F2313" s="2">
        <v>239.68</v>
      </c>
    </row>
    <row r="2314" spans="3:6" x14ac:dyDescent="0.25">
      <c r="C2314" s="2" t="s">
        <v>7427</v>
      </c>
      <c r="D2314" s="2" t="s">
        <v>42</v>
      </c>
      <c r="E2314" s="2">
        <v>103</v>
      </c>
      <c r="F2314" s="2">
        <v>2030.129</v>
      </c>
    </row>
    <row r="2315" spans="3:6" x14ac:dyDescent="0.25">
      <c r="C2315" s="2" t="s">
        <v>7428</v>
      </c>
      <c r="D2315" s="2" t="s">
        <v>42</v>
      </c>
      <c r="E2315" s="2">
        <v>91</v>
      </c>
      <c r="F2315" s="2">
        <v>1791.68</v>
      </c>
    </row>
    <row r="2316" spans="3:6" x14ac:dyDescent="0.25">
      <c r="C2316" s="2" t="s">
        <v>7429</v>
      </c>
      <c r="D2316" s="2" t="s">
        <v>42</v>
      </c>
      <c r="E2316" s="2">
        <v>38</v>
      </c>
      <c r="F2316" s="2">
        <v>801.85</v>
      </c>
    </row>
    <row r="2317" spans="3:6" x14ac:dyDescent="0.25">
      <c r="C2317" s="2" t="s">
        <v>7430</v>
      </c>
      <c r="D2317" s="2" t="s">
        <v>42</v>
      </c>
      <c r="E2317" s="2">
        <v>15</v>
      </c>
      <c r="F2317" s="2">
        <v>312.07</v>
      </c>
    </row>
    <row r="2318" spans="3:6" x14ac:dyDescent="0.25">
      <c r="C2318" s="2" t="s">
        <v>7431</v>
      </c>
      <c r="D2318" s="2" t="s">
        <v>42</v>
      </c>
      <c r="E2318" s="2">
        <v>44</v>
      </c>
      <c r="F2318" s="2">
        <v>893.21</v>
      </c>
    </row>
    <row r="2319" spans="3:6" x14ac:dyDescent="0.25">
      <c r="C2319" s="2" t="s">
        <v>7432</v>
      </c>
      <c r="D2319" s="2" t="s">
        <v>42</v>
      </c>
      <c r="E2319" s="2">
        <v>35</v>
      </c>
      <c r="F2319" s="2">
        <v>753.18</v>
      </c>
    </row>
    <row r="2320" spans="3:6" x14ac:dyDescent="0.25">
      <c r="C2320" s="2" t="s">
        <v>7433</v>
      </c>
      <c r="D2320" s="2" t="s">
        <v>42</v>
      </c>
      <c r="E2320" s="2">
        <v>58</v>
      </c>
      <c r="F2320" s="2">
        <v>1168.71</v>
      </c>
    </row>
    <row r="2321" spans="3:6" x14ac:dyDescent="0.25">
      <c r="C2321" s="2" t="s">
        <v>7434</v>
      </c>
      <c r="D2321" s="2" t="s">
        <v>42</v>
      </c>
      <c r="E2321" s="2">
        <v>6</v>
      </c>
      <c r="F2321" s="2">
        <v>122.89</v>
      </c>
    </row>
    <row r="2322" spans="3:6" x14ac:dyDescent="0.25">
      <c r="C2322" s="2" t="s">
        <v>7435</v>
      </c>
      <c r="D2322" s="2" t="s">
        <v>42</v>
      </c>
      <c r="E2322" s="2">
        <v>6</v>
      </c>
      <c r="F2322" s="2">
        <v>115.62</v>
      </c>
    </row>
    <row r="2323" spans="3:6" x14ac:dyDescent="0.25">
      <c r="C2323" s="2" t="s">
        <v>7436</v>
      </c>
      <c r="D2323" s="2" t="s">
        <v>42</v>
      </c>
      <c r="E2323" s="2">
        <v>66</v>
      </c>
      <c r="F2323" s="2">
        <v>1047.549</v>
      </c>
    </row>
    <row r="2324" spans="3:6" x14ac:dyDescent="0.25">
      <c r="C2324" s="2" t="s">
        <v>7437</v>
      </c>
      <c r="D2324" s="2" t="s">
        <v>42</v>
      </c>
      <c r="E2324" s="2">
        <v>41</v>
      </c>
      <c r="F2324" s="2">
        <v>721.279</v>
      </c>
    </row>
    <row r="2325" spans="3:6" x14ac:dyDescent="0.25">
      <c r="C2325" s="2" t="s">
        <v>7438</v>
      </c>
      <c r="D2325" s="2" t="s">
        <v>42</v>
      </c>
      <c r="E2325" s="2">
        <v>22</v>
      </c>
      <c r="F2325" s="2">
        <v>449.02</v>
      </c>
    </row>
    <row r="2326" spans="3:6" x14ac:dyDescent="0.25">
      <c r="C2326" s="2" t="s">
        <v>7439</v>
      </c>
      <c r="D2326" s="2" t="s">
        <v>42</v>
      </c>
      <c r="E2326" s="2">
        <v>29</v>
      </c>
      <c r="F2326" s="2">
        <v>539.22</v>
      </c>
    </row>
    <row r="2327" spans="3:6" x14ac:dyDescent="0.25">
      <c r="C2327" s="2" t="s">
        <v>7440</v>
      </c>
      <c r="D2327" s="2" t="s">
        <v>42</v>
      </c>
      <c r="E2327" s="2">
        <v>32</v>
      </c>
      <c r="F2327" s="2">
        <v>581.56</v>
      </c>
    </row>
    <row r="2328" spans="3:6" x14ac:dyDescent="0.25">
      <c r="C2328" s="2" t="s">
        <v>7441</v>
      </c>
      <c r="D2328" s="2" t="s">
        <v>42</v>
      </c>
      <c r="E2328" s="2">
        <v>39</v>
      </c>
      <c r="F2328" s="2">
        <v>677.81</v>
      </c>
    </row>
    <row r="2329" spans="3:6" x14ac:dyDescent="0.25">
      <c r="C2329" s="2" t="s">
        <v>7442</v>
      </c>
      <c r="D2329" s="2" t="s">
        <v>42</v>
      </c>
      <c r="E2329" s="2">
        <v>19</v>
      </c>
      <c r="F2329" s="2">
        <v>395.84</v>
      </c>
    </row>
    <row r="2330" spans="3:6" x14ac:dyDescent="0.25">
      <c r="C2330" s="2" t="s">
        <v>7443</v>
      </c>
      <c r="D2330" s="2" t="s">
        <v>42</v>
      </c>
      <c r="E2330" s="2">
        <v>21</v>
      </c>
      <c r="F2330" s="2">
        <v>400.33</v>
      </c>
    </row>
    <row r="2331" spans="3:6" x14ac:dyDescent="0.25">
      <c r="C2331" s="2" t="s">
        <v>7444</v>
      </c>
      <c r="D2331" s="2" t="s">
        <v>42</v>
      </c>
      <c r="E2331" s="2">
        <v>42</v>
      </c>
      <c r="F2331" s="2">
        <v>724.18</v>
      </c>
    </row>
    <row r="2332" spans="3:6" x14ac:dyDescent="0.25">
      <c r="C2332" s="2" t="s">
        <v>7445</v>
      </c>
      <c r="D2332" s="2" t="s">
        <v>42</v>
      </c>
      <c r="E2332" s="2">
        <v>18</v>
      </c>
      <c r="F2332" s="2">
        <v>285.7</v>
      </c>
    </row>
    <row r="2333" spans="3:6" x14ac:dyDescent="0.25">
      <c r="C2333" s="2" t="s">
        <v>7446</v>
      </c>
      <c r="D2333" s="2" t="s">
        <v>42</v>
      </c>
      <c r="E2333" s="2">
        <v>60</v>
      </c>
      <c r="F2333" s="2">
        <v>1149.759</v>
      </c>
    </row>
    <row r="2334" spans="3:6" x14ac:dyDescent="0.25">
      <c r="C2334" s="2" t="s">
        <v>7447</v>
      </c>
      <c r="D2334" s="2" t="s">
        <v>42</v>
      </c>
      <c r="E2334" s="2">
        <v>52</v>
      </c>
      <c r="F2334" s="2">
        <v>989.489</v>
      </c>
    </row>
    <row r="2335" spans="3:6" x14ac:dyDescent="0.25">
      <c r="C2335" s="2" t="s">
        <v>7448</v>
      </c>
      <c r="D2335" s="2" t="s">
        <v>42</v>
      </c>
      <c r="E2335" s="2">
        <v>48</v>
      </c>
      <c r="F2335" s="2">
        <v>946.98</v>
      </c>
    </row>
    <row r="2336" spans="3:6" x14ac:dyDescent="0.25">
      <c r="C2336" s="2" t="s">
        <v>7449</v>
      </c>
      <c r="D2336" s="2" t="s">
        <v>42</v>
      </c>
      <c r="E2336" s="2">
        <v>11</v>
      </c>
      <c r="F2336" s="2">
        <v>194.56</v>
      </c>
    </row>
    <row r="2337" spans="3:6" x14ac:dyDescent="0.25">
      <c r="C2337" s="2" t="s">
        <v>7450</v>
      </c>
      <c r="D2337" s="2" t="s">
        <v>42</v>
      </c>
      <c r="E2337" s="2">
        <v>9</v>
      </c>
      <c r="F2337" s="2">
        <v>179.21</v>
      </c>
    </row>
    <row r="2338" spans="3:6" x14ac:dyDescent="0.25">
      <c r="C2338" s="2" t="s">
        <v>7451</v>
      </c>
      <c r="D2338" s="2" t="s">
        <v>42</v>
      </c>
      <c r="E2338" s="2">
        <v>102</v>
      </c>
      <c r="F2338" s="2">
        <v>1645.539</v>
      </c>
    </row>
    <row r="2339" spans="3:6" x14ac:dyDescent="0.25">
      <c r="C2339" s="2" t="s">
        <v>7452</v>
      </c>
      <c r="D2339" s="2" t="s">
        <v>42</v>
      </c>
      <c r="E2339" s="2">
        <v>66</v>
      </c>
      <c r="F2339" s="2">
        <v>1370.5</v>
      </c>
    </row>
    <row r="2340" spans="3:6" x14ac:dyDescent="0.25">
      <c r="C2340" s="2" t="s">
        <v>7453</v>
      </c>
      <c r="D2340" s="2" t="s">
        <v>42</v>
      </c>
      <c r="E2340" s="2">
        <v>66</v>
      </c>
      <c r="F2340" s="2">
        <v>1313.64</v>
      </c>
    </row>
    <row r="2341" spans="3:6" x14ac:dyDescent="0.25">
      <c r="C2341" s="2" t="s">
        <v>7454</v>
      </c>
      <c r="D2341" s="2" t="s">
        <v>42</v>
      </c>
      <c r="E2341" s="2">
        <v>19</v>
      </c>
      <c r="F2341" s="2">
        <v>369.35</v>
      </c>
    </row>
    <row r="2342" spans="3:6" x14ac:dyDescent="0.25">
      <c r="C2342" s="2" t="s">
        <v>7455</v>
      </c>
      <c r="D2342" s="2" t="s">
        <v>42</v>
      </c>
      <c r="E2342" s="2">
        <v>37</v>
      </c>
      <c r="F2342" s="2">
        <v>712.53</v>
      </c>
    </row>
    <row r="2343" spans="3:6" x14ac:dyDescent="0.25">
      <c r="C2343" s="2" t="s">
        <v>7456</v>
      </c>
      <c r="D2343" s="2" t="s">
        <v>42</v>
      </c>
      <c r="E2343" s="2">
        <v>34</v>
      </c>
      <c r="F2343" s="2">
        <v>695.12</v>
      </c>
    </row>
    <row r="2344" spans="3:6" x14ac:dyDescent="0.25">
      <c r="C2344" s="2" t="s">
        <v>7457</v>
      </c>
      <c r="D2344" s="2" t="s">
        <v>42</v>
      </c>
      <c r="E2344" s="2">
        <v>33</v>
      </c>
      <c r="F2344" s="2">
        <v>650.49</v>
      </c>
    </row>
    <row r="2345" spans="3:6" x14ac:dyDescent="0.25">
      <c r="C2345" s="2" t="s">
        <v>7458</v>
      </c>
      <c r="D2345" s="2" t="s">
        <v>42</v>
      </c>
      <c r="E2345" s="2">
        <v>44</v>
      </c>
      <c r="F2345" s="2">
        <v>900.6</v>
      </c>
    </row>
    <row r="2346" spans="3:6" x14ac:dyDescent="0.25">
      <c r="C2346" s="2" t="s">
        <v>7459</v>
      </c>
      <c r="D2346" s="2" t="s">
        <v>42</v>
      </c>
      <c r="E2346" s="2">
        <v>10</v>
      </c>
      <c r="F2346" s="2">
        <v>98.61</v>
      </c>
    </row>
    <row r="2347" spans="3:6" x14ac:dyDescent="0.25">
      <c r="C2347" s="2" t="s">
        <v>7460</v>
      </c>
      <c r="D2347" s="2" t="s">
        <v>42</v>
      </c>
      <c r="E2347" s="2">
        <v>89</v>
      </c>
      <c r="F2347" s="2">
        <v>1730.51</v>
      </c>
    </row>
    <row r="2348" spans="3:6" x14ac:dyDescent="0.25">
      <c r="C2348" s="2" t="s">
        <v>7461</v>
      </c>
      <c r="D2348" s="2" t="s">
        <v>42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7462</v>
      </c>
      <c r="C2350" s="2" t="s">
        <v>7463</v>
      </c>
      <c r="D2350" s="2" t="s">
        <v>20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7464</v>
      </c>
      <c r="D2351" s="2" t="s">
        <v>20</v>
      </c>
      <c r="E2351" s="2">
        <v>155</v>
      </c>
      <c r="F2351" s="2">
        <v>3307.86</v>
      </c>
    </row>
    <row r="2352" spans="3:6" x14ac:dyDescent="0.25">
      <c r="C2352" s="2" t="s">
        <v>7465</v>
      </c>
      <c r="D2352" s="2" t="s">
        <v>20</v>
      </c>
      <c r="E2352" s="2">
        <v>156</v>
      </c>
      <c r="F2352" s="2">
        <v>3077.399</v>
      </c>
    </row>
    <row r="2353" spans="3:6" x14ac:dyDescent="0.25">
      <c r="C2353" s="2" t="s">
        <v>7466</v>
      </c>
      <c r="D2353" s="2" t="s">
        <v>20</v>
      </c>
      <c r="E2353" s="2">
        <v>105</v>
      </c>
      <c r="F2353" s="2">
        <v>2040.1</v>
      </c>
    </row>
    <row r="2354" spans="3:6" x14ac:dyDescent="0.25">
      <c r="C2354" s="2" t="s">
        <v>7467</v>
      </c>
      <c r="D2354" s="2" t="s">
        <v>20</v>
      </c>
      <c r="E2354" s="2">
        <v>156</v>
      </c>
      <c r="F2354" s="2">
        <v>3179.36</v>
      </c>
    </row>
    <row r="2355" spans="3:6" x14ac:dyDescent="0.25">
      <c r="C2355" s="2" t="s">
        <v>7468</v>
      </c>
      <c r="D2355" s="2" t="s">
        <v>20</v>
      </c>
      <c r="E2355" s="2">
        <v>105</v>
      </c>
      <c r="F2355" s="2">
        <v>2027.479</v>
      </c>
    </row>
    <row r="2356" spans="3:6" x14ac:dyDescent="0.25">
      <c r="C2356" s="2" t="s">
        <v>7469</v>
      </c>
      <c r="D2356" s="2" t="s">
        <v>20</v>
      </c>
      <c r="E2356" s="2">
        <v>154</v>
      </c>
      <c r="F2356" s="2">
        <v>2993.71</v>
      </c>
    </row>
    <row r="2357" spans="3:6" x14ac:dyDescent="0.25">
      <c r="C2357" s="2" t="s">
        <v>7470</v>
      </c>
      <c r="D2357" s="2" t="s">
        <v>20</v>
      </c>
      <c r="E2357" s="2">
        <v>105</v>
      </c>
      <c r="F2357" s="2">
        <v>1990.91</v>
      </c>
    </row>
    <row r="2358" spans="3:6" x14ac:dyDescent="0.25">
      <c r="C2358" s="2" t="s">
        <v>7471</v>
      </c>
      <c r="D2358" s="2" t="s">
        <v>20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2736</v>
      </c>
      <c r="C2360" s="2" t="s">
        <v>7472</v>
      </c>
      <c r="D2360" s="2" t="s">
        <v>342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7473</v>
      </c>
      <c r="D2361" s="2" t="s">
        <v>342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10</v>
      </c>
      <c r="C2363" s="2" t="s">
        <v>7474</v>
      </c>
      <c r="D2363" s="2" t="s">
        <v>12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7475</v>
      </c>
      <c r="D2364" s="2" t="s">
        <v>12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172</v>
      </c>
      <c r="C2366" s="2" t="s">
        <v>7476</v>
      </c>
      <c r="D2366" s="2" t="s">
        <v>122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7477</v>
      </c>
      <c r="D2367" s="2" t="s">
        <v>122</v>
      </c>
      <c r="E2367" s="2">
        <v>83</v>
      </c>
      <c r="F2367" s="2">
        <v>374.979</v>
      </c>
    </row>
    <row r="2368" spans="3:6" x14ac:dyDescent="0.25">
      <c r="C2368" s="2" t="s">
        <v>7478</v>
      </c>
      <c r="D2368" s="2" t="s">
        <v>122</v>
      </c>
      <c r="E2368" s="2">
        <v>40</v>
      </c>
      <c r="F2368" s="2">
        <v>829.63</v>
      </c>
    </row>
    <row r="2369" spans="3:6" x14ac:dyDescent="0.25">
      <c r="C2369" s="2" t="s">
        <v>7479</v>
      </c>
      <c r="D2369" s="2" t="s">
        <v>122</v>
      </c>
      <c r="E2369" s="2">
        <v>62</v>
      </c>
      <c r="F2369" s="2">
        <v>1242.17</v>
      </c>
    </row>
    <row r="2370" spans="3:6" x14ac:dyDescent="0.25">
      <c r="C2370" s="2" t="s">
        <v>7480</v>
      </c>
      <c r="D2370" s="2" t="s">
        <v>122</v>
      </c>
      <c r="E2370" s="2">
        <v>35</v>
      </c>
      <c r="F2370" s="2">
        <v>153.129</v>
      </c>
    </row>
    <row r="2371" spans="3:6" x14ac:dyDescent="0.25">
      <c r="C2371" s="2" t="s">
        <v>7481</v>
      </c>
      <c r="D2371" s="2" t="s">
        <v>122</v>
      </c>
      <c r="E2371" s="2">
        <v>141</v>
      </c>
      <c r="F2371" s="2">
        <v>2929.44</v>
      </c>
    </row>
    <row r="2372" spans="3:6" x14ac:dyDescent="0.25">
      <c r="C2372" s="2" t="s">
        <v>7482</v>
      </c>
      <c r="D2372" s="2" t="s">
        <v>122</v>
      </c>
      <c r="E2372" s="2">
        <v>141</v>
      </c>
      <c r="F2372" s="2">
        <v>2889.97</v>
      </c>
    </row>
    <row r="2373" spans="3:6" x14ac:dyDescent="0.25">
      <c r="C2373" s="2" t="s">
        <v>7483</v>
      </c>
      <c r="D2373" s="2" t="s">
        <v>122</v>
      </c>
      <c r="E2373" s="2">
        <v>32</v>
      </c>
      <c r="F2373" s="2">
        <v>143.209</v>
      </c>
    </row>
    <row r="2374" spans="3:6" x14ac:dyDescent="0.25">
      <c r="C2374" s="2" t="s">
        <v>7484</v>
      </c>
      <c r="D2374" s="2" t="s">
        <v>122</v>
      </c>
      <c r="E2374" s="2">
        <v>141</v>
      </c>
      <c r="F2374" s="2">
        <v>2808.52</v>
      </c>
    </row>
    <row r="2375" spans="3:6" x14ac:dyDescent="0.25">
      <c r="C2375" s="2" t="s">
        <v>7485</v>
      </c>
      <c r="D2375" s="2" t="s">
        <v>122</v>
      </c>
      <c r="E2375" s="2">
        <v>141</v>
      </c>
      <c r="F2375" s="2">
        <v>2802.79</v>
      </c>
    </row>
    <row r="2376" spans="3:6" x14ac:dyDescent="0.25">
      <c r="C2376" s="2" t="s">
        <v>7486</v>
      </c>
      <c r="D2376" s="2" t="s">
        <v>122</v>
      </c>
      <c r="E2376" s="2">
        <v>141</v>
      </c>
      <c r="F2376" s="2">
        <v>2915.18</v>
      </c>
    </row>
    <row r="2377" spans="3:6" x14ac:dyDescent="0.25">
      <c r="C2377" s="2" t="s">
        <v>7487</v>
      </c>
      <c r="D2377" s="2" t="s">
        <v>122</v>
      </c>
      <c r="E2377" s="2">
        <v>75</v>
      </c>
      <c r="F2377" s="2">
        <v>1502.26</v>
      </c>
    </row>
    <row r="2378" spans="3:6" x14ac:dyDescent="0.25">
      <c r="C2378" s="2" t="s">
        <v>7488</v>
      </c>
      <c r="D2378" s="2" t="s">
        <v>122</v>
      </c>
      <c r="E2378" s="2">
        <v>102</v>
      </c>
      <c r="F2378" s="2">
        <v>1956.29</v>
      </c>
    </row>
    <row r="2379" spans="3:6" x14ac:dyDescent="0.25">
      <c r="C2379" s="2" t="s">
        <v>7489</v>
      </c>
      <c r="D2379" s="2" t="s">
        <v>122</v>
      </c>
      <c r="E2379" s="2">
        <v>50</v>
      </c>
      <c r="F2379" s="2">
        <v>956.299</v>
      </c>
    </row>
    <row r="2380" spans="3:6" x14ac:dyDescent="0.25">
      <c r="C2380" s="2" t="s">
        <v>7490</v>
      </c>
      <c r="D2380" s="2" t="s">
        <v>122</v>
      </c>
      <c r="E2380" s="2">
        <v>52</v>
      </c>
      <c r="F2380" s="2">
        <v>1035.538</v>
      </c>
    </row>
    <row r="2381" spans="3:6" x14ac:dyDescent="0.25">
      <c r="C2381" s="2" t="s">
        <v>7491</v>
      </c>
      <c r="D2381" s="2" t="s">
        <v>122</v>
      </c>
      <c r="E2381" s="2">
        <v>102</v>
      </c>
      <c r="F2381" s="2">
        <v>2086.71</v>
      </c>
    </row>
    <row r="2382" spans="3:6" x14ac:dyDescent="0.25">
      <c r="C2382" s="2" t="s">
        <v>7492</v>
      </c>
      <c r="D2382" s="2" t="s">
        <v>122</v>
      </c>
      <c r="E2382" s="2">
        <v>68</v>
      </c>
      <c r="F2382" s="2">
        <v>1319.96</v>
      </c>
    </row>
    <row r="2383" spans="3:6" x14ac:dyDescent="0.25">
      <c r="C2383" s="2" t="s">
        <v>7493</v>
      </c>
      <c r="D2383" s="2" t="s">
        <v>122</v>
      </c>
      <c r="E2383" s="2">
        <v>53</v>
      </c>
      <c r="F2383" s="2">
        <v>1060.29</v>
      </c>
    </row>
    <row r="2384" spans="3:6" x14ac:dyDescent="0.25">
      <c r="C2384" s="2" t="s">
        <v>7494</v>
      </c>
      <c r="D2384" s="2" t="s">
        <v>122</v>
      </c>
      <c r="E2384" s="2">
        <v>70</v>
      </c>
      <c r="F2384" s="2">
        <v>1448.939</v>
      </c>
    </row>
    <row r="2385" spans="3:6" x14ac:dyDescent="0.25">
      <c r="C2385" s="2" t="s">
        <v>7495</v>
      </c>
      <c r="D2385" s="2" t="s">
        <v>122</v>
      </c>
      <c r="E2385" s="2">
        <v>51</v>
      </c>
      <c r="F2385" s="2">
        <v>1054.57</v>
      </c>
    </row>
    <row r="2386" spans="3:6" x14ac:dyDescent="0.25">
      <c r="C2386" s="2" t="s">
        <v>7496</v>
      </c>
      <c r="D2386" s="2" t="s">
        <v>122</v>
      </c>
      <c r="E2386" s="2">
        <v>42</v>
      </c>
      <c r="F2386" s="2">
        <v>887.5</v>
      </c>
    </row>
    <row r="2387" spans="3:6" x14ac:dyDescent="0.25">
      <c r="C2387" s="2" t="s">
        <v>7497</v>
      </c>
      <c r="D2387" s="2" t="s">
        <v>122</v>
      </c>
      <c r="E2387" s="2">
        <v>79</v>
      </c>
      <c r="F2387" s="2">
        <v>1479.439</v>
      </c>
    </row>
    <row r="2388" spans="3:6" x14ac:dyDescent="0.25">
      <c r="C2388" s="2" t="s">
        <v>7498</v>
      </c>
      <c r="D2388" s="2" t="s">
        <v>122</v>
      </c>
      <c r="E2388" s="2">
        <v>41</v>
      </c>
      <c r="F2388" s="2">
        <v>656.609</v>
      </c>
    </row>
    <row r="2389" spans="3:6" x14ac:dyDescent="0.25">
      <c r="C2389" s="2" t="s">
        <v>7499</v>
      </c>
      <c r="D2389" s="2" t="s">
        <v>122</v>
      </c>
      <c r="E2389" s="2">
        <v>40</v>
      </c>
      <c r="F2389" s="2">
        <v>759.98</v>
      </c>
    </row>
    <row r="2390" spans="3:6" x14ac:dyDescent="0.25">
      <c r="C2390" s="2" t="s">
        <v>7500</v>
      </c>
      <c r="D2390" s="2" t="s">
        <v>122</v>
      </c>
      <c r="E2390" s="2">
        <v>40</v>
      </c>
      <c r="F2390" s="2">
        <v>789.93</v>
      </c>
    </row>
    <row r="2391" spans="3:6" x14ac:dyDescent="0.25">
      <c r="C2391" s="2" t="s">
        <v>7501</v>
      </c>
      <c r="D2391" s="2" t="s">
        <v>122</v>
      </c>
      <c r="E2391" s="2">
        <v>32</v>
      </c>
      <c r="F2391" s="2">
        <v>632.29</v>
      </c>
    </row>
    <row r="2392" spans="3:6" x14ac:dyDescent="0.25">
      <c r="C2392" s="2" t="s">
        <v>7502</v>
      </c>
      <c r="D2392" s="2" t="s">
        <v>122</v>
      </c>
      <c r="E2392" s="2">
        <v>20</v>
      </c>
      <c r="F2392" s="2">
        <v>353.38</v>
      </c>
    </row>
    <row r="2393" spans="3:6" x14ac:dyDescent="0.25">
      <c r="C2393" s="2" t="s">
        <v>7503</v>
      </c>
      <c r="D2393" s="2" t="s">
        <v>122</v>
      </c>
      <c r="E2393" s="2">
        <v>11</v>
      </c>
      <c r="F2393" s="2">
        <v>229.14</v>
      </c>
    </row>
    <row r="2394" spans="3:6" x14ac:dyDescent="0.25">
      <c r="C2394" s="2" t="s">
        <v>7504</v>
      </c>
      <c r="D2394" s="2" t="s">
        <v>122</v>
      </c>
      <c r="E2394" s="2">
        <v>20</v>
      </c>
      <c r="F2394" s="2">
        <v>428.86</v>
      </c>
    </row>
    <row r="2395" spans="3:6" x14ac:dyDescent="0.25">
      <c r="C2395" s="2" t="s">
        <v>7505</v>
      </c>
      <c r="D2395" s="2" t="s">
        <v>122</v>
      </c>
      <c r="E2395" s="2">
        <v>20</v>
      </c>
      <c r="F2395" s="2">
        <v>379.76</v>
      </c>
    </row>
    <row r="2396" spans="3:6" x14ac:dyDescent="0.25">
      <c r="C2396" s="2" t="s">
        <v>7506</v>
      </c>
      <c r="D2396" s="2" t="s">
        <v>122</v>
      </c>
      <c r="E2396" s="2">
        <v>85</v>
      </c>
      <c r="F2396" s="2">
        <v>1637.58</v>
      </c>
    </row>
    <row r="2397" spans="3:6" x14ac:dyDescent="0.25">
      <c r="C2397" s="2" t="s">
        <v>7507</v>
      </c>
      <c r="D2397" s="2" t="s">
        <v>122</v>
      </c>
      <c r="E2397" s="2">
        <v>49</v>
      </c>
      <c r="F2397" s="2">
        <v>926.179</v>
      </c>
    </row>
    <row r="2398" spans="3:6" x14ac:dyDescent="0.25">
      <c r="C2398" s="2" t="s">
        <v>7508</v>
      </c>
      <c r="D2398" s="2" t="s">
        <v>122</v>
      </c>
      <c r="E2398" s="2">
        <v>141</v>
      </c>
      <c r="F2398" s="2">
        <v>2814.37</v>
      </c>
    </row>
    <row r="2399" spans="3:6" x14ac:dyDescent="0.25">
      <c r="C2399" s="2" t="s">
        <v>7509</v>
      </c>
      <c r="D2399" s="2" t="s">
        <v>122</v>
      </c>
      <c r="E2399" s="2">
        <v>141</v>
      </c>
      <c r="F2399" s="2">
        <v>2908.07</v>
      </c>
    </row>
    <row r="2400" spans="3:6" x14ac:dyDescent="0.25">
      <c r="C2400" s="2" t="s">
        <v>7510</v>
      </c>
      <c r="D2400" s="2" t="s">
        <v>122</v>
      </c>
      <c r="E2400" s="2">
        <v>141</v>
      </c>
      <c r="F2400" s="2">
        <v>2795.58</v>
      </c>
    </row>
    <row r="2401" spans="3:6" x14ac:dyDescent="0.25">
      <c r="C2401" s="2" t="s">
        <v>7511</v>
      </c>
      <c r="D2401" s="2" t="s">
        <v>122</v>
      </c>
      <c r="E2401" s="2">
        <v>81</v>
      </c>
      <c r="F2401" s="2">
        <v>1423.31</v>
      </c>
    </row>
    <row r="2402" spans="3:6" x14ac:dyDescent="0.25">
      <c r="C2402" s="2" t="s">
        <v>7512</v>
      </c>
      <c r="D2402" s="2" t="s">
        <v>122</v>
      </c>
      <c r="E2402" s="2">
        <v>61</v>
      </c>
      <c r="F2402" s="2">
        <v>1177.189</v>
      </c>
    </row>
    <row r="2403" spans="3:6" x14ac:dyDescent="0.25">
      <c r="C2403" s="2" t="s">
        <v>7513</v>
      </c>
      <c r="D2403" s="2" t="s">
        <v>122</v>
      </c>
      <c r="E2403" s="2">
        <v>88</v>
      </c>
      <c r="F2403" s="2">
        <v>2475.634</v>
      </c>
    </row>
    <row r="2404" spans="3:6" x14ac:dyDescent="0.25">
      <c r="C2404" s="2" t="s">
        <v>7514</v>
      </c>
      <c r="D2404" s="2" t="s">
        <v>122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1101</v>
      </c>
      <c r="C2406" s="2" t="s">
        <v>7515</v>
      </c>
      <c r="D2406" s="2" t="s">
        <v>20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7516</v>
      </c>
      <c r="D2407" s="2" t="s">
        <v>20</v>
      </c>
      <c r="E2407" s="2">
        <v>105</v>
      </c>
      <c r="F2407" s="2">
        <v>2188.86</v>
      </c>
    </row>
    <row r="2408" spans="3:6" x14ac:dyDescent="0.25">
      <c r="C2408" s="2" t="s">
        <v>7517</v>
      </c>
      <c r="D2408" s="2" t="s">
        <v>20</v>
      </c>
      <c r="E2408" s="2">
        <v>105</v>
      </c>
      <c r="F2408" s="2">
        <v>2083.34</v>
      </c>
    </row>
    <row r="2409" spans="3:6" x14ac:dyDescent="0.25">
      <c r="C2409" s="2" t="s">
        <v>7518</v>
      </c>
      <c r="D2409" s="2" t="s">
        <v>20</v>
      </c>
      <c r="E2409" s="2">
        <v>105</v>
      </c>
      <c r="F2409" s="2">
        <v>2056.95</v>
      </c>
    </row>
    <row r="2410" spans="3:6" x14ac:dyDescent="0.25">
      <c r="C2410" s="2" t="s">
        <v>7519</v>
      </c>
      <c r="D2410" s="2" t="s">
        <v>20</v>
      </c>
      <c r="E2410" s="2">
        <v>128</v>
      </c>
      <c r="F2410" s="2">
        <v>2557.65</v>
      </c>
    </row>
    <row r="2411" spans="3:6" x14ac:dyDescent="0.25">
      <c r="C2411" s="2" t="s">
        <v>7520</v>
      </c>
      <c r="D2411" s="2" t="s">
        <v>20</v>
      </c>
      <c r="E2411" s="2">
        <v>156</v>
      </c>
      <c r="F2411" s="2">
        <v>3084.07</v>
      </c>
    </row>
    <row r="2412" spans="3:6" x14ac:dyDescent="0.25">
      <c r="C2412" s="2" t="s">
        <v>7521</v>
      </c>
      <c r="D2412" s="2" t="s">
        <v>20</v>
      </c>
      <c r="E2412" s="2">
        <v>105</v>
      </c>
      <c r="F2412" s="2">
        <v>2053.61</v>
      </c>
    </row>
    <row r="2413" spans="3:6" x14ac:dyDescent="0.25">
      <c r="C2413" s="2" t="s">
        <v>7522</v>
      </c>
      <c r="D2413" s="2" t="s">
        <v>20</v>
      </c>
      <c r="E2413" s="2">
        <v>105</v>
      </c>
      <c r="F2413" s="2">
        <v>2092.004</v>
      </c>
    </row>
    <row r="2414" spans="3:6" x14ac:dyDescent="0.25">
      <c r="C2414" s="2" t="s">
        <v>7523</v>
      </c>
      <c r="D2414" s="2" t="s">
        <v>20</v>
      </c>
      <c r="E2414" s="2">
        <v>156</v>
      </c>
      <c r="F2414" s="2">
        <v>3143.769</v>
      </c>
    </row>
    <row r="2415" spans="3:6" x14ac:dyDescent="0.25">
      <c r="C2415" s="2" t="s">
        <v>7524</v>
      </c>
      <c r="D2415" s="2" t="s">
        <v>20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2738</v>
      </c>
      <c r="C2417" s="2" t="s">
        <v>7525</v>
      </c>
      <c r="D2417" s="2" t="s">
        <v>20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2097</v>
      </c>
      <c r="C2419" s="2" t="s">
        <v>7526</v>
      </c>
      <c r="D2419" s="2" t="s">
        <v>27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7527</v>
      </c>
      <c r="D2420" s="2" t="s">
        <v>27</v>
      </c>
      <c r="E2420" s="2">
        <v>33</v>
      </c>
      <c r="F2420" s="2">
        <v>621.84</v>
      </c>
    </row>
    <row r="2421" spans="3:6" x14ac:dyDescent="0.25">
      <c r="C2421" s="2" t="s">
        <v>7528</v>
      </c>
      <c r="D2421" s="2" t="s">
        <v>27</v>
      </c>
      <c r="E2421" s="2">
        <v>32</v>
      </c>
      <c r="F2421" s="2">
        <v>499.21</v>
      </c>
    </row>
    <row r="2422" spans="3:6" x14ac:dyDescent="0.25">
      <c r="C2422" s="2" t="s">
        <v>7529</v>
      </c>
      <c r="D2422" s="2" t="s">
        <v>27</v>
      </c>
      <c r="E2422" s="2">
        <v>91</v>
      </c>
      <c r="F2422" s="2">
        <v>1802.52</v>
      </c>
    </row>
    <row r="2423" spans="3:6" x14ac:dyDescent="0.25">
      <c r="C2423" s="2" t="s">
        <v>7530</v>
      </c>
      <c r="D2423" s="2" t="s">
        <v>27</v>
      </c>
      <c r="E2423" s="2">
        <v>96</v>
      </c>
      <c r="F2423" s="2">
        <v>1819.328</v>
      </c>
    </row>
    <row r="2424" spans="3:6" x14ac:dyDescent="0.25">
      <c r="C2424" s="2" t="s">
        <v>7531</v>
      </c>
      <c r="D2424" s="2" t="s">
        <v>27</v>
      </c>
      <c r="E2424" s="2">
        <v>57</v>
      </c>
      <c r="F2424" s="2">
        <v>1054.759</v>
      </c>
    </row>
    <row r="2425" spans="3:6" x14ac:dyDescent="0.25">
      <c r="C2425" s="2" t="s">
        <v>7532</v>
      </c>
      <c r="D2425" s="2" t="s">
        <v>27</v>
      </c>
      <c r="E2425" s="2">
        <v>42</v>
      </c>
      <c r="F2425" s="2">
        <v>666.35</v>
      </c>
    </row>
    <row r="2426" spans="3:4" x14ac:dyDescent="0.25">
      <c r="C2426" s="2" t="s">
        <v>7533</v>
      </c>
      <c r="D2426" s="2" t="s">
        <v>27</v>
      </c>
    </row>
    <row r="2427" spans="3:6" x14ac:dyDescent="0.25">
      <c r="C2427" s="2" t="s">
        <v>7534</v>
      </c>
      <c r="D2427" s="2" t="s">
        <v>27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324</v>
      </c>
      <c r="C2429" s="2" t="s">
        <v>7535</v>
      </c>
      <c r="D2429" s="2" t="s">
        <v>27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7536</v>
      </c>
      <c r="D2430" s="2" t="s">
        <v>27</v>
      </c>
      <c r="E2430" s="2">
        <v>41</v>
      </c>
      <c r="F2430" s="2">
        <v>774.639</v>
      </c>
    </row>
    <row r="2431" spans="3:6" x14ac:dyDescent="0.25">
      <c r="C2431" s="2" t="s">
        <v>7537</v>
      </c>
      <c r="D2431" s="2" t="s">
        <v>27</v>
      </c>
      <c r="E2431" s="2">
        <v>22</v>
      </c>
      <c r="F2431" s="2">
        <v>410.39</v>
      </c>
    </row>
    <row r="2432" spans="3:6" x14ac:dyDescent="0.25">
      <c r="C2432" s="2" t="s">
        <v>7538</v>
      </c>
      <c r="D2432" s="2" t="s">
        <v>27</v>
      </c>
      <c r="E2432" s="2">
        <v>101</v>
      </c>
      <c r="F2432" s="2">
        <v>1900.25</v>
      </c>
    </row>
    <row r="2433" spans="3:6" x14ac:dyDescent="0.25">
      <c r="C2433" s="2" t="s">
        <v>7539</v>
      </c>
      <c r="D2433" s="2" t="s">
        <v>27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120</v>
      </c>
      <c r="C2435" s="2" t="s">
        <v>7540</v>
      </c>
      <c r="D2435" s="2" t="s">
        <v>122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7541</v>
      </c>
      <c r="D2436" s="2" t="s">
        <v>122</v>
      </c>
      <c r="E2436" s="2">
        <v>27</v>
      </c>
      <c r="F2436" s="2">
        <v>487.085</v>
      </c>
    </row>
    <row r="2437" spans="3:6" x14ac:dyDescent="0.25">
      <c r="C2437" s="2" t="s">
        <v>7542</v>
      </c>
      <c r="D2437" s="2" t="s">
        <v>122</v>
      </c>
      <c r="E2437" s="2">
        <v>26</v>
      </c>
      <c r="F2437" s="2">
        <v>551.53</v>
      </c>
    </row>
    <row r="2438" spans="3:6" x14ac:dyDescent="0.25">
      <c r="C2438" s="2" t="s">
        <v>7543</v>
      </c>
      <c r="D2438" s="2" t="s">
        <v>122</v>
      </c>
      <c r="E2438" s="2">
        <v>18</v>
      </c>
      <c r="F2438" s="2">
        <v>300.709</v>
      </c>
    </row>
    <row r="2439" spans="3:6" x14ac:dyDescent="0.25">
      <c r="C2439" s="2" t="s">
        <v>7544</v>
      </c>
      <c r="D2439" s="2" t="s">
        <v>122</v>
      </c>
      <c r="E2439" s="2">
        <v>17</v>
      </c>
      <c r="F2439" s="2">
        <v>348.95</v>
      </c>
    </row>
    <row r="2440" spans="3:6" x14ac:dyDescent="0.25">
      <c r="C2440" s="2" t="s">
        <v>7545</v>
      </c>
      <c r="D2440" s="2" t="s">
        <v>122</v>
      </c>
      <c r="E2440" s="2">
        <v>69</v>
      </c>
      <c r="F2440" s="2">
        <v>1391.77</v>
      </c>
    </row>
    <row r="2441" spans="3:6" x14ac:dyDescent="0.25">
      <c r="C2441" s="2" t="s">
        <v>7546</v>
      </c>
      <c r="D2441" s="2" t="s">
        <v>122</v>
      </c>
      <c r="E2441" s="2">
        <v>29</v>
      </c>
      <c r="F2441" s="2">
        <v>580.5</v>
      </c>
    </row>
    <row r="2442" spans="3:6" x14ac:dyDescent="0.25">
      <c r="C2442" s="2" t="s">
        <v>7547</v>
      </c>
      <c r="D2442" s="2" t="s">
        <v>122</v>
      </c>
      <c r="E2442" s="2">
        <v>72</v>
      </c>
      <c r="F2442" s="2">
        <v>1458.17</v>
      </c>
    </row>
    <row r="2443" spans="3:6" x14ac:dyDescent="0.25">
      <c r="C2443" s="2" t="s">
        <v>7548</v>
      </c>
      <c r="D2443" s="2" t="s">
        <v>122</v>
      </c>
      <c r="E2443" s="2">
        <v>65</v>
      </c>
      <c r="F2443" s="2">
        <v>1288.6</v>
      </c>
    </row>
    <row r="2444" spans="3:6" x14ac:dyDescent="0.25">
      <c r="C2444" s="2" t="s">
        <v>7549</v>
      </c>
      <c r="D2444" s="2" t="s">
        <v>122</v>
      </c>
      <c r="E2444" s="2">
        <v>7</v>
      </c>
      <c r="F2444" s="2">
        <v>130.12</v>
      </c>
    </row>
    <row r="2445" spans="3:6" x14ac:dyDescent="0.25">
      <c r="C2445" s="2" t="s">
        <v>7550</v>
      </c>
      <c r="D2445" s="2" t="s">
        <v>122</v>
      </c>
      <c r="E2445" s="2">
        <v>4</v>
      </c>
      <c r="F2445" s="2">
        <v>29.63</v>
      </c>
    </row>
    <row r="2446" spans="3:6" x14ac:dyDescent="0.25">
      <c r="C2446" s="2" t="s">
        <v>7551</v>
      </c>
      <c r="D2446" s="2" t="s">
        <v>122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7552</v>
      </c>
      <c r="D2447" s="2" t="s">
        <v>122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7553</v>
      </c>
      <c r="D2448" s="2" t="s">
        <v>122</v>
      </c>
      <c r="E2448" s="2">
        <v>15</v>
      </c>
      <c r="F2448" s="2">
        <v>372</v>
      </c>
    </row>
    <row r="2449" spans="3:6" x14ac:dyDescent="0.25">
      <c r="C2449" s="2" t="s">
        <v>7554</v>
      </c>
      <c r="D2449" s="2" t="s">
        <v>122</v>
      </c>
      <c r="E2449" s="2">
        <v>77</v>
      </c>
      <c r="F2449" s="2">
        <v>1545.73</v>
      </c>
    </row>
    <row r="2450" spans="3:6" x14ac:dyDescent="0.25">
      <c r="C2450" s="2" t="s">
        <v>7555</v>
      </c>
      <c r="D2450" s="2" t="s">
        <v>122</v>
      </c>
      <c r="E2450" s="2">
        <v>44</v>
      </c>
      <c r="F2450" s="2">
        <v>923.38</v>
      </c>
    </row>
    <row r="2451" spans="3:6" x14ac:dyDescent="0.25">
      <c r="C2451" s="2" t="s">
        <v>7556</v>
      </c>
      <c r="D2451" s="2" t="s">
        <v>122</v>
      </c>
      <c r="E2451" s="2">
        <v>41</v>
      </c>
      <c r="F2451" s="2">
        <v>822.66</v>
      </c>
    </row>
    <row r="2452" spans="3:6" x14ac:dyDescent="0.25">
      <c r="C2452" s="2" t="s">
        <v>7557</v>
      </c>
      <c r="D2452" s="2" t="s">
        <v>122</v>
      </c>
      <c r="E2452" s="2">
        <v>48</v>
      </c>
      <c r="F2452" s="2">
        <v>1007.57</v>
      </c>
    </row>
    <row r="2453" spans="3:6" x14ac:dyDescent="0.25">
      <c r="C2453" s="2" t="s">
        <v>7558</v>
      </c>
      <c r="D2453" s="2" t="s">
        <v>122</v>
      </c>
      <c r="E2453" s="2">
        <v>7</v>
      </c>
      <c r="F2453" s="2">
        <v>140.05</v>
      </c>
    </row>
    <row r="2454" spans="3:6" x14ac:dyDescent="0.25">
      <c r="C2454" s="2" t="s">
        <v>7559</v>
      </c>
      <c r="D2454" s="2" t="s">
        <v>122</v>
      </c>
      <c r="E2454" s="2">
        <v>25</v>
      </c>
      <c r="F2454" s="2">
        <v>501.21</v>
      </c>
    </row>
    <row r="2455" spans="3:6" x14ac:dyDescent="0.25">
      <c r="C2455" s="2" t="s">
        <v>7560</v>
      </c>
      <c r="D2455" s="2" t="s">
        <v>122</v>
      </c>
      <c r="E2455" s="2">
        <v>78</v>
      </c>
      <c r="F2455" s="2">
        <v>1539.6</v>
      </c>
    </row>
    <row r="2456" spans="3:6" x14ac:dyDescent="0.25">
      <c r="C2456" s="2" t="s">
        <v>7561</v>
      </c>
      <c r="D2456" s="2" t="s">
        <v>122</v>
      </c>
      <c r="E2456" s="2">
        <v>43</v>
      </c>
      <c r="F2456" s="2">
        <v>897.62</v>
      </c>
    </row>
    <row r="2457" spans="3:6" x14ac:dyDescent="0.25">
      <c r="C2457" s="2" t="s">
        <v>7562</v>
      </c>
      <c r="D2457" s="2" t="s">
        <v>122</v>
      </c>
      <c r="E2457" s="2">
        <v>12</v>
      </c>
      <c r="F2457" s="2">
        <v>235.86</v>
      </c>
    </row>
    <row r="2458" spans="3:6" x14ac:dyDescent="0.25">
      <c r="C2458" s="2" t="s">
        <v>7563</v>
      </c>
      <c r="D2458" s="2" t="s">
        <v>122</v>
      </c>
      <c r="E2458" s="2">
        <v>38</v>
      </c>
      <c r="F2458" s="2">
        <v>779.92</v>
      </c>
    </row>
    <row r="2459" spans="3:6" x14ac:dyDescent="0.25">
      <c r="C2459" s="2" t="s">
        <v>7564</v>
      </c>
      <c r="D2459" s="2" t="s">
        <v>122</v>
      </c>
      <c r="E2459" s="2">
        <v>19</v>
      </c>
      <c r="F2459" s="2">
        <v>385.34</v>
      </c>
    </row>
    <row r="2460" spans="3:6" x14ac:dyDescent="0.25">
      <c r="C2460" s="2" t="s">
        <v>7565</v>
      </c>
      <c r="D2460" s="2" t="s">
        <v>122</v>
      </c>
      <c r="E2460" s="2">
        <v>52</v>
      </c>
      <c r="F2460" s="2">
        <v>1032.39</v>
      </c>
    </row>
    <row r="2461" spans="3:6" x14ac:dyDescent="0.25">
      <c r="C2461" s="2" t="s">
        <v>7566</v>
      </c>
      <c r="D2461" s="2" t="s">
        <v>122</v>
      </c>
      <c r="E2461" s="2">
        <v>11</v>
      </c>
      <c r="F2461" s="2">
        <v>152.81</v>
      </c>
    </row>
    <row r="2462" spans="3:6" x14ac:dyDescent="0.25">
      <c r="C2462" s="2" t="s">
        <v>7567</v>
      </c>
      <c r="D2462" s="2" t="s">
        <v>122</v>
      </c>
      <c r="E2462" s="2">
        <v>10</v>
      </c>
      <c r="F2462" s="2">
        <v>137.77</v>
      </c>
    </row>
    <row r="2463" spans="3:6" x14ac:dyDescent="0.25">
      <c r="C2463" s="2" t="s">
        <v>7568</v>
      </c>
      <c r="D2463" s="2" t="s">
        <v>122</v>
      </c>
      <c r="E2463" s="2">
        <v>63</v>
      </c>
      <c r="F2463" s="2">
        <v>1995.87</v>
      </c>
    </row>
    <row r="2464" spans="3:6" x14ac:dyDescent="0.25">
      <c r="C2464" s="2" t="s">
        <v>7569</v>
      </c>
      <c r="D2464" s="2" t="s">
        <v>122</v>
      </c>
      <c r="E2464" s="2">
        <v>60</v>
      </c>
      <c r="F2464" s="2">
        <v>264.58</v>
      </c>
    </row>
    <row r="2465" spans="3:6" x14ac:dyDescent="0.25">
      <c r="C2465" s="2" t="s">
        <v>7570</v>
      </c>
      <c r="D2465" s="2" t="s">
        <v>122</v>
      </c>
      <c r="E2465" s="2">
        <v>102</v>
      </c>
      <c r="F2465" s="2">
        <v>2196.42</v>
      </c>
    </row>
    <row r="2466" spans="3:6" x14ac:dyDescent="0.25">
      <c r="C2466" s="2" t="s">
        <v>7571</v>
      </c>
      <c r="D2466" s="2" t="s">
        <v>122</v>
      </c>
      <c r="E2466" s="2">
        <v>102</v>
      </c>
      <c r="F2466" s="2">
        <v>2137.15</v>
      </c>
    </row>
    <row r="2467" spans="3:6" x14ac:dyDescent="0.25">
      <c r="C2467" s="2" t="s">
        <v>7572</v>
      </c>
      <c r="D2467" s="2" t="s">
        <v>122</v>
      </c>
      <c r="E2467" s="2">
        <v>102</v>
      </c>
      <c r="F2467" s="2">
        <v>2177.07</v>
      </c>
    </row>
    <row r="2468" spans="3:6" x14ac:dyDescent="0.25">
      <c r="C2468" s="2" t="s">
        <v>7573</v>
      </c>
      <c r="D2468" s="2" t="s">
        <v>122</v>
      </c>
      <c r="E2468" s="2">
        <v>51</v>
      </c>
      <c r="F2468" s="2">
        <v>1033.52</v>
      </c>
    </row>
    <row r="2469" spans="3:6" x14ac:dyDescent="0.25">
      <c r="C2469" s="2" t="s">
        <v>7574</v>
      </c>
      <c r="D2469" s="2" t="s">
        <v>122</v>
      </c>
      <c r="E2469" s="2">
        <v>51</v>
      </c>
      <c r="F2469" s="2">
        <v>1063.64</v>
      </c>
    </row>
    <row r="2470" spans="3:6" x14ac:dyDescent="0.25">
      <c r="C2470" s="2" t="s">
        <v>7575</v>
      </c>
      <c r="D2470" s="2" t="s">
        <v>122</v>
      </c>
      <c r="E2470" s="2">
        <v>82</v>
      </c>
      <c r="F2470" s="2">
        <v>377.058</v>
      </c>
    </row>
    <row r="2471" spans="3:6" x14ac:dyDescent="0.25">
      <c r="C2471" s="2" t="s">
        <v>7576</v>
      </c>
      <c r="D2471" s="2" t="s">
        <v>122</v>
      </c>
      <c r="E2471" s="2">
        <v>23</v>
      </c>
      <c r="F2471" s="2">
        <v>101.56</v>
      </c>
    </row>
    <row r="2472" spans="3:6" x14ac:dyDescent="0.25">
      <c r="C2472" s="2" t="s">
        <v>7577</v>
      </c>
      <c r="D2472" s="2" t="s">
        <v>122</v>
      </c>
      <c r="E2472" s="2">
        <v>142</v>
      </c>
      <c r="F2472" s="2">
        <v>2867.55</v>
      </c>
    </row>
    <row r="2473" spans="3:6" x14ac:dyDescent="0.25">
      <c r="C2473" s="2" t="s">
        <v>7578</v>
      </c>
      <c r="D2473" s="2" t="s">
        <v>122</v>
      </c>
      <c r="E2473" s="2">
        <v>100</v>
      </c>
      <c r="F2473" s="2">
        <v>2053.19</v>
      </c>
    </row>
    <row r="2474" spans="3:6" x14ac:dyDescent="0.25">
      <c r="C2474" s="2" t="s">
        <v>7579</v>
      </c>
      <c r="D2474" s="2" t="s">
        <v>122</v>
      </c>
      <c r="E2474" s="2">
        <v>41</v>
      </c>
      <c r="F2474" s="2">
        <v>801.44</v>
      </c>
    </row>
    <row r="2475" spans="3:6" x14ac:dyDescent="0.25">
      <c r="C2475" s="2" t="s">
        <v>7580</v>
      </c>
      <c r="D2475" s="2" t="s">
        <v>122</v>
      </c>
      <c r="E2475" s="2">
        <v>141</v>
      </c>
      <c r="F2475" s="2">
        <v>2794.028</v>
      </c>
    </row>
    <row r="2476" spans="3:6" x14ac:dyDescent="0.25">
      <c r="C2476" s="2" t="s">
        <v>7581</v>
      </c>
      <c r="D2476" s="2" t="s">
        <v>122</v>
      </c>
      <c r="E2476" s="2">
        <v>141</v>
      </c>
      <c r="F2476" s="2">
        <v>2925.42</v>
      </c>
    </row>
    <row r="2477" spans="3:6" x14ac:dyDescent="0.25">
      <c r="C2477" s="2" t="s">
        <v>7582</v>
      </c>
      <c r="D2477" s="2" t="s">
        <v>122</v>
      </c>
      <c r="E2477" s="2">
        <v>92</v>
      </c>
      <c r="F2477" s="2">
        <v>1772.94</v>
      </c>
    </row>
    <row r="2478" spans="3:6" x14ac:dyDescent="0.25">
      <c r="C2478" s="2" t="s">
        <v>7583</v>
      </c>
      <c r="D2478" s="2" t="s">
        <v>122</v>
      </c>
      <c r="E2478" s="2">
        <v>49</v>
      </c>
      <c r="F2478" s="2">
        <v>1021.26</v>
      </c>
    </row>
    <row r="2479" spans="3:6" x14ac:dyDescent="0.25">
      <c r="C2479" s="2" t="s">
        <v>7584</v>
      </c>
      <c r="D2479" s="2" t="s">
        <v>122</v>
      </c>
      <c r="E2479" s="2">
        <v>141</v>
      </c>
      <c r="F2479" s="2">
        <v>2757.379</v>
      </c>
    </row>
    <row r="2480" spans="3:6" x14ac:dyDescent="0.25">
      <c r="C2480" s="2" t="s">
        <v>7585</v>
      </c>
      <c r="D2480" s="2" t="s">
        <v>122</v>
      </c>
      <c r="E2480" s="2">
        <v>46</v>
      </c>
      <c r="F2480" s="2">
        <v>878.01</v>
      </c>
    </row>
    <row r="2481" spans="3:6" x14ac:dyDescent="0.25">
      <c r="C2481" s="2" t="s">
        <v>7586</v>
      </c>
      <c r="D2481" s="2" t="s">
        <v>122</v>
      </c>
      <c r="E2481" s="2">
        <v>42</v>
      </c>
      <c r="F2481" s="2">
        <v>742.05</v>
      </c>
    </row>
    <row r="2482" spans="3:6" x14ac:dyDescent="0.25">
      <c r="C2482" s="2" t="s">
        <v>7587</v>
      </c>
      <c r="D2482" s="2" t="s">
        <v>122</v>
      </c>
      <c r="E2482" s="2">
        <v>53</v>
      </c>
      <c r="F2482" s="2">
        <v>1022.2</v>
      </c>
    </row>
    <row r="2483" spans="3:6" x14ac:dyDescent="0.25">
      <c r="C2483" s="2" t="s">
        <v>7588</v>
      </c>
      <c r="D2483" s="2" t="s">
        <v>122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90</v>
      </c>
      <c r="C2485" s="2" t="s">
        <v>7589</v>
      </c>
      <c r="D2485" s="2" t="s">
        <v>9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7590</v>
      </c>
      <c r="D2486" s="2" t="s">
        <v>9</v>
      </c>
      <c r="E2486" s="2">
        <v>93</v>
      </c>
      <c r="F2486" s="2">
        <v>1843.98</v>
      </c>
    </row>
    <row r="2487" spans="3:6" x14ac:dyDescent="0.25">
      <c r="C2487" s="2" t="s">
        <v>7591</v>
      </c>
      <c r="D2487" s="2" t="s">
        <v>9</v>
      </c>
      <c r="E2487" s="2">
        <v>134</v>
      </c>
      <c r="F2487" s="2">
        <v>2746.58</v>
      </c>
    </row>
    <row r="2488" spans="3:6" x14ac:dyDescent="0.25">
      <c r="C2488" s="2" t="s">
        <v>7592</v>
      </c>
      <c r="D2488" s="2" t="s">
        <v>9</v>
      </c>
      <c r="E2488" s="2">
        <v>124</v>
      </c>
      <c r="F2488" s="2">
        <v>2539.88</v>
      </c>
    </row>
    <row r="2489" spans="3:6" x14ac:dyDescent="0.25">
      <c r="C2489" s="2" t="s">
        <v>7593</v>
      </c>
      <c r="D2489" s="2" t="s">
        <v>9</v>
      </c>
      <c r="E2489" s="2">
        <v>44</v>
      </c>
      <c r="F2489" s="2">
        <v>203.55</v>
      </c>
    </row>
    <row r="2490" spans="3:6" x14ac:dyDescent="0.25">
      <c r="C2490" s="2" t="s">
        <v>7594</v>
      </c>
      <c r="D2490" s="2" t="s">
        <v>9</v>
      </c>
      <c r="E2490" s="2">
        <v>105</v>
      </c>
      <c r="F2490" s="2">
        <v>480.969</v>
      </c>
    </row>
    <row r="2491" spans="3:6" x14ac:dyDescent="0.25">
      <c r="C2491" s="2" t="s">
        <v>7595</v>
      </c>
      <c r="D2491" s="2" t="s">
        <v>9</v>
      </c>
      <c r="E2491" s="2">
        <v>142</v>
      </c>
      <c r="F2491" s="2">
        <v>2815.77</v>
      </c>
    </row>
    <row r="2492" spans="3:6" x14ac:dyDescent="0.25">
      <c r="C2492" s="2" t="s">
        <v>7596</v>
      </c>
      <c r="D2492" s="2" t="s">
        <v>9</v>
      </c>
      <c r="E2492" s="2">
        <v>143</v>
      </c>
      <c r="F2492" s="2">
        <v>2789.1</v>
      </c>
    </row>
    <row r="2493" spans="3:6" x14ac:dyDescent="0.25">
      <c r="C2493" s="2" t="s">
        <v>7597</v>
      </c>
      <c r="D2493" s="2" t="s">
        <v>9</v>
      </c>
      <c r="E2493" s="2">
        <v>95</v>
      </c>
      <c r="F2493" s="2">
        <v>1776.799</v>
      </c>
    </row>
    <row r="2494" spans="3:6" x14ac:dyDescent="0.25">
      <c r="C2494" s="2" t="s">
        <v>7598</v>
      </c>
      <c r="D2494" s="2" t="s">
        <v>9</v>
      </c>
      <c r="E2494" s="2">
        <v>23</v>
      </c>
      <c r="F2494" s="2">
        <v>459.22</v>
      </c>
    </row>
    <row r="2495" spans="3:6" x14ac:dyDescent="0.25">
      <c r="C2495" s="2" t="s">
        <v>7599</v>
      </c>
      <c r="D2495" s="2" t="s">
        <v>9</v>
      </c>
      <c r="E2495" s="2">
        <v>123</v>
      </c>
      <c r="F2495" s="2">
        <v>2475.81</v>
      </c>
    </row>
    <row r="2496" spans="3:6" x14ac:dyDescent="0.25">
      <c r="C2496" s="2" t="s">
        <v>7600</v>
      </c>
      <c r="D2496" s="2" t="s">
        <v>9</v>
      </c>
      <c r="E2496" s="2">
        <v>141</v>
      </c>
      <c r="F2496" s="2">
        <v>2857.609</v>
      </c>
    </row>
    <row r="2497" spans="3:6" x14ac:dyDescent="0.25">
      <c r="C2497" s="2" t="s">
        <v>7601</v>
      </c>
      <c r="D2497" s="2" t="s">
        <v>9</v>
      </c>
      <c r="E2497" s="2">
        <v>141</v>
      </c>
      <c r="F2497" s="2">
        <v>2856.779</v>
      </c>
    </row>
    <row r="2498" spans="3:6" x14ac:dyDescent="0.25">
      <c r="C2498" s="2" t="s">
        <v>7602</v>
      </c>
      <c r="D2498" s="2" t="s">
        <v>9</v>
      </c>
      <c r="E2498" s="2">
        <v>102</v>
      </c>
      <c r="F2498" s="2">
        <v>2128.68</v>
      </c>
    </row>
    <row r="2499" spans="3:6" x14ac:dyDescent="0.25">
      <c r="C2499" s="2" t="s">
        <v>7603</v>
      </c>
      <c r="D2499" s="2" t="s">
        <v>9</v>
      </c>
      <c r="E2499" s="2">
        <v>141</v>
      </c>
      <c r="F2499" s="2">
        <v>2808.519</v>
      </c>
    </row>
    <row r="2500" spans="3:6" x14ac:dyDescent="0.25">
      <c r="C2500" s="2" t="s">
        <v>7604</v>
      </c>
      <c r="D2500" s="2" t="s">
        <v>9</v>
      </c>
      <c r="E2500" s="2">
        <v>141</v>
      </c>
      <c r="F2500" s="2">
        <v>2899.99</v>
      </c>
    </row>
    <row r="2501" spans="3:6" x14ac:dyDescent="0.25">
      <c r="C2501" s="2" t="s">
        <v>7605</v>
      </c>
      <c r="D2501" s="2" t="s">
        <v>9</v>
      </c>
      <c r="E2501" s="2">
        <v>141</v>
      </c>
      <c r="F2501" s="2">
        <v>2835.57</v>
      </c>
    </row>
    <row r="2502" spans="3:6" x14ac:dyDescent="0.25">
      <c r="C2502" s="2" t="s">
        <v>7606</v>
      </c>
      <c r="D2502" s="2" t="s">
        <v>9</v>
      </c>
      <c r="E2502" s="2">
        <v>141</v>
      </c>
      <c r="F2502" s="2">
        <v>2851.9</v>
      </c>
    </row>
    <row r="2503" spans="3:6" x14ac:dyDescent="0.25">
      <c r="C2503" s="2" t="s">
        <v>7607</v>
      </c>
      <c r="D2503" s="2" t="s">
        <v>9</v>
      </c>
      <c r="E2503" s="2">
        <v>26</v>
      </c>
      <c r="F2503" s="2">
        <v>374.61</v>
      </c>
    </row>
    <row r="2504" spans="3:6" x14ac:dyDescent="0.25">
      <c r="C2504" s="2" t="s">
        <v>7608</v>
      </c>
      <c r="D2504" s="2" t="s">
        <v>9</v>
      </c>
      <c r="E2504" s="2">
        <v>115</v>
      </c>
      <c r="F2504" s="2">
        <v>2081.09</v>
      </c>
    </row>
    <row r="2505" spans="3:6" x14ac:dyDescent="0.25">
      <c r="C2505" s="2" t="s">
        <v>7609</v>
      </c>
      <c r="D2505" s="2" t="s">
        <v>9</v>
      </c>
      <c r="E2505" s="2">
        <v>35</v>
      </c>
      <c r="F2505" s="2">
        <v>672.44</v>
      </c>
    </row>
    <row r="2506" spans="3:6" x14ac:dyDescent="0.25">
      <c r="C2506" s="2" t="s">
        <v>7610</v>
      </c>
      <c r="D2506" s="2" t="s">
        <v>9</v>
      </c>
      <c r="E2506" s="2">
        <v>37</v>
      </c>
      <c r="F2506" s="2">
        <v>691.089</v>
      </c>
    </row>
    <row r="2507" spans="3:6" x14ac:dyDescent="0.25">
      <c r="C2507" s="2" t="s">
        <v>7611</v>
      </c>
      <c r="D2507" s="2" t="s">
        <v>9</v>
      </c>
      <c r="E2507" s="2">
        <v>13</v>
      </c>
      <c r="F2507" s="2">
        <v>242.26</v>
      </c>
    </row>
    <row r="2508" spans="3:6" x14ac:dyDescent="0.25">
      <c r="C2508" s="2" t="s">
        <v>7612</v>
      </c>
      <c r="D2508" s="2" t="s">
        <v>9</v>
      </c>
      <c r="E2508" s="2">
        <v>11</v>
      </c>
      <c r="F2508" s="2">
        <v>96.22</v>
      </c>
    </row>
    <row r="2509" spans="3:6" x14ac:dyDescent="0.25">
      <c r="C2509" s="2" t="s">
        <v>7613</v>
      </c>
      <c r="D2509" s="2" t="s">
        <v>9</v>
      </c>
      <c r="E2509" s="2">
        <v>3</v>
      </c>
      <c r="F2509" s="2">
        <v>36.38</v>
      </c>
    </row>
    <row r="2510" spans="3:6" x14ac:dyDescent="0.25">
      <c r="C2510" s="2" t="s">
        <v>7614</v>
      </c>
      <c r="D2510" s="2" t="s">
        <v>9</v>
      </c>
      <c r="E2510" s="2">
        <v>5</v>
      </c>
      <c r="F2510" s="2">
        <v>77.68</v>
      </c>
    </row>
    <row r="2511" spans="3:6" x14ac:dyDescent="0.25">
      <c r="C2511" s="2" t="s">
        <v>7615</v>
      </c>
      <c r="D2511" s="2" t="s">
        <v>9</v>
      </c>
      <c r="E2511" s="2">
        <v>106</v>
      </c>
      <c r="F2511" s="2">
        <v>1970.21</v>
      </c>
    </row>
    <row r="2512" spans="3:6" x14ac:dyDescent="0.25">
      <c r="C2512" s="2" t="s">
        <v>7616</v>
      </c>
      <c r="D2512" s="2" t="s">
        <v>9</v>
      </c>
      <c r="E2512" s="2">
        <v>35</v>
      </c>
      <c r="F2512" s="2">
        <v>708.28</v>
      </c>
    </row>
    <row r="2513" spans="3:6" x14ac:dyDescent="0.25">
      <c r="C2513" s="2" t="s">
        <v>7617</v>
      </c>
      <c r="D2513" s="2" t="s">
        <v>9</v>
      </c>
      <c r="E2513" s="2">
        <v>73</v>
      </c>
      <c r="F2513" s="2">
        <v>1262.33</v>
      </c>
    </row>
    <row r="2514" spans="3:6" x14ac:dyDescent="0.25">
      <c r="C2514" s="2" t="s">
        <v>7618</v>
      </c>
      <c r="D2514" s="2" t="s">
        <v>9</v>
      </c>
      <c r="E2514" s="2">
        <v>29</v>
      </c>
      <c r="F2514" s="2">
        <v>613.91</v>
      </c>
    </row>
    <row r="2515" spans="3:6" x14ac:dyDescent="0.25">
      <c r="C2515" s="2" t="s">
        <v>7619</v>
      </c>
      <c r="D2515" s="2" t="s">
        <v>9</v>
      </c>
      <c r="E2515" s="2">
        <v>60</v>
      </c>
      <c r="F2515" s="2">
        <v>271.917</v>
      </c>
    </row>
    <row r="2516" spans="3:6" x14ac:dyDescent="0.25">
      <c r="C2516" s="2" t="s">
        <v>7620</v>
      </c>
      <c r="D2516" s="2" t="s">
        <v>9</v>
      </c>
      <c r="E2516" s="2">
        <v>103</v>
      </c>
      <c r="F2516" s="2">
        <v>1761.749</v>
      </c>
    </row>
    <row r="2517" spans="3:6" x14ac:dyDescent="0.25">
      <c r="C2517" s="2" t="s">
        <v>7621</v>
      </c>
      <c r="D2517" s="2" t="s">
        <v>9</v>
      </c>
      <c r="E2517" s="2">
        <v>102</v>
      </c>
      <c r="F2517" s="2">
        <v>1858.71</v>
      </c>
    </row>
    <row r="2518" spans="3:6" x14ac:dyDescent="0.25">
      <c r="C2518" s="2" t="s">
        <v>7622</v>
      </c>
      <c r="D2518" s="2" t="s">
        <v>9</v>
      </c>
      <c r="E2518" s="2">
        <v>144</v>
      </c>
      <c r="F2518" s="2">
        <v>2342.619</v>
      </c>
    </row>
    <row r="2519" spans="3:6" x14ac:dyDescent="0.25">
      <c r="C2519" s="2" t="s">
        <v>7623</v>
      </c>
      <c r="D2519" s="2" t="s">
        <v>9</v>
      </c>
      <c r="E2519" s="2">
        <v>156</v>
      </c>
      <c r="F2519" s="2">
        <v>2773.479</v>
      </c>
    </row>
    <row r="2520" spans="3:6" x14ac:dyDescent="0.25">
      <c r="C2520" s="2" t="s">
        <v>7624</v>
      </c>
      <c r="D2520" s="2" t="s">
        <v>9</v>
      </c>
      <c r="E2520" s="2">
        <v>141</v>
      </c>
      <c r="F2520" s="2">
        <v>2891.749</v>
      </c>
    </row>
    <row r="2521" spans="3:6" x14ac:dyDescent="0.25">
      <c r="C2521" s="2" t="s">
        <v>7625</v>
      </c>
      <c r="D2521" s="2" t="s">
        <v>9</v>
      </c>
      <c r="E2521" s="2">
        <v>142</v>
      </c>
      <c r="F2521" s="2">
        <v>2715.239</v>
      </c>
    </row>
    <row r="2522" spans="3:6" x14ac:dyDescent="0.25">
      <c r="C2522" s="2" t="s">
        <v>7626</v>
      </c>
      <c r="D2522" s="2" t="s">
        <v>9</v>
      </c>
      <c r="E2522" s="2">
        <v>63</v>
      </c>
      <c r="F2522" s="2">
        <v>1239.81</v>
      </c>
    </row>
    <row r="2523" spans="3:6" x14ac:dyDescent="0.25">
      <c r="C2523" s="2" t="s">
        <v>7627</v>
      </c>
      <c r="D2523" s="2" t="s">
        <v>9</v>
      </c>
      <c r="E2523" s="2">
        <v>12</v>
      </c>
      <c r="F2523" s="2">
        <v>229.15</v>
      </c>
    </row>
    <row r="2524" spans="3:6" x14ac:dyDescent="0.25">
      <c r="C2524" s="2" t="s">
        <v>7628</v>
      </c>
      <c r="D2524" s="2" t="s">
        <v>9</v>
      </c>
      <c r="E2524" s="2">
        <v>38</v>
      </c>
      <c r="F2524" s="2">
        <v>677.74</v>
      </c>
    </row>
    <row r="2525" spans="3:6" x14ac:dyDescent="0.25">
      <c r="C2525" s="2" t="s">
        <v>7629</v>
      </c>
      <c r="D2525" s="2" t="s">
        <v>9</v>
      </c>
      <c r="E2525" s="2">
        <v>103</v>
      </c>
      <c r="F2525" s="2">
        <v>1883.059</v>
      </c>
    </row>
    <row r="2526" spans="3:6" x14ac:dyDescent="0.25">
      <c r="C2526" s="2" t="s">
        <v>7630</v>
      </c>
      <c r="D2526" s="2" t="s">
        <v>9</v>
      </c>
      <c r="E2526" s="2">
        <v>12</v>
      </c>
      <c r="F2526" s="2">
        <v>255.59</v>
      </c>
    </row>
    <row r="2527" spans="3:6" x14ac:dyDescent="0.25">
      <c r="C2527" s="2" t="s">
        <v>7631</v>
      </c>
      <c r="D2527" s="2" t="s">
        <v>9</v>
      </c>
      <c r="E2527" s="2">
        <v>47</v>
      </c>
      <c r="F2527" s="2">
        <v>969.835</v>
      </c>
    </row>
    <row r="2528" spans="3:6" x14ac:dyDescent="0.25">
      <c r="C2528" s="2" t="s">
        <v>7632</v>
      </c>
      <c r="D2528" s="2" t="s">
        <v>9</v>
      </c>
      <c r="E2528" s="2">
        <v>14</v>
      </c>
      <c r="F2528" s="2">
        <v>312.48</v>
      </c>
    </row>
    <row r="2529" spans="3:6" x14ac:dyDescent="0.25">
      <c r="C2529" s="2" t="s">
        <v>7633</v>
      </c>
      <c r="D2529" s="2" t="s">
        <v>9</v>
      </c>
      <c r="E2529" s="2">
        <v>36</v>
      </c>
      <c r="F2529" s="2">
        <v>680.079</v>
      </c>
    </row>
    <row r="2530" spans="3:6" x14ac:dyDescent="0.25">
      <c r="C2530" s="2" t="s">
        <v>7634</v>
      </c>
      <c r="D2530" s="2" t="s">
        <v>9</v>
      </c>
      <c r="E2530" s="2">
        <v>32</v>
      </c>
      <c r="F2530" s="2">
        <v>556.31</v>
      </c>
    </row>
    <row r="2531" spans="3:6" x14ac:dyDescent="0.25">
      <c r="C2531" s="2" t="s">
        <v>7635</v>
      </c>
      <c r="D2531" s="2" t="s">
        <v>9</v>
      </c>
      <c r="E2531" s="2">
        <v>43</v>
      </c>
      <c r="F2531" s="2">
        <v>832.21</v>
      </c>
    </row>
    <row r="2532" spans="3:6" x14ac:dyDescent="0.25">
      <c r="C2532" s="2" t="s">
        <v>7636</v>
      </c>
      <c r="D2532" s="2" t="s">
        <v>9</v>
      </c>
      <c r="E2532" s="2">
        <v>28</v>
      </c>
      <c r="F2532" s="2">
        <v>565.92</v>
      </c>
    </row>
    <row r="2533" spans="3:6" x14ac:dyDescent="0.25">
      <c r="C2533" s="2" t="s">
        <v>7637</v>
      </c>
      <c r="D2533" s="2" t="s">
        <v>9</v>
      </c>
      <c r="E2533" s="2">
        <v>70</v>
      </c>
      <c r="F2533" s="2">
        <v>1423.15</v>
      </c>
    </row>
    <row r="2534" spans="3:6" x14ac:dyDescent="0.25">
      <c r="C2534" s="2" t="s">
        <v>7638</v>
      </c>
      <c r="D2534" s="2" t="s">
        <v>9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10</v>
      </c>
      <c r="C2536" s="2" t="s">
        <v>7639</v>
      </c>
      <c r="D2536" s="2" t="s">
        <v>12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7640</v>
      </c>
      <c r="D2537" s="2" t="s">
        <v>12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1101</v>
      </c>
      <c r="C2539" s="2" t="s">
        <v>7641</v>
      </c>
      <c r="D2539" s="2" t="s">
        <v>20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7642</v>
      </c>
      <c r="D2540" s="2" t="s">
        <v>20</v>
      </c>
      <c r="E2540" s="2">
        <v>105</v>
      </c>
      <c r="F2540" s="2">
        <v>1980.03</v>
      </c>
    </row>
    <row r="2541" spans="3:6" x14ac:dyDescent="0.25">
      <c r="C2541" s="2" t="s">
        <v>7643</v>
      </c>
      <c r="D2541" s="2" t="s">
        <v>20</v>
      </c>
      <c r="E2541" s="2">
        <v>312</v>
      </c>
      <c r="F2541" s="2">
        <v>6205.499</v>
      </c>
    </row>
    <row r="2542" spans="3:6" x14ac:dyDescent="0.25">
      <c r="C2542" s="2" t="s">
        <v>7644</v>
      </c>
      <c r="D2542" s="2" t="s">
        <v>20</v>
      </c>
      <c r="E2542" s="2">
        <v>308</v>
      </c>
      <c r="F2542" s="2">
        <v>5953.949</v>
      </c>
    </row>
    <row r="2543" spans="3:6" x14ac:dyDescent="0.25">
      <c r="C2543" s="2" t="s">
        <v>7645</v>
      </c>
      <c r="D2543" s="2" t="s">
        <v>20</v>
      </c>
      <c r="E2543" s="2">
        <v>156</v>
      </c>
      <c r="F2543" s="2">
        <v>2985.12</v>
      </c>
    </row>
    <row r="2544" spans="3:6" x14ac:dyDescent="0.25">
      <c r="C2544" s="2" t="s">
        <v>7646</v>
      </c>
      <c r="D2544" s="2" t="s">
        <v>20</v>
      </c>
      <c r="E2544" s="2">
        <v>44</v>
      </c>
      <c r="F2544" s="2">
        <v>932.371</v>
      </c>
    </row>
    <row r="2545" spans="3:6" x14ac:dyDescent="0.25">
      <c r="C2545" s="2" t="s">
        <v>7647</v>
      </c>
      <c r="D2545" s="2" t="s">
        <v>20</v>
      </c>
      <c r="E2545" s="2">
        <v>45</v>
      </c>
      <c r="F2545" s="2">
        <v>887.15</v>
      </c>
    </row>
    <row r="2546" spans="3:6" x14ac:dyDescent="0.25">
      <c r="C2546" s="2" t="s">
        <v>7648</v>
      </c>
      <c r="D2546" s="2" t="s">
        <v>20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18</v>
      </c>
      <c r="C2548" s="2" t="s">
        <v>7649</v>
      </c>
      <c r="D2548" s="2" t="s">
        <v>20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7650</v>
      </c>
      <c r="D2549" s="2" t="s">
        <v>20</v>
      </c>
      <c r="E2549" s="2">
        <v>101</v>
      </c>
      <c r="F2549" s="2">
        <v>1986.668</v>
      </c>
    </row>
    <row r="2550" spans="3:6" x14ac:dyDescent="0.25">
      <c r="C2550" s="2" t="s">
        <v>7651</v>
      </c>
      <c r="D2550" s="2" t="s">
        <v>20</v>
      </c>
      <c r="E2550" s="2">
        <v>244</v>
      </c>
      <c r="F2550" s="2">
        <v>4819.93</v>
      </c>
    </row>
    <row r="2551" spans="3:6" x14ac:dyDescent="0.25">
      <c r="C2551" s="2" t="s">
        <v>7652</v>
      </c>
      <c r="D2551" s="2" t="s">
        <v>20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2094</v>
      </c>
      <c r="C2553" s="2" t="s">
        <v>7653</v>
      </c>
      <c r="D2553" s="2" t="s">
        <v>2096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10</v>
      </c>
      <c r="C2555" s="2" t="s">
        <v>7654</v>
      </c>
      <c r="D2555" s="2" t="s">
        <v>12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7655</v>
      </c>
      <c r="D2556" s="2" t="s">
        <v>12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32</v>
      </c>
      <c r="C2558" s="2" t="s">
        <v>7656</v>
      </c>
      <c r="D2558" s="2" t="s">
        <v>20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7657</v>
      </c>
      <c r="D2559" s="2" t="s">
        <v>20</v>
      </c>
      <c r="E2559" s="2">
        <v>156</v>
      </c>
      <c r="F2559" s="2">
        <v>3070.728</v>
      </c>
    </row>
    <row r="2560" spans="3:6" x14ac:dyDescent="0.25">
      <c r="C2560" s="2" t="s">
        <v>7658</v>
      </c>
      <c r="D2560" s="2" t="s">
        <v>20</v>
      </c>
      <c r="E2560" s="2">
        <v>156</v>
      </c>
      <c r="F2560" s="2">
        <v>3025.429</v>
      </c>
    </row>
    <row r="2561" spans="3:6" x14ac:dyDescent="0.25">
      <c r="C2561" s="2" t="s">
        <v>7659</v>
      </c>
      <c r="D2561" s="2" t="s">
        <v>20</v>
      </c>
      <c r="E2561" s="2">
        <v>156</v>
      </c>
      <c r="F2561" s="2">
        <v>3086.98</v>
      </c>
    </row>
    <row r="2562" spans="3:6" x14ac:dyDescent="0.25">
      <c r="C2562" s="2" t="s">
        <v>7660</v>
      </c>
      <c r="D2562" s="2" t="s">
        <v>20</v>
      </c>
      <c r="E2562" s="2">
        <v>206</v>
      </c>
      <c r="F2562" s="2">
        <v>4101.299</v>
      </c>
    </row>
    <row r="2563" spans="3:6" x14ac:dyDescent="0.25">
      <c r="C2563" s="2" t="s">
        <v>7661</v>
      </c>
      <c r="D2563" s="2" t="s">
        <v>20</v>
      </c>
      <c r="E2563" s="2">
        <v>100</v>
      </c>
      <c r="F2563" s="2">
        <v>2093.29</v>
      </c>
    </row>
    <row r="2564" spans="3:6" x14ac:dyDescent="0.25">
      <c r="C2564" s="2" t="s">
        <v>7662</v>
      </c>
      <c r="D2564" s="2" t="s">
        <v>20</v>
      </c>
      <c r="E2564" s="2">
        <v>145</v>
      </c>
      <c r="F2564" s="2">
        <v>2849.01</v>
      </c>
    </row>
    <row r="2565" spans="3:6" x14ac:dyDescent="0.25">
      <c r="C2565" s="2" t="s">
        <v>7663</v>
      </c>
      <c r="D2565" s="2" t="s">
        <v>20</v>
      </c>
      <c r="E2565" s="2">
        <v>78</v>
      </c>
      <c r="F2565" s="2">
        <v>1532.9</v>
      </c>
    </row>
    <row r="2566" spans="3:6" x14ac:dyDescent="0.25">
      <c r="C2566" s="2" t="s">
        <v>7664</v>
      </c>
      <c r="D2566" s="2" t="s">
        <v>20</v>
      </c>
      <c r="E2566" s="2">
        <v>111</v>
      </c>
      <c r="F2566" s="2">
        <v>2143.03</v>
      </c>
    </row>
    <row r="2567" spans="3:6" x14ac:dyDescent="0.25">
      <c r="C2567" s="2" t="s">
        <v>7665</v>
      </c>
      <c r="D2567" s="2" t="s">
        <v>20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183</v>
      </c>
      <c r="C2569" s="2" t="s">
        <v>7666</v>
      </c>
      <c r="D2569" s="2" t="s">
        <v>122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7667</v>
      </c>
      <c r="D2570" s="2" t="s">
        <v>122</v>
      </c>
      <c r="E2570" s="2">
        <v>40</v>
      </c>
      <c r="F2570" s="2">
        <v>826.38</v>
      </c>
    </row>
    <row r="2571" spans="3:6" x14ac:dyDescent="0.25">
      <c r="C2571" s="2" t="s">
        <v>7668</v>
      </c>
      <c r="D2571" s="2" t="s">
        <v>122</v>
      </c>
      <c r="E2571" s="2">
        <v>63</v>
      </c>
      <c r="F2571" s="2">
        <v>274.739</v>
      </c>
    </row>
    <row r="2572" spans="3:6" x14ac:dyDescent="0.25">
      <c r="C2572" s="2" t="s">
        <v>7669</v>
      </c>
      <c r="D2572" s="2" t="s">
        <v>122</v>
      </c>
      <c r="E2572" s="2">
        <v>75</v>
      </c>
      <c r="F2572" s="2">
        <v>374.22</v>
      </c>
    </row>
    <row r="2573" spans="3:6" x14ac:dyDescent="0.25">
      <c r="C2573" s="2" t="s">
        <v>7670</v>
      </c>
      <c r="D2573" s="2" t="s">
        <v>122</v>
      </c>
      <c r="E2573" s="2">
        <v>141</v>
      </c>
      <c r="F2573" s="2">
        <v>2807.71</v>
      </c>
    </row>
    <row r="2574" spans="3:6" x14ac:dyDescent="0.25">
      <c r="C2574" s="2" t="s">
        <v>7671</v>
      </c>
      <c r="D2574" s="2" t="s">
        <v>122</v>
      </c>
      <c r="E2574" s="2">
        <v>141</v>
      </c>
      <c r="F2574" s="2">
        <v>2913.72</v>
      </c>
    </row>
    <row r="2575" spans="3:6" x14ac:dyDescent="0.25">
      <c r="C2575" s="2" t="s">
        <v>7672</v>
      </c>
      <c r="D2575" s="2" t="s">
        <v>122</v>
      </c>
      <c r="E2575" s="2">
        <v>141</v>
      </c>
      <c r="F2575" s="2">
        <v>2962.24</v>
      </c>
    </row>
    <row r="2576" spans="3:6" x14ac:dyDescent="0.25">
      <c r="C2576" s="2" t="s">
        <v>7673</v>
      </c>
      <c r="D2576" s="2" t="s">
        <v>122</v>
      </c>
      <c r="E2576" s="2">
        <v>114</v>
      </c>
      <c r="F2576" s="2">
        <v>1486.844</v>
      </c>
    </row>
    <row r="2577" spans="3:6" x14ac:dyDescent="0.25">
      <c r="C2577" s="2" t="s">
        <v>7674</v>
      </c>
      <c r="D2577" s="2" t="s">
        <v>122</v>
      </c>
      <c r="E2577" s="2">
        <v>27</v>
      </c>
      <c r="F2577" s="2">
        <v>112.629</v>
      </c>
    </row>
    <row r="2578" spans="3:6" x14ac:dyDescent="0.25">
      <c r="C2578" s="2" t="s">
        <v>7675</v>
      </c>
      <c r="D2578" s="2" t="s">
        <v>122</v>
      </c>
      <c r="E2578" s="2">
        <v>30</v>
      </c>
      <c r="F2578" s="2">
        <v>599.6</v>
      </c>
    </row>
    <row r="2579" spans="3:6" x14ac:dyDescent="0.25">
      <c r="C2579" s="2" t="s">
        <v>7676</v>
      </c>
      <c r="D2579" s="2" t="s">
        <v>122</v>
      </c>
      <c r="E2579" s="2">
        <v>11</v>
      </c>
      <c r="F2579" s="2">
        <v>196.21</v>
      </c>
    </row>
    <row r="2580" spans="3:6" x14ac:dyDescent="0.25">
      <c r="C2580" s="2" t="s">
        <v>7677</v>
      </c>
      <c r="D2580" s="2" t="s">
        <v>122</v>
      </c>
      <c r="E2580" s="2">
        <v>101</v>
      </c>
      <c r="F2580" s="2">
        <v>1986.299</v>
      </c>
    </row>
    <row r="2581" spans="3:6" x14ac:dyDescent="0.25">
      <c r="C2581" s="2" t="s">
        <v>7678</v>
      </c>
      <c r="D2581" s="2" t="s">
        <v>122</v>
      </c>
      <c r="E2581" s="2">
        <v>15</v>
      </c>
      <c r="F2581" s="2">
        <v>276.98</v>
      </c>
    </row>
    <row r="2582" spans="3:6" x14ac:dyDescent="0.25">
      <c r="C2582" s="2" t="s">
        <v>7679</v>
      </c>
      <c r="D2582" s="2" t="s">
        <v>122</v>
      </c>
      <c r="E2582" s="2">
        <v>26</v>
      </c>
      <c r="F2582" s="2">
        <v>503.849</v>
      </c>
    </row>
    <row r="2583" spans="3:6" x14ac:dyDescent="0.25">
      <c r="C2583" s="2" t="s">
        <v>7680</v>
      </c>
      <c r="D2583" s="2" t="s">
        <v>122</v>
      </c>
      <c r="E2583" s="2">
        <v>61</v>
      </c>
      <c r="F2583" s="2">
        <v>1211.31</v>
      </c>
    </row>
    <row r="2584" spans="3:6" x14ac:dyDescent="0.25">
      <c r="C2584" s="2" t="s">
        <v>7681</v>
      </c>
      <c r="D2584" s="2" t="s">
        <v>122</v>
      </c>
      <c r="E2584" s="2">
        <v>39</v>
      </c>
      <c r="F2584" s="2">
        <v>841.4</v>
      </c>
    </row>
    <row r="2585" spans="3:6" x14ac:dyDescent="0.25">
      <c r="C2585" s="2" t="s">
        <v>7682</v>
      </c>
      <c r="D2585" s="2" t="s">
        <v>122</v>
      </c>
      <c r="E2585" s="2">
        <v>46</v>
      </c>
      <c r="F2585" s="2">
        <v>844.16</v>
      </c>
    </row>
    <row r="2586" spans="3:6" x14ac:dyDescent="0.25">
      <c r="C2586" s="2" t="s">
        <v>7683</v>
      </c>
      <c r="D2586" s="2" t="s">
        <v>122</v>
      </c>
      <c r="E2586" s="2">
        <v>30</v>
      </c>
      <c r="F2586" s="2">
        <v>592.18</v>
      </c>
    </row>
    <row r="2587" spans="3:6" x14ac:dyDescent="0.25">
      <c r="C2587" s="2" t="s">
        <v>7684</v>
      </c>
      <c r="D2587" s="2" t="s">
        <v>122</v>
      </c>
      <c r="E2587" s="2">
        <v>59</v>
      </c>
      <c r="F2587" s="2">
        <v>1181.99</v>
      </c>
    </row>
    <row r="2588" spans="3:6" x14ac:dyDescent="0.25">
      <c r="C2588" s="2" t="s">
        <v>7685</v>
      </c>
      <c r="D2588" s="2" t="s">
        <v>122</v>
      </c>
      <c r="E2588" s="2">
        <v>36</v>
      </c>
      <c r="F2588" s="2">
        <v>752.3</v>
      </c>
    </row>
    <row r="2589" spans="3:6" x14ac:dyDescent="0.25">
      <c r="C2589" s="2" t="s">
        <v>7686</v>
      </c>
      <c r="D2589" s="2" t="s">
        <v>122</v>
      </c>
      <c r="E2589" s="2">
        <v>26</v>
      </c>
      <c r="F2589" s="2">
        <v>503.35</v>
      </c>
    </row>
    <row r="2590" spans="3:6" x14ac:dyDescent="0.25">
      <c r="C2590" s="2" t="s">
        <v>7687</v>
      </c>
      <c r="D2590" s="2" t="s">
        <v>122</v>
      </c>
      <c r="E2590" s="2">
        <v>121</v>
      </c>
      <c r="F2590" s="2">
        <v>2531.219</v>
      </c>
    </row>
    <row r="2591" spans="3:5" x14ac:dyDescent="0.25">
      <c r="C2591" s="2" t="s">
        <v>7688</v>
      </c>
      <c r="D2591" s="2" t="s">
        <v>122</v>
      </c>
      <c r="E2591" s="2">
        <v>94</v>
      </c>
    </row>
    <row r="2592" spans="3:6" x14ac:dyDescent="0.25">
      <c r="C2592" s="2" t="s">
        <v>7689</v>
      </c>
      <c r="D2592" s="2" t="s">
        <v>122</v>
      </c>
      <c r="E2592" s="2">
        <v>142</v>
      </c>
      <c r="F2592" s="2">
        <v>1703.645</v>
      </c>
    </row>
    <row r="2593" spans="3:6" x14ac:dyDescent="0.25">
      <c r="C2593" s="2" t="s">
        <v>7690</v>
      </c>
      <c r="D2593" s="2" t="s">
        <v>122</v>
      </c>
      <c r="E2593" s="2">
        <v>50</v>
      </c>
      <c r="F2593" s="2">
        <v>1754.05</v>
      </c>
    </row>
    <row r="2594" spans="3:6" x14ac:dyDescent="0.25">
      <c r="C2594" s="2" t="s">
        <v>7691</v>
      </c>
      <c r="D2594" s="2" t="s">
        <v>122</v>
      </c>
      <c r="E2594" s="2">
        <v>128</v>
      </c>
      <c r="F2594" s="2">
        <v>918.816</v>
      </c>
    </row>
    <row r="2595" spans="3:6" x14ac:dyDescent="0.25">
      <c r="C2595" s="2" t="s">
        <v>7692</v>
      </c>
      <c r="D2595" s="2" t="s">
        <v>122</v>
      </c>
      <c r="E2595" s="2">
        <v>101</v>
      </c>
      <c r="F2595" s="2">
        <v>1442.421</v>
      </c>
    </row>
    <row r="2596" spans="3:6" x14ac:dyDescent="0.25">
      <c r="C2596" s="2" t="s">
        <v>7693</v>
      </c>
      <c r="D2596" s="2" t="s">
        <v>122</v>
      </c>
      <c r="E2596" s="2">
        <v>93</v>
      </c>
      <c r="F2596" s="2">
        <v>2160.138</v>
      </c>
    </row>
    <row r="2597" spans="3:6" x14ac:dyDescent="0.25">
      <c r="C2597" s="2" t="s">
        <v>7694</v>
      </c>
      <c r="D2597" s="2" t="s">
        <v>122</v>
      </c>
      <c r="E2597" s="2">
        <v>71</v>
      </c>
      <c r="F2597" s="2">
        <v>1428.95</v>
      </c>
    </row>
    <row r="2598" spans="3:6" x14ac:dyDescent="0.25">
      <c r="C2598" s="2" t="s">
        <v>7695</v>
      </c>
      <c r="D2598" s="2" t="s">
        <v>122</v>
      </c>
      <c r="E2598" s="2">
        <v>50</v>
      </c>
      <c r="F2598" s="2">
        <v>1020.49</v>
      </c>
    </row>
    <row r="2599" spans="3:6" x14ac:dyDescent="0.25">
      <c r="C2599" s="2" t="s">
        <v>7696</v>
      </c>
      <c r="D2599" s="2" t="s">
        <v>122</v>
      </c>
      <c r="E2599" s="2">
        <v>94</v>
      </c>
      <c r="F2599" s="2">
        <v>1904.46</v>
      </c>
    </row>
    <row r="2600" spans="3:6" x14ac:dyDescent="0.25">
      <c r="C2600" s="2" t="s">
        <v>7697</v>
      </c>
      <c r="D2600" s="2" t="s">
        <v>122</v>
      </c>
      <c r="E2600" s="2">
        <v>27</v>
      </c>
      <c r="F2600" s="2">
        <v>554.32</v>
      </c>
    </row>
    <row r="2601" spans="3:6" x14ac:dyDescent="0.25">
      <c r="C2601" s="2" t="s">
        <v>7698</v>
      </c>
      <c r="D2601" s="2" t="s">
        <v>122</v>
      </c>
      <c r="E2601" s="2">
        <v>26</v>
      </c>
      <c r="F2601" s="2">
        <v>497.829</v>
      </c>
    </row>
    <row r="2602" spans="3:6" x14ac:dyDescent="0.25">
      <c r="C2602" s="2" t="s">
        <v>7699</v>
      </c>
      <c r="D2602" s="2" t="s">
        <v>122</v>
      </c>
      <c r="E2602" s="2">
        <v>76</v>
      </c>
      <c r="F2602" s="2">
        <v>1553.279</v>
      </c>
    </row>
    <row r="2603" spans="3:6" x14ac:dyDescent="0.25">
      <c r="C2603" s="2" t="s">
        <v>7700</v>
      </c>
      <c r="D2603" s="2" t="s">
        <v>122</v>
      </c>
      <c r="E2603" s="2">
        <v>134</v>
      </c>
      <c r="F2603" s="2">
        <v>2641.199</v>
      </c>
    </row>
    <row r="2604" spans="3:6" x14ac:dyDescent="0.25">
      <c r="C2604" s="2" t="s">
        <v>7701</v>
      </c>
      <c r="D2604" s="2" t="s">
        <v>122</v>
      </c>
      <c r="E2604" s="2">
        <v>141</v>
      </c>
      <c r="F2604" s="2">
        <v>2786.72</v>
      </c>
    </row>
    <row r="2605" spans="3:6" x14ac:dyDescent="0.25">
      <c r="C2605" s="2" t="s">
        <v>7702</v>
      </c>
      <c r="D2605" s="2" t="s">
        <v>122</v>
      </c>
      <c r="E2605" s="2">
        <v>141</v>
      </c>
      <c r="F2605" s="2">
        <v>2890.38</v>
      </c>
    </row>
    <row r="2606" spans="3:6" x14ac:dyDescent="0.25">
      <c r="C2606" s="2" t="s">
        <v>7703</v>
      </c>
      <c r="D2606" s="2" t="s">
        <v>122</v>
      </c>
      <c r="E2606" s="2">
        <v>40</v>
      </c>
      <c r="F2606" s="2">
        <v>790.72</v>
      </c>
    </row>
    <row r="2607" spans="3:6" x14ac:dyDescent="0.25">
      <c r="C2607" s="2" t="s">
        <v>7704</v>
      </c>
      <c r="D2607" s="2" t="s">
        <v>122</v>
      </c>
      <c r="E2607" s="2">
        <v>50</v>
      </c>
      <c r="F2607" s="2">
        <v>965.6</v>
      </c>
    </row>
    <row r="2608" spans="3:6" x14ac:dyDescent="0.25">
      <c r="C2608" s="2" t="s">
        <v>7705</v>
      </c>
      <c r="D2608" s="2" t="s">
        <v>122</v>
      </c>
      <c r="E2608" s="2">
        <v>51</v>
      </c>
      <c r="F2608" s="2">
        <v>1054.65</v>
      </c>
    </row>
    <row r="2609" spans="3:6" x14ac:dyDescent="0.25">
      <c r="C2609" s="2" t="s">
        <v>7706</v>
      </c>
      <c r="D2609" s="2" t="s">
        <v>122</v>
      </c>
      <c r="E2609" s="2">
        <v>60</v>
      </c>
      <c r="F2609" s="2">
        <v>1207.31</v>
      </c>
    </row>
    <row r="2610" spans="3:6" x14ac:dyDescent="0.25">
      <c r="C2610" s="2" t="s">
        <v>7707</v>
      </c>
      <c r="D2610" s="2" t="s">
        <v>122</v>
      </c>
      <c r="E2610" s="2">
        <v>40</v>
      </c>
      <c r="F2610" s="2">
        <v>774.14</v>
      </c>
    </row>
    <row r="2611" spans="3:6" x14ac:dyDescent="0.25">
      <c r="C2611" s="2" t="s">
        <v>7708</v>
      </c>
      <c r="D2611" s="2" t="s">
        <v>122</v>
      </c>
      <c r="E2611" s="2">
        <v>15</v>
      </c>
      <c r="F2611" s="2">
        <v>289.78</v>
      </c>
    </row>
    <row r="2612" spans="3:6" x14ac:dyDescent="0.25">
      <c r="C2612" s="2" t="s">
        <v>7709</v>
      </c>
      <c r="D2612" s="2" t="s">
        <v>122</v>
      </c>
      <c r="E2612" s="2">
        <v>11</v>
      </c>
      <c r="F2612" s="2">
        <v>147.69</v>
      </c>
    </row>
    <row r="2613" spans="3:6" x14ac:dyDescent="0.25">
      <c r="C2613" s="2" t="s">
        <v>7710</v>
      </c>
      <c r="D2613" s="2" t="s">
        <v>122</v>
      </c>
      <c r="E2613" s="2">
        <v>89</v>
      </c>
      <c r="F2613" s="2">
        <v>1812.02</v>
      </c>
    </row>
    <row r="2614" spans="3:6" x14ac:dyDescent="0.25">
      <c r="C2614" s="2" t="s">
        <v>7711</v>
      </c>
      <c r="D2614" s="2" t="s">
        <v>122</v>
      </c>
      <c r="E2614" s="2">
        <v>13</v>
      </c>
      <c r="F2614" s="2">
        <v>255.41</v>
      </c>
    </row>
    <row r="2615" spans="3:6" x14ac:dyDescent="0.25">
      <c r="C2615" s="2" t="s">
        <v>7712</v>
      </c>
      <c r="D2615" s="2" t="s">
        <v>122</v>
      </c>
      <c r="E2615" s="2">
        <v>65</v>
      </c>
      <c r="F2615" s="2">
        <v>1326.44</v>
      </c>
    </row>
    <row r="2616" spans="3:6" x14ac:dyDescent="0.25">
      <c r="C2616" s="2" t="s">
        <v>7713</v>
      </c>
      <c r="D2616" s="2" t="s">
        <v>122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398</v>
      </c>
      <c r="C2618" s="2" t="s">
        <v>7714</v>
      </c>
      <c r="D2618" s="2" t="s">
        <v>12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7715</v>
      </c>
      <c r="D2619" s="2" t="s">
        <v>12</v>
      </c>
      <c r="E2619" s="2">
        <v>150</v>
      </c>
      <c r="F2619" s="2">
        <v>2963.379</v>
      </c>
    </row>
    <row r="2620" spans="3:6" x14ac:dyDescent="0.25">
      <c r="C2620" s="2" t="s">
        <v>7716</v>
      </c>
      <c r="D2620" s="2" t="s">
        <v>12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10</v>
      </c>
      <c r="C2622" s="2" t="s">
        <v>7717</v>
      </c>
      <c r="D2622" s="2" t="s">
        <v>12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7718</v>
      </c>
      <c r="D2623" s="2" t="s">
        <v>12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32</v>
      </c>
      <c r="C2625" s="2" t="s">
        <v>7719</v>
      </c>
      <c r="D2625" s="2" t="s">
        <v>20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7720</v>
      </c>
      <c r="D2626" s="2" t="s">
        <v>20</v>
      </c>
      <c r="E2626" s="2">
        <v>156</v>
      </c>
      <c r="F2626" s="2">
        <v>3042.779</v>
      </c>
    </row>
    <row r="2627" spans="3:6" x14ac:dyDescent="0.25">
      <c r="C2627" s="2" t="s">
        <v>7721</v>
      </c>
      <c r="D2627" s="2" t="s">
        <v>20</v>
      </c>
      <c r="E2627" s="2">
        <v>156</v>
      </c>
      <c r="F2627" s="2">
        <v>3128.849</v>
      </c>
    </row>
    <row r="2628" spans="3:6" x14ac:dyDescent="0.25">
      <c r="C2628" s="2" t="s">
        <v>7722</v>
      </c>
      <c r="D2628" s="2" t="s">
        <v>20</v>
      </c>
      <c r="E2628" s="2">
        <v>259</v>
      </c>
      <c r="F2628" s="2">
        <v>5129.259</v>
      </c>
    </row>
    <row r="2629" spans="3:6" x14ac:dyDescent="0.25">
      <c r="C2629" s="2" t="s">
        <v>7723</v>
      </c>
      <c r="D2629" s="2" t="s">
        <v>20</v>
      </c>
      <c r="E2629" s="2">
        <v>149</v>
      </c>
      <c r="F2629" s="2">
        <v>3165.96</v>
      </c>
    </row>
    <row r="2630" spans="3:6" x14ac:dyDescent="0.25">
      <c r="C2630" s="2" t="s">
        <v>7724</v>
      </c>
      <c r="D2630" s="2" t="s">
        <v>20</v>
      </c>
      <c r="E2630" s="2">
        <v>111</v>
      </c>
      <c r="F2630" s="2">
        <v>2149.449</v>
      </c>
    </row>
    <row r="2631" spans="3:6" x14ac:dyDescent="0.25">
      <c r="C2631" s="2" t="s">
        <v>7725</v>
      </c>
      <c r="D2631" s="2" t="s">
        <v>20</v>
      </c>
      <c r="E2631" s="2">
        <v>105</v>
      </c>
      <c r="F2631" s="2">
        <v>2006.189</v>
      </c>
    </row>
    <row r="2632" spans="3:6" x14ac:dyDescent="0.25">
      <c r="C2632" s="2" t="s">
        <v>7726</v>
      </c>
      <c r="D2632" s="2" t="s">
        <v>20</v>
      </c>
      <c r="E2632" s="2">
        <v>207</v>
      </c>
      <c r="F2632" s="2">
        <v>4001.54</v>
      </c>
    </row>
    <row r="2633" spans="3:6" x14ac:dyDescent="0.25">
      <c r="C2633" s="2" t="s">
        <v>7727</v>
      </c>
      <c r="D2633" s="2" t="s">
        <v>20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2094</v>
      </c>
      <c r="C2635" s="2" t="s">
        <v>7728</v>
      </c>
      <c r="D2635" s="2" t="s">
        <v>204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5633</v>
      </c>
      <c r="C2637" s="2" t="s">
        <v>7729</v>
      </c>
      <c r="D2637" s="2" t="s">
        <v>27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7730</v>
      </c>
      <c r="D2638" s="2" t="s">
        <v>27</v>
      </c>
      <c r="E2638" s="2">
        <v>16</v>
      </c>
      <c r="F2638" s="2">
        <v>257.19</v>
      </c>
    </row>
    <row r="2639" spans="3:6" x14ac:dyDescent="0.25">
      <c r="C2639" s="2" t="s">
        <v>7731</v>
      </c>
      <c r="D2639" s="2" t="s">
        <v>27</v>
      </c>
      <c r="E2639" s="2">
        <v>35</v>
      </c>
      <c r="F2639" s="2">
        <v>647.359</v>
      </c>
    </row>
    <row r="2640" spans="3:6" x14ac:dyDescent="0.25">
      <c r="C2640" s="2" t="s">
        <v>7732</v>
      </c>
      <c r="D2640" s="2" t="s">
        <v>27</v>
      </c>
      <c r="E2640" s="2">
        <v>46</v>
      </c>
      <c r="F2640" s="2">
        <v>932.369</v>
      </c>
    </row>
    <row r="2641" spans="3:6" x14ac:dyDescent="0.25">
      <c r="C2641" s="2" t="s">
        <v>7733</v>
      </c>
      <c r="D2641" s="2" t="s">
        <v>27</v>
      </c>
      <c r="E2641" s="2">
        <v>25</v>
      </c>
      <c r="F2641" s="2">
        <v>397.89</v>
      </c>
    </row>
    <row r="2642" spans="3:6" x14ac:dyDescent="0.25">
      <c r="C2642" s="2" t="s">
        <v>7734</v>
      </c>
      <c r="D2642" s="2" t="s">
        <v>27</v>
      </c>
      <c r="E2642" s="2">
        <v>69</v>
      </c>
      <c r="F2642" s="2">
        <v>1418.53</v>
      </c>
    </row>
    <row r="2643" spans="3:6" x14ac:dyDescent="0.25">
      <c r="C2643" s="2" t="s">
        <v>7735</v>
      </c>
      <c r="D2643" s="2" t="s">
        <v>27</v>
      </c>
      <c r="E2643" s="2">
        <v>6</v>
      </c>
      <c r="F2643" s="2">
        <v>140.95</v>
      </c>
    </row>
    <row r="2644" spans="3:6" x14ac:dyDescent="0.25">
      <c r="C2644" s="2" t="s">
        <v>7736</v>
      </c>
      <c r="D2644" s="2" t="s">
        <v>27</v>
      </c>
      <c r="E2644" s="2">
        <v>41</v>
      </c>
      <c r="F2644" s="2">
        <v>759.909</v>
      </c>
    </row>
    <row r="2645" spans="3:6" x14ac:dyDescent="0.25">
      <c r="C2645" s="2" t="s">
        <v>7737</v>
      </c>
      <c r="D2645" s="2" t="s">
        <v>27</v>
      </c>
      <c r="E2645" s="2">
        <v>23</v>
      </c>
      <c r="F2645" s="2">
        <v>388.53</v>
      </c>
    </row>
    <row r="2646" spans="3:6" x14ac:dyDescent="0.25">
      <c r="C2646" s="2" t="s">
        <v>7738</v>
      </c>
      <c r="D2646" s="2" t="s">
        <v>27</v>
      </c>
      <c r="E2646" s="2">
        <v>29</v>
      </c>
      <c r="F2646" s="2">
        <v>546.74</v>
      </c>
    </row>
    <row r="2647" spans="3:6" x14ac:dyDescent="0.25">
      <c r="C2647" s="2" t="s">
        <v>7739</v>
      </c>
      <c r="D2647" s="2" t="s">
        <v>27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2196</v>
      </c>
      <c r="C2649" s="2" t="s">
        <v>7740</v>
      </c>
      <c r="D2649" s="2" t="s">
        <v>9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7741</v>
      </c>
      <c r="D2650" s="2" t="s">
        <v>9</v>
      </c>
      <c r="E2650" s="2">
        <v>112</v>
      </c>
      <c r="F2650" s="2">
        <v>2190.529</v>
      </c>
    </row>
    <row r="2651" spans="3:6" x14ac:dyDescent="0.25">
      <c r="C2651" s="2" t="s">
        <v>7742</v>
      </c>
      <c r="D2651" s="2" t="s">
        <v>9</v>
      </c>
      <c r="E2651" s="2">
        <v>103</v>
      </c>
      <c r="F2651" s="2">
        <v>1860.159</v>
      </c>
    </row>
    <row r="2652" spans="3:6" x14ac:dyDescent="0.25">
      <c r="C2652" s="2" t="s">
        <v>7743</v>
      </c>
      <c r="D2652" s="2" t="s">
        <v>9</v>
      </c>
      <c r="E2652" s="2">
        <v>124</v>
      </c>
      <c r="F2652" s="2">
        <v>2300.48</v>
      </c>
    </row>
    <row r="2653" spans="3:6" x14ac:dyDescent="0.25">
      <c r="C2653" s="2" t="s">
        <v>7744</v>
      </c>
      <c r="D2653" s="2" t="s">
        <v>9</v>
      </c>
      <c r="E2653" s="2">
        <v>141</v>
      </c>
      <c r="F2653" s="2">
        <v>618.27</v>
      </c>
    </row>
    <row r="2654" spans="3:6" x14ac:dyDescent="0.25">
      <c r="C2654" s="2" t="s">
        <v>7745</v>
      </c>
      <c r="D2654" s="2" t="s">
        <v>9</v>
      </c>
      <c r="E2654" s="2">
        <v>150</v>
      </c>
      <c r="F2654" s="2">
        <v>2844.69</v>
      </c>
    </row>
    <row r="2655" spans="3:6" x14ac:dyDescent="0.25">
      <c r="C2655" s="2" t="s">
        <v>7746</v>
      </c>
      <c r="D2655" s="2" t="s">
        <v>9</v>
      </c>
      <c r="E2655" s="2">
        <v>141</v>
      </c>
      <c r="F2655" s="2">
        <v>2787.96</v>
      </c>
    </row>
    <row r="2656" spans="3:6" x14ac:dyDescent="0.25">
      <c r="C2656" s="2" t="s">
        <v>7747</v>
      </c>
      <c r="D2656" s="2" t="s">
        <v>9</v>
      </c>
      <c r="E2656" s="2">
        <v>123</v>
      </c>
      <c r="F2656" s="2">
        <v>2447.549</v>
      </c>
    </row>
    <row r="2657" spans="3:6" x14ac:dyDescent="0.25">
      <c r="C2657" s="2" t="s">
        <v>7748</v>
      </c>
      <c r="D2657" s="2" t="s">
        <v>9</v>
      </c>
      <c r="E2657" s="2">
        <v>123</v>
      </c>
      <c r="F2657" s="2">
        <v>2462.49</v>
      </c>
    </row>
    <row r="2658" spans="3:6" x14ac:dyDescent="0.25">
      <c r="C2658" s="2" t="s">
        <v>7749</v>
      </c>
      <c r="D2658" s="2" t="s">
        <v>9</v>
      </c>
      <c r="E2658" s="2">
        <v>141</v>
      </c>
      <c r="F2658" s="2">
        <v>3052.71</v>
      </c>
    </row>
    <row r="2659" spans="3:6" x14ac:dyDescent="0.25">
      <c r="C2659" s="2" t="s">
        <v>7750</v>
      </c>
      <c r="D2659" s="2" t="s">
        <v>9</v>
      </c>
      <c r="E2659" s="2">
        <v>141</v>
      </c>
      <c r="F2659" s="2">
        <v>2826.3</v>
      </c>
    </row>
    <row r="2660" spans="3:6" x14ac:dyDescent="0.25">
      <c r="C2660" s="2" t="s">
        <v>7751</v>
      </c>
      <c r="D2660" s="2" t="s">
        <v>9</v>
      </c>
      <c r="E2660" s="2">
        <v>141</v>
      </c>
      <c r="F2660" s="2">
        <v>2928.45</v>
      </c>
    </row>
    <row r="2661" spans="3:6" x14ac:dyDescent="0.25">
      <c r="C2661" s="2" t="s">
        <v>7752</v>
      </c>
      <c r="D2661" s="2" t="s">
        <v>9</v>
      </c>
      <c r="E2661" s="2">
        <v>141</v>
      </c>
      <c r="F2661" s="2">
        <v>2884.94</v>
      </c>
    </row>
    <row r="2662" spans="3:6" x14ac:dyDescent="0.25">
      <c r="C2662" s="2" t="s">
        <v>7753</v>
      </c>
      <c r="D2662" s="2" t="s">
        <v>9</v>
      </c>
      <c r="E2662" s="2">
        <v>141</v>
      </c>
      <c r="F2662" s="2">
        <v>2846.99</v>
      </c>
    </row>
    <row r="2663" spans="3:6" x14ac:dyDescent="0.25">
      <c r="C2663" s="2" t="s">
        <v>7754</v>
      </c>
      <c r="D2663" s="2" t="s">
        <v>9</v>
      </c>
      <c r="E2663" s="2">
        <v>66</v>
      </c>
      <c r="F2663" s="2">
        <v>1331.95</v>
      </c>
    </row>
    <row r="2664" spans="3:6" x14ac:dyDescent="0.25">
      <c r="C2664" s="2" t="s">
        <v>7755</v>
      </c>
      <c r="D2664" s="2" t="s">
        <v>9</v>
      </c>
      <c r="E2664" s="2">
        <v>28</v>
      </c>
      <c r="F2664" s="2">
        <v>559.79</v>
      </c>
    </row>
    <row r="2665" spans="3:6" x14ac:dyDescent="0.25">
      <c r="C2665" s="2" t="s">
        <v>7756</v>
      </c>
      <c r="D2665" s="2" t="s">
        <v>9</v>
      </c>
      <c r="E2665" s="2">
        <v>141</v>
      </c>
      <c r="F2665" s="2">
        <v>2812.11</v>
      </c>
    </row>
    <row r="2666" spans="3:6" x14ac:dyDescent="0.25">
      <c r="C2666" s="2" t="s">
        <v>7757</v>
      </c>
      <c r="D2666" s="2" t="s">
        <v>9</v>
      </c>
      <c r="E2666" s="2">
        <v>141</v>
      </c>
      <c r="F2666" s="2">
        <v>2838.42</v>
      </c>
    </row>
    <row r="2667" spans="3:6" x14ac:dyDescent="0.25">
      <c r="C2667" s="2" t="s">
        <v>7758</v>
      </c>
      <c r="D2667" s="2" t="s">
        <v>9</v>
      </c>
      <c r="E2667" s="2">
        <v>100</v>
      </c>
      <c r="F2667" s="2">
        <v>1975.47</v>
      </c>
    </row>
    <row r="2668" spans="3:6" x14ac:dyDescent="0.25">
      <c r="C2668" s="2" t="s">
        <v>7759</v>
      </c>
      <c r="D2668" s="2" t="s">
        <v>9</v>
      </c>
      <c r="E2668" s="2">
        <v>41</v>
      </c>
      <c r="F2668" s="2">
        <v>822.86</v>
      </c>
    </row>
    <row r="2669" spans="3:6" x14ac:dyDescent="0.25">
      <c r="C2669" s="2" t="s">
        <v>7760</v>
      </c>
      <c r="D2669" s="2" t="s">
        <v>9</v>
      </c>
      <c r="E2669" s="2">
        <v>102</v>
      </c>
      <c r="F2669" s="2">
        <v>2081.38</v>
      </c>
    </row>
    <row r="2670" spans="3:6" x14ac:dyDescent="0.25">
      <c r="C2670" s="2" t="s">
        <v>7761</v>
      </c>
      <c r="D2670" s="2" t="s">
        <v>9</v>
      </c>
      <c r="E2670" s="2">
        <v>141</v>
      </c>
      <c r="F2670" s="2">
        <v>2409.134</v>
      </c>
    </row>
    <row r="2671" spans="3:6" x14ac:dyDescent="0.25">
      <c r="C2671" s="2" t="s">
        <v>7762</v>
      </c>
      <c r="D2671" s="2" t="s">
        <v>9</v>
      </c>
      <c r="E2671" s="2">
        <v>54</v>
      </c>
      <c r="F2671" s="2">
        <v>1041.559</v>
      </c>
    </row>
    <row r="2672" spans="3:6" x14ac:dyDescent="0.25">
      <c r="C2672" s="2" t="s">
        <v>7763</v>
      </c>
      <c r="D2672" s="2" t="s">
        <v>9</v>
      </c>
      <c r="E2672" s="2">
        <v>17</v>
      </c>
      <c r="F2672" s="2">
        <v>365.13</v>
      </c>
    </row>
    <row r="2673" spans="3:6" x14ac:dyDescent="0.25">
      <c r="C2673" s="2" t="s">
        <v>7764</v>
      </c>
      <c r="D2673" s="2" t="s">
        <v>9</v>
      </c>
      <c r="E2673" s="2">
        <v>37</v>
      </c>
      <c r="F2673" s="2">
        <v>673.729</v>
      </c>
    </row>
    <row r="2674" spans="3:6" x14ac:dyDescent="0.25">
      <c r="C2674" s="2" t="s">
        <v>7765</v>
      </c>
      <c r="D2674" s="2" t="s">
        <v>9</v>
      </c>
      <c r="E2674" s="2">
        <v>78</v>
      </c>
      <c r="F2674" s="2">
        <v>1269.87</v>
      </c>
    </row>
    <row r="2675" spans="3:6" x14ac:dyDescent="0.25">
      <c r="C2675" s="2" t="s">
        <v>7766</v>
      </c>
      <c r="D2675" s="2" t="s">
        <v>9</v>
      </c>
      <c r="E2675" s="2">
        <v>70</v>
      </c>
      <c r="F2675" s="2">
        <v>1186.109</v>
      </c>
    </row>
    <row r="2676" spans="3:6" x14ac:dyDescent="0.25">
      <c r="C2676" s="2" t="s">
        <v>7767</v>
      </c>
      <c r="D2676" s="2" t="s">
        <v>9</v>
      </c>
      <c r="E2676" s="2">
        <v>9</v>
      </c>
      <c r="F2676" s="2">
        <v>184.01</v>
      </c>
    </row>
    <row r="2677" spans="3:6" x14ac:dyDescent="0.25">
      <c r="C2677" s="2" t="s">
        <v>7768</v>
      </c>
      <c r="D2677" s="2" t="s">
        <v>9</v>
      </c>
      <c r="E2677" s="2">
        <v>17</v>
      </c>
      <c r="F2677" s="2">
        <v>370.71</v>
      </c>
    </row>
    <row r="2678" spans="3:6" x14ac:dyDescent="0.25">
      <c r="C2678" s="2" t="s">
        <v>7769</v>
      </c>
      <c r="D2678" s="2" t="s">
        <v>9</v>
      </c>
      <c r="E2678" s="2">
        <v>33</v>
      </c>
      <c r="F2678" s="2">
        <v>653.669</v>
      </c>
    </row>
    <row r="2679" spans="3:6" x14ac:dyDescent="0.25">
      <c r="C2679" s="2" t="s">
        <v>7770</v>
      </c>
      <c r="D2679" s="2" t="s">
        <v>9</v>
      </c>
      <c r="E2679" s="2">
        <v>5</v>
      </c>
      <c r="F2679" s="2">
        <v>72.22</v>
      </c>
    </row>
    <row r="2680" spans="3:6" x14ac:dyDescent="0.25">
      <c r="C2680" s="2" t="s">
        <v>7771</v>
      </c>
      <c r="D2680" s="2" t="s">
        <v>9</v>
      </c>
      <c r="E2680" s="2">
        <v>91</v>
      </c>
      <c r="F2680" s="2">
        <v>1469.33</v>
      </c>
    </row>
    <row r="2681" spans="3:6" x14ac:dyDescent="0.25">
      <c r="C2681" s="2" t="s">
        <v>7772</v>
      </c>
      <c r="D2681" s="2" t="s">
        <v>9</v>
      </c>
      <c r="E2681" s="2">
        <v>12</v>
      </c>
      <c r="F2681" s="2">
        <v>241.94</v>
      </c>
    </row>
    <row r="2682" spans="3:6" x14ac:dyDescent="0.25">
      <c r="C2682" s="2" t="s">
        <v>7773</v>
      </c>
      <c r="D2682" s="2" t="s">
        <v>9</v>
      </c>
      <c r="E2682" s="2">
        <v>56</v>
      </c>
      <c r="F2682" s="2">
        <v>1169.12</v>
      </c>
    </row>
    <row r="2683" spans="3:6" x14ac:dyDescent="0.25">
      <c r="C2683" s="2" t="s">
        <v>7774</v>
      </c>
      <c r="D2683" s="2" t="s">
        <v>9</v>
      </c>
      <c r="E2683" s="2">
        <v>46</v>
      </c>
      <c r="F2683" s="2">
        <v>852.459</v>
      </c>
    </row>
    <row r="2684" spans="3:6" x14ac:dyDescent="0.25">
      <c r="C2684" s="2" t="s">
        <v>7775</v>
      </c>
      <c r="D2684" s="2" t="s">
        <v>9</v>
      </c>
      <c r="E2684" s="2">
        <v>141</v>
      </c>
      <c r="F2684" s="2">
        <v>2896.92</v>
      </c>
    </row>
    <row r="2685" spans="3:6" x14ac:dyDescent="0.25">
      <c r="C2685" s="2" t="s">
        <v>7776</v>
      </c>
      <c r="D2685" s="2" t="s">
        <v>9</v>
      </c>
      <c r="E2685" s="2">
        <v>71</v>
      </c>
      <c r="F2685" s="2">
        <v>319.307</v>
      </c>
    </row>
    <row r="2686" spans="3:6" x14ac:dyDescent="0.25">
      <c r="C2686" s="2" t="s">
        <v>7777</v>
      </c>
      <c r="D2686" s="2" t="s">
        <v>9</v>
      </c>
      <c r="E2686" s="2">
        <v>63</v>
      </c>
      <c r="F2686" s="2">
        <v>1191.489</v>
      </c>
    </row>
    <row r="2687" spans="3:6" x14ac:dyDescent="0.25">
      <c r="C2687" s="2" t="s">
        <v>7778</v>
      </c>
      <c r="D2687" s="2" t="s">
        <v>9</v>
      </c>
      <c r="E2687" s="2">
        <v>82</v>
      </c>
      <c r="F2687" s="2">
        <v>1613.02</v>
      </c>
    </row>
    <row r="2688" spans="3:6" x14ac:dyDescent="0.25">
      <c r="C2688" s="2" t="s">
        <v>7779</v>
      </c>
      <c r="D2688" s="2" t="s">
        <v>9</v>
      </c>
      <c r="E2688" s="2">
        <v>52</v>
      </c>
      <c r="F2688" s="2">
        <v>996.368</v>
      </c>
    </row>
    <row r="2689" spans="3:6" x14ac:dyDescent="0.25">
      <c r="C2689" s="2" t="s">
        <v>7780</v>
      </c>
      <c r="D2689" s="2" t="s">
        <v>9</v>
      </c>
      <c r="E2689" s="2">
        <v>39</v>
      </c>
      <c r="F2689" s="2">
        <v>735.82</v>
      </c>
    </row>
    <row r="2690" spans="3:6" x14ac:dyDescent="0.25">
      <c r="C2690" s="2" t="s">
        <v>7781</v>
      </c>
      <c r="D2690" s="2" t="s">
        <v>9</v>
      </c>
      <c r="E2690" s="2">
        <v>7</v>
      </c>
      <c r="F2690" s="2">
        <v>127.57</v>
      </c>
    </row>
    <row r="2691" spans="3:6" x14ac:dyDescent="0.25">
      <c r="C2691" s="2" t="s">
        <v>7782</v>
      </c>
      <c r="D2691" s="2" t="s">
        <v>9</v>
      </c>
      <c r="E2691" s="2">
        <v>38</v>
      </c>
      <c r="F2691" s="2">
        <v>812.21</v>
      </c>
    </row>
    <row r="2692" spans="3:6" x14ac:dyDescent="0.25">
      <c r="C2692" s="2" t="s">
        <v>7783</v>
      </c>
      <c r="D2692" s="2" t="s">
        <v>9</v>
      </c>
      <c r="E2692" s="2">
        <v>95</v>
      </c>
      <c r="F2692" s="2">
        <v>1822.159</v>
      </c>
    </row>
    <row r="2693" spans="3:6" x14ac:dyDescent="0.25">
      <c r="C2693" s="2" t="s">
        <v>7784</v>
      </c>
      <c r="D2693" s="2" t="s">
        <v>9</v>
      </c>
      <c r="E2693" s="2">
        <v>47</v>
      </c>
      <c r="F2693" s="2">
        <v>895.73</v>
      </c>
    </row>
    <row r="2694" spans="3:6" x14ac:dyDescent="0.25">
      <c r="C2694" s="2" t="s">
        <v>7785</v>
      </c>
      <c r="D2694" s="2" t="s">
        <v>9</v>
      </c>
      <c r="E2694" s="2">
        <v>15</v>
      </c>
      <c r="F2694" s="2">
        <v>257.04</v>
      </c>
    </row>
    <row r="2695" spans="3:6" x14ac:dyDescent="0.25">
      <c r="C2695" s="2" t="s">
        <v>7786</v>
      </c>
      <c r="D2695" s="2" t="s">
        <v>9</v>
      </c>
      <c r="E2695" s="2">
        <v>10</v>
      </c>
      <c r="F2695" s="2">
        <v>114.64</v>
      </c>
    </row>
    <row r="2696" spans="3:6" x14ac:dyDescent="0.25">
      <c r="C2696" s="2" t="s">
        <v>7787</v>
      </c>
      <c r="D2696" s="2" t="s">
        <v>9</v>
      </c>
      <c r="E2696" s="2">
        <v>5</v>
      </c>
      <c r="F2696" s="2">
        <v>100.88</v>
      </c>
    </row>
    <row r="2697" spans="3:6" x14ac:dyDescent="0.25">
      <c r="C2697" s="2" t="s">
        <v>7788</v>
      </c>
      <c r="D2697" s="2" t="s">
        <v>9</v>
      </c>
      <c r="E2697" s="2">
        <v>3</v>
      </c>
      <c r="F2697" s="2">
        <v>55.91</v>
      </c>
    </row>
    <row r="2698" spans="3:6" x14ac:dyDescent="0.25">
      <c r="C2698" s="2" t="s">
        <v>7789</v>
      </c>
      <c r="D2698" s="2" t="s">
        <v>9</v>
      </c>
      <c r="E2698" s="2">
        <v>3</v>
      </c>
      <c r="F2698" s="2">
        <v>39.91</v>
      </c>
    </row>
    <row r="2699" spans="3:6" x14ac:dyDescent="0.25">
      <c r="C2699" s="2" t="s">
        <v>7790</v>
      </c>
      <c r="D2699" s="2" t="s">
        <v>9</v>
      </c>
      <c r="E2699" s="2">
        <v>1</v>
      </c>
      <c r="F2699" s="2">
        <v>21.97</v>
      </c>
    </row>
    <row r="2700" spans="3:6" x14ac:dyDescent="0.25">
      <c r="C2700" s="2" t="s">
        <v>7791</v>
      </c>
      <c r="D2700" s="2" t="s">
        <v>9</v>
      </c>
      <c r="E2700" s="2">
        <v>41</v>
      </c>
      <c r="F2700" s="2">
        <v>836.7</v>
      </c>
    </row>
    <row r="2701" spans="3:6" x14ac:dyDescent="0.25">
      <c r="C2701" s="2" t="s">
        <v>7792</v>
      </c>
      <c r="D2701" s="2" t="s">
        <v>9</v>
      </c>
      <c r="E2701" s="2">
        <v>87</v>
      </c>
      <c r="F2701" s="2">
        <v>1694.32</v>
      </c>
    </row>
    <row r="2702" spans="3:6" x14ac:dyDescent="0.25">
      <c r="C2702" s="2" t="s">
        <v>7793</v>
      </c>
      <c r="D2702" s="2" t="s">
        <v>9</v>
      </c>
      <c r="E2702" s="2">
        <v>33</v>
      </c>
      <c r="F2702" s="2">
        <v>566.86</v>
      </c>
    </row>
    <row r="2703" spans="3:6" x14ac:dyDescent="0.25">
      <c r="C2703" s="2" t="s">
        <v>7794</v>
      </c>
      <c r="D2703" s="2" t="s">
        <v>9</v>
      </c>
      <c r="E2703" s="2">
        <v>21</v>
      </c>
      <c r="F2703" s="2">
        <v>402.509</v>
      </c>
    </row>
    <row r="2704" spans="3:6" x14ac:dyDescent="0.25">
      <c r="C2704" s="2" t="s">
        <v>7795</v>
      </c>
      <c r="D2704" s="2" t="s">
        <v>9</v>
      </c>
      <c r="E2704" s="2">
        <v>77</v>
      </c>
      <c r="F2704" s="2">
        <v>1202.36</v>
      </c>
    </row>
    <row r="2705" spans="3:6" x14ac:dyDescent="0.25">
      <c r="C2705" s="2" t="s">
        <v>7796</v>
      </c>
      <c r="D2705" s="2" t="s">
        <v>9</v>
      </c>
      <c r="E2705" s="2">
        <v>25</v>
      </c>
      <c r="F2705" s="2">
        <v>473.41</v>
      </c>
    </row>
    <row r="2706" spans="3:5" x14ac:dyDescent="0.25">
      <c r="C2706" s="2" t="s">
        <v>7797</v>
      </c>
      <c r="D2706" s="2" t="s">
        <v>9</v>
      </c>
      <c r="E2706" s="2">
        <v>100</v>
      </c>
    </row>
    <row r="2707" spans="3:5" x14ac:dyDescent="0.25">
      <c r="C2707" s="2" t="s">
        <v>7798</v>
      </c>
      <c r="D2707" s="2" t="s">
        <v>9</v>
      </c>
      <c r="E2707" s="2">
        <v>41</v>
      </c>
    </row>
    <row r="2709" spans="1:7" x14ac:dyDescent="0.25">
      <c r="A2709" s="1">
        <v>46230</v>
      </c>
      <c r="B2709" s="2" t="s">
        <v>120</v>
      </c>
      <c r="C2709" s="2" t="s">
        <v>7799</v>
      </c>
      <c r="D2709" s="2" t="s">
        <v>122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7800</v>
      </c>
      <c r="D2710" s="2" t="s">
        <v>122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7801</v>
      </c>
      <c r="D2711" s="2" t="s">
        <v>122</v>
      </c>
      <c r="E2711" s="2">
        <v>3</v>
      </c>
      <c r="F2711" s="2">
        <v>27.6</v>
      </c>
    </row>
    <row r="2712" spans="3:6" x14ac:dyDescent="0.25">
      <c r="C2712" s="2" t="s">
        <v>7802</v>
      </c>
      <c r="D2712" s="2" t="s">
        <v>122</v>
      </c>
      <c r="E2712" s="2">
        <v>4</v>
      </c>
      <c r="F2712" s="2">
        <v>71.6</v>
      </c>
    </row>
    <row r="2713" spans="3:6" x14ac:dyDescent="0.25">
      <c r="C2713" s="2" t="s">
        <v>7803</v>
      </c>
      <c r="D2713" s="2" t="s">
        <v>122</v>
      </c>
      <c r="E2713" s="2">
        <v>5</v>
      </c>
      <c r="F2713" s="2">
        <v>82.05</v>
      </c>
    </row>
    <row r="2714" spans="3:6" x14ac:dyDescent="0.25">
      <c r="C2714" s="2" t="s">
        <v>7804</v>
      </c>
      <c r="D2714" s="2" t="s">
        <v>122</v>
      </c>
      <c r="E2714" s="2">
        <v>7</v>
      </c>
      <c r="F2714" s="2">
        <v>113.6</v>
      </c>
    </row>
    <row r="2715" spans="3:6" x14ac:dyDescent="0.25">
      <c r="C2715" s="2" t="s">
        <v>7805</v>
      </c>
      <c r="D2715" s="2" t="s">
        <v>122</v>
      </c>
      <c r="E2715" s="2">
        <v>6</v>
      </c>
      <c r="F2715" s="2">
        <v>114.4</v>
      </c>
    </row>
    <row r="2716" spans="3:6" x14ac:dyDescent="0.25">
      <c r="C2716" s="2" t="s">
        <v>7806</v>
      </c>
      <c r="D2716" s="2" t="s">
        <v>122</v>
      </c>
      <c r="E2716" s="2">
        <v>10</v>
      </c>
      <c r="F2716" s="2">
        <v>187.9</v>
      </c>
    </row>
    <row r="2717" spans="3:6" x14ac:dyDescent="0.25">
      <c r="C2717" s="2" t="s">
        <v>7807</v>
      </c>
      <c r="D2717" s="2" t="s">
        <v>122</v>
      </c>
      <c r="E2717" s="2">
        <v>72</v>
      </c>
      <c r="F2717" s="2">
        <v>1463.1</v>
      </c>
    </row>
    <row r="2718" spans="3:6" x14ac:dyDescent="0.25">
      <c r="C2718" s="2" t="s">
        <v>7808</v>
      </c>
      <c r="D2718" s="2" t="s">
        <v>122</v>
      </c>
      <c r="E2718" s="2">
        <v>23</v>
      </c>
      <c r="F2718" s="2">
        <v>479.3</v>
      </c>
    </row>
    <row r="2719" spans="3:6" x14ac:dyDescent="0.25">
      <c r="C2719" s="2" t="s">
        <v>7809</v>
      </c>
      <c r="D2719" s="2" t="s">
        <v>122</v>
      </c>
      <c r="E2719" s="2">
        <v>13</v>
      </c>
      <c r="F2719" s="2">
        <v>227.57</v>
      </c>
    </row>
    <row r="2720" spans="3:6" x14ac:dyDescent="0.25">
      <c r="C2720" s="2" t="s">
        <v>7810</v>
      </c>
      <c r="D2720" s="2" t="s">
        <v>122</v>
      </c>
      <c r="E2720" s="2">
        <v>51</v>
      </c>
      <c r="F2720" s="2">
        <v>1041.74</v>
      </c>
    </row>
    <row r="2721" spans="3:6" x14ac:dyDescent="0.25">
      <c r="C2721" s="2" t="s">
        <v>7811</v>
      </c>
      <c r="D2721" s="2" t="s">
        <v>122</v>
      </c>
      <c r="E2721" s="2">
        <v>60</v>
      </c>
      <c r="F2721" s="2">
        <v>1167.69</v>
      </c>
    </row>
    <row r="2722" spans="3:6" x14ac:dyDescent="0.25">
      <c r="C2722" s="2" t="s">
        <v>7812</v>
      </c>
      <c r="D2722" s="2" t="s">
        <v>122</v>
      </c>
      <c r="E2722" s="2">
        <v>30</v>
      </c>
      <c r="F2722" s="2">
        <v>613.6</v>
      </c>
    </row>
    <row r="2723" spans="3:6" x14ac:dyDescent="0.25">
      <c r="C2723" s="2" t="s">
        <v>7813</v>
      </c>
      <c r="D2723" s="2" t="s">
        <v>122</v>
      </c>
      <c r="E2723" s="2">
        <v>60</v>
      </c>
      <c r="F2723" s="2">
        <v>1242.02</v>
      </c>
    </row>
    <row r="2724" spans="3:6" x14ac:dyDescent="0.25">
      <c r="C2724" s="2" t="s">
        <v>7814</v>
      </c>
      <c r="D2724" s="2" t="s">
        <v>122</v>
      </c>
      <c r="E2724" s="2">
        <v>42</v>
      </c>
      <c r="F2724" s="2">
        <v>757.91</v>
      </c>
    </row>
    <row r="2725" spans="3:6" x14ac:dyDescent="0.25">
      <c r="C2725" s="2" t="s">
        <v>7815</v>
      </c>
      <c r="D2725" s="2" t="s">
        <v>122</v>
      </c>
      <c r="E2725" s="2">
        <v>65</v>
      </c>
      <c r="F2725" s="2">
        <v>1368.24</v>
      </c>
    </row>
    <row r="2726" spans="3:6" x14ac:dyDescent="0.25">
      <c r="C2726" s="2" t="s">
        <v>7816</v>
      </c>
      <c r="D2726" s="2" t="s">
        <v>122</v>
      </c>
      <c r="E2726" s="2">
        <v>37</v>
      </c>
      <c r="F2726" s="2">
        <v>724.57</v>
      </c>
    </row>
    <row r="2727" spans="3:6" x14ac:dyDescent="0.25">
      <c r="C2727" s="2" t="s">
        <v>7817</v>
      </c>
      <c r="D2727" s="2" t="s">
        <v>122</v>
      </c>
      <c r="E2727" s="2">
        <v>82</v>
      </c>
      <c r="F2727" s="2">
        <v>1708.61</v>
      </c>
    </row>
    <row r="2728" spans="3:6" x14ac:dyDescent="0.25">
      <c r="C2728" s="2" t="s">
        <v>7818</v>
      </c>
      <c r="D2728" s="2" t="s">
        <v>122</v>
      </c>
      <c r="E2728" s="2">
        <v>20</v>
      </c>
      <c r="F2728" s="2">
        <v>382.67</v>
      </c>
    </row>
    <row r="2729" spans="3:6" x14ac:dyDescent="0.25">
      <c r="C2729" s="2" t="s">
        <v>7819</v>
      </c>
      <c r="D2729" s="2" t="s">
        <v>122</v>
      </c>
      <c r="E2729" s="2">
        <v>44</v>
      </c>
      <c r="F2729" s="2">
        <v>875.51</v>
      </c>
    </row>
    <row r="2730" spans="3:6" x14ac:dyDescent="0.25">
      <c r="C2730" s="2" t="s">
        <v>7820</v>
      </c>
      <c r="D2730" s="2" t="s">
        <v>122</v>
      </c>
      <c r="E2730" s="2">
        <v>31</v>
      </c>
      <c r="F2730" s="2">
        <v>605.38</v>
      </c>
    </row>
    <row r="2731" spans="3:6" x14ac:dyDescent="0.25">
      <c r="C2731" s="2" t="s">
        <v>7821</v>
      </c>
      <c r="D2731" s="2" t="s">
        <v>122</v>
      </c>
      <c r="E2731" s="2">
        <v>90</v>
      </c>
      <c r="F2731" s="2">
        <v>367.207</v>
      </c>
    </row>
    <row r="2732" spans="3:6" x14ac:dyDescent="0.25">
      <c r="C2732" s="2" t="s">
        <v>7822</v>
      </c>
      <c r="D2732" s="2" t="s">
        <v>122</v>
      </c>
      <c r="E2732" s="2">
        <v>76</v>
      </c>
      <c r="F2732" s="2">
        <v>351.52</v>
      </c>
    </row>
    <row r="2733" spans="3:6" x14ac:dyDescent="0.25">
      <c r="C2733" s="2" t="s">
        <v>7823</v>
      </c>
      <c r="D2733" s="2" t="s">
        <v>122</v>
      </c>
      <c r="E2733" s="2">
        <v>121</v>
      </c>
      <c r="F2733" s="2">
        <v>2352.31</v>
      </c>
    </row>
    <row r="2734" spans="3:6" x14ac:dyDescent="0.25">
      <c r="C2734" s="2" t="s">
        <v>7824</v>
      </c>
      <c r="D2734" s="2" t="s">
        <v>122</v>
      </c>
      <c r="E2734" s="2">
        <v>70</v>
      </c>
      <c r="F2734" s="2">
        <v>1350.63</v>
      </c>
    </row>
    <row r="2735" spans="3:6" x14ac:dyDescent="0.25">
      <c r="C2735" s="2" t="s">
        <v>7825</v>
      </c>
      <c r="D2735" s="2" t="s">
        <v>122</v>
      </c>
      <c r="E2735" s="2">
        <v>51</v>
      </c>
      <c r="F2735" s="2">
        <v>989.51</v>
      </c>
    </row>
    <row r="2736" spans="3:6" x14ac:dyDescent="0.25">
      <c r="C2736" s="2" t="s">
        <v>7826</v>
      </c>
      <c r="D2736" s="2" t="s">
        <v>122</v>
      </c>
      <c r="E2736" s="2">
        <v>61</v>
      </c>
      <c r="F2736" s="2">
        <v>1163.42</v>
      </c>
    </row>
    <row r="2737" spans="3:6" x14ac:dyDescent="0.25">
      <c r="C2737" s="2" t="s">
        <v>7827</v>
      </c>
      <c r="D2737" s="2" t="s">
        <v>122</v>
      </c>
      <c r="E2737" s="2">
        <v>33</v>
      </c>
      <c r="F2737" s="2">
        <v>597.66</v>
      </c>
    </row>
    <row r="2738" spans="3:6" x14ac:dyDescent="0.25">
      <c r="C2738" s="2" t="s">
        <v>7828</v>
      </c>
      <c r="D2738" s="2" t="s">
        <v>122</v>
      </c>
      <c r="E2738" s="2">
        <v>15</v>
      </c>
      <c r="F2738" s="2">
        <v>220.923</v>
      </c>
    </row>
    <row r="2739" spans="3:6" x14ac:dyDescent="0.25">
      <c r="C2739" s="2" t="s">
        <v>7829</v>
      </c>
      <c r="D2739" s="2" t="s">
        <v>122</v>
      </c>
      <c r="E2739" s="2">
        <v>56</v>
      </c>
      <c r="F2739" s="2">
        <v>1096.41</v>
      </c>
    </row>
    <row r="2740" spans="3:6" x14ac:dyDescent="0.25">
      <c r="C2740" s="2" t="s">
        <v>7830</v>
      </c>
      <c r="D2740" s="2" t="s">
        <v>122</v>
      </c>
      <c r="E2740" s="2">
        <v>34</v>
      </c>
      <c r="F2740" s="2">
        <v>650.729</v>
      </c>
    </row>
    <row r="2741" spans="3:6" x14ac:dyDescent="0.25">
      <c r="C2741" s="2" t="s">
        <v>7831</v>
      </c>
      <c r="D2741" s="2" t="s">
        <v>122</v>
      </c>
      <c r="E2741" s="2">
        <v>31</v>
      </c>
      <c r="F2741" s="2">
        <v>568.24</v>
      </c>
    </row>
    <row r="2742" spans="3:6" x14ac:dyDescent="0.25">
      <c r="C2742" s="2" t="s">
        <v>7832</v>
      </c>
      <c r="D2742" s="2" t="s">
        <v>122</v>
      </c>
      <c r="E2742" s="2">
        <v>31</v>
      </c>
      <c r="F2742" s="2">
        <v>638.6</v>
      </c>
    </row>
    <row r="2743" spans="3:6" x14ac:dyDescent="0.25">
      <c r="C2743" s="2" t="s">
        <v>7833</v>
      </c>
      <c r="D2743" s="2" t="s">
        <v>122</v>
      </c>
      <c r="E2743" s="2">
        <v>29</v>
      </c>
      <c r="F2743" s="2">
        <v>554.37</v>
      </c>
    </row>
    <row r="2744" spans="3:6" x14ac:dyDescent="0.25">
      <c r="C2744" s="2" t="s">
        <v>7834</v>
      </c>
      <c r="D2744" s="2" t="s">
        <v>122</v>
      </c>
      <c r="E2744" s="2">
        <v>26</v>
      </c>
      <c r="F2744" s="2">
        <v>489.54</v>
      </c>
    </row>
    <row r="2745" spans="3:6" x14ac:dyDescent="0.25">
      <c r="C2745" s="2" t="s">
        <v>7835</v>
      </c>
      <c r="D2745" s="2" t="s">
        <v>122</v>
      </c>
      <c r="E2745" s="2">
        <v>16</v>
      </c>
      <c r="F2745" s="2">
        <v>284.56</v>
      </c>
    </row>
    <row r="2746" spans="3:6" x14ac:dyDescent="0.25">
      <c r="C2746" s="2" t="s">
        <v>7836</v>
      </c>
      <c r="D2746" s="2" t="s">
        <v>122</v>
      </c>
      <c r="E2746" s="2">
        <v>40</v>
      </c>
      <c r="F2746" s="2">
        <v>710.67</v>
      </c>
    </row>
    <row r="2747" spans="3:6" x14ac:dyDescent="0.25">
      <c r="C2747" s="2" t="s">
        <v>7837</v>
      </c>
      <c r="D2747" s="2" t="s">
        <v>122</v>
      </c>
      <c r="E2747" s="2">
        <v>46</v>
      </c>
      <c r="F2747" s="2">
        <v>823.43</v>
      </c>
    </row>
    <row r="2748" spans="3:6" x14ac:dyDescent="0.25">
      <c r="C2748" s="2" t="s">
        <v>7838</v>
      </c>
      <c r="D2748" s="2" t="s">
        <v>122</v>
      </c>
      <c r="E2748" s="2">
        <v>35</v>
      </c>
      <c r="F2748" s="2">
        <v>648.009</v>
      </c>
    </row>
    <row r="2749" spans="3:6" x14ac:dyDescent="0.25">
      <c r="C2749" s="2" t="s">
        <v>7839</v>
      </c>
      <c r="D2749" s="2" t="s">
        <v>122</v>
      </c>
      <c r="E2749" s="2">
        <v>20</v>
      </c>
      <c r="F2749" s="2">
        <v>210.93</v>
      </c>
    </row>
    <row r="2750" spans="3:6" x14ac:dyDescent="0.25">
      <c r="C2750" s="2" t="s">
        <v>7840</v>
      </c>
      <c r="D2750" s="2" t="s">
        <v>122</v>
      </c>
      <c r="E2750" s="2">
        <v>133</v>
      </c>
      <c r="F2750" s="2">
        <v>2228.68</v>
      </c>
    </row>
    <row r="2751" spans="3:6" x14ac:dyDescent="0.25">
      <c r="C2751" s="2" t="s">
        <v>7841</v>
      </c>
      <c r="D2751" s="2" t="s">
        <v>122</v>
      </c>
      <c r="E2751" s="2">
        <v>141</v>
      </c>
      <c r="F2751" s="2">
        <v>2822.338</v>
      </c>
    </row>
    <row r="2752" spans="3:6" x14ac:dyDescent="0.25">
      <c r="C2752" s="2" t="s">
        <v>7842</v>
      </c>
      <c r="D2752" s="2" t="s">
        <v>122</v>
      </c>
      <c r="E2752" s="2">
        <v>142</v>
      </c>
      <c r="F2752" s="2">
        <v>2744.928</v>
      </c>
    </row>
    <row r="2753" spans="3:6" x14ac:dyDescent="0.25">
      <c r="C2753" s="2" t="s">
        <v>7843</v>
      </c>
      <c r="D2753" s="2" t="s">
        <v>122</v>
      </c>
      <c r="E2753" s="2">
        <v>141</v>
      </c>
      <c r="F2753" s="2">
        <v>2853.759</v>
      </c>
    </row>
    <row r="2754" spans="3:6" x14ac:dyDescent="0.25">
      <c r="C2754" s="2" t="s">
        <v>7844</v>
      </c>
      <c r="D2754" s="2" t="s">
        <v>122</v>
      </c>
      <c r="E2754" s="2">
        <v>49</v>
      </c>
      <c r="F2754" s="2">
        <v>934.81</v>
      </c>
    </row>
    <row r="2755" spans="3:6" x14ac:dyDescent="0.25">
      <c r="C2755" s="2" t="s">
        <v>7845</v>
      </c>
      <c r="D2755" s="2" t="s">
        <v>122</v>
      </c>
      <c r="E2755" s="2">
        <v>48</v>
      </c>
      <c r="F2755" s="2">
        <v>940.53</v>
      </c>
    </row>
    <row r="2756" spans="3:6" x14ac:dyDescent="0.25">
      <c r="C2756" s="2" t="s">
        <v>7846</v>
      </c>
      <c r="D2756" s="2" t="s">
        <v>122</v>
      </c>
      <c r="E2756" s="2">
        <v>44</v>
      </c>
      <c r="F2756" s="2">
        <v>872.079</v>
      </c>
    </row>
    <row r="2757" spans="3:6" x14ac:dyDescent="0.25">
      <c r="C2757" s="2" t="s">
        <v>7847</v>
      </c>
      <c r="D2757" s="2" t="s">
        <v>122</v>
      </c>
      <c r="E2757" s="2">
        <v>61</v>
      </c>
      <c r="F2757" s="2">
        <v>1209.8</v>
      </c>
    </row>
    <row r="2758" spans="3:6" x14ac:dyDescent="0.25">
      <c r="C2758" s="2" t="s">
        <v>7848</v>
      </c>
      <c r="D2758" s="2" t="s">
        <v>122</v>
      </c>
      <c r="E2758" s="2">
        <v>13</v>
      </c>
      <c r="F2758" s="2">
        <v>209.05</v>
      </c>
    </row>
    <row r="2759" spans="3:6" x14ac:dyDescent="0.25">
      <c r="C2759" s="2" t="s">
        <v>7849</v>
      </c>
      <c r="D2759" s="2" t="s">
        <v>122</v>
      </c>
      <c r="E2759" s="2">
        <v>19</v>
      </c>
      <c r="F2759" s="2">
        <v>358.05</v>
      </c>
    </row>
    <row r="2760" spans="3:6" x14ac:dyDescent="0.25">
      <c r="C2760" s="2" t="s">
        <v>7850</v>
      </c>
      <c r="D2760" s="2" t="s">
        <v>122</v>
      </c>
      <c r="E2760" s="2">
        <v>16</v>
      </c>
      <c r="F2760" s="2">
        <v>295.64</v>
      </c>
    </row>
    <row r="2761" spans="3:6" x14ac:dyDescent="0.25">
      <c r="C2761" s="2" t="s">
        <v>7851</v>
      </c>
      <c r="D2761" s="2" t="s">
        <v>122</v>
      </c>
      <c r="E2761" s="2">
        <v>12</v>
      </c>
      <c r="F2761" s="2">
        <v>221.52</v>
      </c>
    </row>
    <row r="2762" spans="3:6" x14ac:dyDescent="0.25">
      <c r="C2762" s="2" t="s">
        <v>7852</v>
      </c>
      <c r="D2762" s="2" t="s">
        <v>122</v>
      </c>
      <c r="E2762" s="2">
        <v>20</v>
      </c>
      <c r="F2762" s="2">
        <v>75.961</v>
      </c>
    </row>
    <row r="2763" spans="3:6" x14ac:dyDescent="0.25">
      <c r="C2763" s="2" t="s">
        <v>7853</v>
      </c>
      <c r="D2763" s="2" t="s">
        <v>122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90</v>
      </c>
      <c r="C2765" s="2" t="s">
        <v>7854</v>
      </c>
      <c r="D2765" s="2" t="s">
        <v>42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7855</v>
      </c>
      <c r="D2766" s="2" t="s">
        <v>42</v>
      </c>
      <c r="E2766" s="2">
        <v>106</v>
      </c>
      <c r="F2766" s="2">
        <v>2248.59</v>
      </c>
    </row>
    <row r="2767" spans="3:6" x14ac:dyDescent="0.25">
      <c r="C2767" s="2" t="s">
        <v>7856</v>
      </c>
      <c r="D2767" s="2" t="s">
        <v>42</v>
      </c>
      <c r="E2767" s="2">
        <v>141</v>
      </c>
      <c r="F2767" s="2">
        <v>2711.639</v>
      </c>
    </row>
    <row r="2768" spans="3:6" x14ac:dyDescent="0.25">
      <c r="C2768" s="2" t="s">
        <v>7857</v>
      </c>
      <c r="D2768" s="2" t="s">
        <v>42</v>
      </c>
      <c r="E2768" s="2">
        <v>16</v>
      </c>
      <c r="F2768" s="2">
        <v>276.2</v>
      </c>
    </row>
    <row r="2769" spans="3:6" x14ac:dyDescent="0.25">
      <c r="C2769" s="2" t="s">
        <v>7858</v>
      </c>
      <c r="D2769" s="2" t="s">
        <v>42</v>
      </c>
      <c r="E2769" s="2">
        <v>17</v>
      </c>
      <c r="F2769" s="2">
        <v>268.699</v>
      </c>
    </row>
    <row r="2770" spans="3:6" x14ac:dyDescent="0.25">
      <c r="C2770" s="2" t="s">
        <v>7859</v>
      </c>
      <c r="D2770" s="2" t="s">
        <v>42</v>
      </c>
      <c r="E2770" s="2">
        <v>88</v>
      </c>
      <c r="F2770" s="2">
        <v>1725.919</v>
      </c>
    </row>
    <row r="2771" spans="3:6" x14ac:dyDescent="0.25">
      <c r="C2771" s="2" t="s">
        <v>7860</v>
      </c>
      <c r="D2771" s="2" t="s">
        <v>42</v>
      </c>
      <c r="E2771" s="2">
        <v>45</v>
      </c>
      <c r="F2771" s="2">
        <v>224.5</v>
      </c>
    </row>
    <row r="2772" spans="3:6" x14ac:dyDescent="0.25">
      <c r="C2772" s="2" t="s">
        <v>7861</v>
      </c>
      <c r="D2772" s="2" t="s">
        <v>42</v>
      </c>
      <c r="E2772" s="2">
        <v>123</v>
      </c>
      <c r="F2772" s="2">
        <v>2470.16</v>
      </c>
    </row>
    <row r="2773" spans="3:6" x14ac:dyDescent="0.25">
      <c r="C2773" s="2" t="s">
        <v>7862</v>
      </c>
      <c r="D2773" s="2" t="s">
        <v>42</v>
      </c>
      <c r="E2773" s="2">
        <v>123</v>
      </c>
      <c r="F2773" s="2">
        <v>2396.83</v>
      </c>
    </row>
    <row r="2774" spans="3:6" x14ac:dyDescent="0.25">
      <c r="C2774" s="2" t="s">
        <v>7863</v>
      </c>
      <c r="D2774" s="2" t="s">
        <v>42</v>
      </c>
      <c r="E2774" s="2">
        <v>141</v>
      </c>
      <c r="F2774" s="2">
        <v>3047.81</v>
      </c>
    </row>
    <row r="2775" spans="3:6" x14ac:dyDescent="0.25">
      <c r="C2775" s="2" t="s">
        <v>7864</v>
      </c>
      <c r="D2775" s="2" t="s">
        <v>42</v>
      </c>
      <c r="E2775" s="2">
        <v>141</v>
      </c>
      <c r="F2775" s="2">
        <v>2702.609</v>
      </c>
    </row>
    <row r="2776" spans="3:6" x14ac:dyDescent="0.25">
      <c r="C2776" s="2" t="s">
        <v>7865</v>
      </c>
      <c r="D2776" s="2" t="s">
        <v>42</v>
      </c>
      <c r="E2776" s="2">
        <v>123</v>
      </c>
      <c r="F2776" s="2">
        <v>2413.08</v>
      </c>
    </row>
    <row r="2777" spans="3:6" x14ac:dyDescent="0.25">
      <c r="C2777" s="2" t="s">
        <v>7866</v>
      </c>
      <c r="D2777" s="2" t="s">
        <v>42</v>
      </c>
      <c r="E2777" s="2">
        <v>10</v>
      </c>
      <c r="F2777" s="2">
        <v>184.8</v>
      </c>
    </row>
    <row r="2778" spans="3:6" x14ac:dyDescent="0.25">
      <c r="C2778" s="2" t="s">
        <v>7867</v>
      </c>
      <c r="D2778" s="2" t="s">
        <v>42</v>
      </c>
      <c r="E2778" s="2">
        <v>100</v>
      </c>
      <c r="F2778" s="2">
        <v>1934.28</v>
      </c>
    </row>
    <row r="2779" spans="3:6" x14ac:dyDescent="0.25">
      <c r="C2779" s="2" t="s">
        <v>7868</v>
      </c>
      <c r="D2779" s="2" t="s">
        <v>42</v>
      </c>
      <c r="E2779" s="2">
        <v>50</v>
      </c>
      <c r="F2779" s="2">
        <v>250.78</v>
      </c>
    </row>
    <row r="2780" spans="3:6" x14ac:dyDescent="0.25">
      <c r="C2780" s="2" t="s">
        <v>7869</v>
      </c>
      <c r="D2780" s="2" t="s">
        <v>42</v>
      </c>
      <c r="E2780" s="2">
        <v>141</v>
      </c>
      <c r="F2780" s="2">
        <v>2711.998</v>
      </c>
    </row>
    <row r="2781" spans="3:6" x14ac:dyDescent="0.25">
      <c r="C2781" s="2" t="s">
        <v>7870</v>
      </c>
      <c r="D2781" s="2" t="s">
        <v>42</v>
      </c>
      <c r="E2781" s="2">
        <v>142</v>
      </c>
      <c r="F2781" s="2">
        <v>2699.209</v>
      </c>
    </row>
    <row r="2782" spans="3:6" x14ac:dyDescent="0.25">
      <c r="C2782" s="2" t="s">
        <v>7871</v>
      </c>
      <c r="D2782" s="2" t="s">
        <v>42</v>
      </c>
      <c r="E2782" s="2">
        <v>46</v>
      </c>
      <c r="F2782" s="2">
        <v>838.66</v>
      </c>
    </row>
    <row r="2783" spans="3:6" x14ac:dyDescent="0.25">
      <c r="C2783" s="2" t="s">
        <v>7872</v>
      </c>
      <c r="D2783" s="2" t="s">
        <v>42</v>
      </c>
      <c r="E2783" s="2">
        <v>76</v>
      </c>
      <c r="F2783" s="2">
        <v>1451.739</v>
      </c>
    </row>
    <row r="2784" spans="3:6" x14ac:dyDescent="0.25">
      <c r="C2784" s="2" t="s">
        <v>7873</v>
      </c>
      <c r="D2784" s="2" t="s">
        <v>42</v>
      </c>
      <c r="E2784" s="2">
        <v>19</v>
      </c>
      <c r="F2784" s="2">
        <v>362.2</v>
      </c>
    </row>
    <row r="2785" spans="3:6" x14ac:dyDescent="0.25">
      <c r="C2785" s="2" t="s">
        <v>7874</v>
      </c>
      <c r="D2785" s="2" t="s">
        <v>42</v>
      </c>
      <c r="E2785" s="2">
        <v>47</v>
      </c>
      <c r="F2785" s="2">
        <v>1016.29</v>
      </c>
    </row>
    <row r="2786" spans="3:6" x14ac:dyDescent="0.25">
      <c r="C2786" s="2" t="s">
        <v>7875</v>
      </c>
      <c r="D2786" s="2" t="s">
        <v>42</v>
      </c>
      <c r="E2786" s="2">
        <v>59</v>
      </c>
      <c r="F2786" s="2">
        <v>1161.109</v>
      </c>
    </row>
    <row r="2787" spans="3:6" x14ac:dyDescent="0.25">
      <c r="C2787" s="2" t="s">
        <v>7876</v>
      </c>
      <c r="D2787" s="2" t="s">
        <v>42</v>
      </c>
      <c r="E2787" s="2">
        <v>35</v>
      </c>
      <c r="F2787" s="2">
        <v>541.19</v>
      </c>
    </row>
    <row r="2788" spans="3:6" x14ac:dyDescent="0.25">
      <c r="C2788" s="2" t="s">
        <v>7877</v>
      </c>
      <c r="D2788" s="2" t="s">
        <v>42</v>
      </c>
      <c r="E2788" s="2">
        <v>58</v>
      </c>
      <c r="F2788" s="2">
        <v>1128.19</v>
      </c>
    </row>
    <row r="2789" spans="3:6" x14ac:dyDescent="0.25">
      <c r="C2789" s="2" t="s">
        <v>7878</v>
      </c>
      <c r="D2789" s="2" t="s">
        <v>42</v>
      </c>
      <c r="E2789" s="2">
        <v>35</v>
      </c>
      <c r="F2789" s="2">
        <v>675.26</v>
      </c>
    </row>
    <row r="2790" spans="3:6" x14ac:dyDescent="0.25">
      <c r="C2790" s="2" t="s">
        <v>7879</v>
      </c>
      <c r="D2790" s="2" t="s">
        <v>42</v>
      </c>
      <c r="E2790" s="2">
        <v>31</v>
      </c>
      <c r="F2790" s="2">
        <v>602.229</v>
      </c>
    </row>
    <row r="2791" spans="3:6" x14ac:dyDescent="0.25">
      <c r="C2791" s="2" t="s">
        <v>7880</v>
      </c>
      <c r="D2791" s="2" t="s">
        <v>42</v>
      </c>
      <c r="E2791" s="2">
        <v>34</v>
      </c>
      <c r="F2791" s="2">
        <v>657.37</v>
      </c>
    </row>
    <row r="2792" spans="3:6" x14ac:dyDescent="0.25">
      <c r="C2792" s="2" t="s">
        <v>7881</v>
      </c>
      <c r="D2792" s="2" t="s">
        <v>42</v>
      </c>
      <c r="E2792" s="2">
        <v>57</v>
      </c>
      <c r="F2792" s="2">
        <v>1040.75</v>
      </c>
    </row>
    <row r="2793" spans="3:6" x14ac:dyDescent="0.25">
      <c r="C2793" s="2" t="s">
        <v>7882</v>
      </c>
      <c r="D2793" s="2" t="s">
        <v>42</v>
      </c>
      <c r="E2793" s="2">
        <v>43</v>
      </c>
      <c r="F2793" s="2">
        <v>781.759</v>
      </c>
    </row>
    <row r="2794" spans="3:6" x14ac:dyDescent="0.25">
      <c r="C2794" s="2" t="s">
        <v>7883</v>
      </c>
      <c r="D2794" s="2" t="s">
        <v>42</v>
      </c>
      <c r="E2794" s="2">
        <v>59</v>
      </c>
      <c r="F2794" s="2">
        <v>1223.12</v>
      </c>
    </row>
    <row r="2795" spans="3:6" x14ac:dyDescent="0.25">
      <c r="C2795" s="2" t="s">
        <v>7884</v>
      </c>
      <c r="D2795" s="2" t="s">
        <v>42</v>
      </c>
      <c r="E2795" s="2">
        <v>45</v>
      </c>
      <c r="F2795" s="2">
        <v>223.79</v>
      </c>
    </row>
    <row r="2796" spans="3:6" x14ac:dyDescent="0.25">
      <c r="C2796" s="2" t="s">
        <v>7885</v>
      </c>
      <c r="D2796" s="2" t="s">
        <v>42</v>
      </c>
      <c r="E2796" s="2">
        <v>76</v>
      </c>
      <c r="F2796" s="2">
        <v>1517.75</v>
      </c>
    </row>
    <row r="2797" spans="3:6" x14ac:dyDescent="0.25">
      <c r="C2797" s="2" t="s">
        <v>7886</v>
      </c>
      <c r="D2797" s="2" t="s">
        <v>42</v>
      </c>
      <c r="E2797" s="2">
        <v>48</v>
      </c>
      <c r="F2797" s="2">
        <v>904.839</v>
      </c>
    </row>
    <row r="2798" spans="3:6" x14ac:dyDescent="0.25">
      <c r="C2798" s="2" t="s">
        <v>7887</v>
      </c>
      <c r="D2798" s="2" t="s">
        <v>42</v>
      </c>
      <c r="E2798" s="2">
        <v>12</v>
      </c>
      <c r="F2798" s="2">
        <v>74.96</v>
      </c>
    </row>
    <row r="2799" spans="3:6" x14ac:dyDescent="0.25">
      <c r="C2799" s="2" t="s">
        <v>7888</v>
      </c>
      <c r="D2799" s="2" t="s">
        <v>42</v>
      </c>
      <c r="E2799" s="2">
        <v>65</v>
      </c>
      <c r="F2799" s="2">
        <v>1398.54</v>
      </c>
    </row>
    <row r="2800" spans="3:6" x14ac:dyDescent="0.25">
      <c r="C2800" s="2" t="s">
        <v>7889</v>
      </c>
      <c r="D2800" s="2" t="s">
        <v>42</v>
      </c>
      <c r="E2800" s="2">
        <v>54</v>
      </c>
      <c r="F2800" s="2">
        <v>1023.76</v>
      </c>
    </row>
    <row r="2801" spans="3:6" x14ac:dyDescent="0.25">
      <c r="C2801" s="2" t="s">
        <v>7890</v>
      </c>
      <c r="D2801" s="2" t="s">
        <v>42</v>
      </c>
      <c r="E2801" s="2">
        <v>43</v>
      </c>
      <c r="F2801" s="2">
        <v>938.31</v>
      </c>
    </row>
    <row r="2802" spans="3:6" x14ac:dyDescent="0.25">
      <c r="C2802" s="2" t="s">
        <v>7891</v>
      </c>
      <c r="D2802" s="2" t="s">
        <v>42</v>
      </c>
      <c r="E2802" s="2">
        <v>34</v>
      </c>
      <c r="F2802" s="2">
        <v>695.15</v>
      </c>
    </row>
    <row r="2803" spans="3:6" x14ac:dyDescent="0.25">
      <c r="C2803" s="2" t="s">
        <v>7892</v>
      </c>
      <c r="D2803" s="2" t="s">
        <v>42</v>
      </c>
      <c r="E2803" s="2">
        <v>51</v>
      </c>
      <c r="F2803" s="2">
        <v>1038.65</v>
      </c>
    </row>
    <row r="2804" spans="3:6" x14ac:dyDescent="0.25">
      <c r="C2804" s="2" t="s">
        <v>7893</v>
      </c>
      <c r="D2804" s="2" t="s">
        <v>42</v>
      </c>
      <c r="E2804" s="2">
        <v>26</v>
      </c>
      <c r="F2804" s="2">
        <v>530.29</v>
      </c>
    </row>
    <row r="2805" spans="3:6" x14ac:dyDescent="0.25">
      <c r="C2805" s="2" t="s">
        <v>7894</v>
      </c>
      <c r="D2805" s="2" t="s">
        <v>42</v>
      </c>
      <c r="E2805" s="2">
        <v>60</v>
      </c>
      <c r="F2805" s="2">
        <v>303.93</v>
      </c>
    </row>
    <row r="2806" spans="3:6" x14ac:dyDescent="0.25">
      <c r="C2806" s="2" t="s">
        <v>7895</v>
      </c>
      <c r="D2806" s="2" t="s">
        <v>42</v>
      </c>
      <c r="E2806" s="2">
        <v>47</v>
      </c>
      <c r="F2806" s="2">
        <v>936.199</v>
      </c>
    </row>
    <row r="2807" spans="3:6" x14ac:dyDescent="0.25">
      <c r="C2807" s="2" t="s">
        <v>7896</v>
      </c>
      <c r="D2807" s="2" t="s">
        <v>42</v>
      </c>
      <c r="E2807" s="2">
        <v>59</v>
      </c>
      <c r="F2807" s="2">
        <v>1180.039</v>
      </c>
    </row>
    <row r="2808" spans="3:6" x14ac:dyDescent="0.25">
      <c r="C2808" s="2" t="s">
        <v>7897</v>
      </c>
      <c r="D2808" s="2" t="s">
        <v>42</v>
      </c>
      <c r="E2808" s="2">
        <v>47</v>
      </c>
      <c r="F2808" s="2">
        <v>1064.25</v>
      </c>
    </row>
    <row r="2809" spans="3:6" x14ac:dyDescent="0.25">
      <c r="C2809" s="2" t="s">
        <v>7898</v>
      </c>
      <c r="D2809" s="2" t="s">
        <v>42</v>
      </c>
      <c r="E2809" s="2">
        <v>54</v>
      </c>
      <c r="F2809" s="2">
        <v>1101.25</v>
      </c>
    </row>
    <row r="2810" spans="3:6" x14ac:dyDescent="0.25">
      <c r="C2810" s="2" t="s">
        <v>7899</v>
      </c>
      <c r="D2810" s="2" t="s">
        <v>42</v>
      </c>
      <c r="E2810" s="2">
        <v>35</v>
      </c>
      <c r="F2810" s="2">
        <v>693.319</v>
      </c>
    </row>
    <row r="2811" spans="3:6" x14ac:dyDescent="0.25">
      <c r="C2811" s="2" t="s">
        <v>7900</v>
      </c>
      <c r="D2811" s="2" t="s">
        <v>42</v>
      </c>
      <c r="E2811" s="2">
        <v>53</v>
      </c>
      <c r="F2811" s="2">
        <v>1052.2</v>
      </c>
    </row>
    <row r="2812" spans="3:6" x14ac:dyDescent="0.25">
      <c r="C2812" s="2" t="s">
        <v>7901</v>
      </c>
      <c r="D2812" s="2" t="s">
        <v>42</v>
      </c>
      <c r="E2812" s="2">
        <v>10</v>
      </c>
      <c r="F2812" s="2">
        <v>194.19</v>
      </c>
    </row>
    <row r="2813" spans="3:6" x14ac:dyDescent="0.25">
      <c r="C2813" s="2" t="s">
        <v>7902</v>
      </c>
      <c r="D2813" s="2" t="s">
        <v>42</v>
      </c>
      <c r="E2813" s="2">
        <v>76</v>
      </c>
      <c r="F2813" s="2">
        <v>1329.037</v>
      </c>
    </row>
    <row r="2814" spans="3:6" x14ac:dyDescent="0.25">
      <c r="C2814" s="2" t="s">
        <v>7903</v>
      </c>
      <c r="D2814" s="2" t="s">
        <v>42</v>
      </c>
      <c r="E2814" s="2">
        <v>29</v>
      </c>
      <c r="F2814" s="2">
        <v>510.55</v>
      </c>
    </row>
    <row r="2815" spans="3:6" x14ac:dyDescent="0.25">
      <c r="C2815" s="2" t="s">
        <v>7904</v>
      </c>
      <c r="D2815" s="2" t="s">
        <v>42</v>
      </c>
      <c r="E2815" s="2">
        <v>31</v>
      </c>
      <c r="F2815" s="2">
        <v>548.069</v>
      </c>
    </row>
    <row r="2816" spans="3:6" x14ac:dyDescent="0.25">
      <c r="C2816" s="2" t="s">
        <v>7905</v>
      </c>
      <c r="D2816" s="2" t="s">
        <v>42</v>
      </c>
      <c r="E2816" s="2">
        <v>19</v>
      </c>
      <c r="F2816" s="2">
        <v>306.77</v>
      </c>
    </row>
    <row r="2817" spans="3:6" x14ac:dyDescent="0.25">
      <c r="C2817" s="2" t="s">
        <v>7906</v>
      </c>
      <c r="D2817" s="2" t="s">
        <v>42</v>
      </c>
      <c r="E2817" s="2">
        <v>11</v>
      </c>
      <c r="F2817" s="2">
        <v>228.75</v>
      </c>
    </row>
    <row r="2818" spans="3:6" x14ac:dyDescent="0.25">
      <c r="C2818" s="2" t="s">
        <v>7907</v>
      </c>
      <c r="D2818" s="2" t="s">
        <v>42</v>
      </c>
      <c r="E2818" s="2">
        <v>16</v>
      </c>
      <c r="F2818" s="2">
        <v>266.19</v>
      </c>
    </row>
    <row r="2819" spans="3:6" x14ac:dyDescent="0.25">
      <c r="C2819" s="2" t="s">
        <v>7908</v>
      </c>
      <c r="D2819" s="2" t="s">
        <v>42</v>
      </c>
      <c r="E2819" s="2">
        <v>8</v>
      </c>
      <c r="F2819" s="2">
        <v>133.31</v>
      </c>
    </row>
    <row r="2820" spans="3:6" x14ac:dyDescent="0.25">
      <c r="C2820" s="2" t="s">
        <v>7909</v>
      </c>
      <c r="D2820" s="2" t="s">
        <v>42</v>
      </c>
      <c r="E2820" s="2">
        <v>36</v>
      </c>
      <c r="F2820" s="2">
        <v>702.01</v>
      </c>
    </row>
    <row r="2821" spans="3:6" x14ac:dyDescent="0.25">
      <c r="C2821" s="2" t="s">
        <v>7910</v>
      </c>
      <c r="D2821" s="2" t="s">
        <v>42</v>
      </c>
      <c r="E2821" s="2">
        <v>48</v>
      </c>
      <c r="F2821" s="2">
        <v>864.459</v>
      </c>
    </row>
    <row r="2822" spans="3:6" x14ac:dyDescent="0.25">
      <c r="C2822" s="2" t="s">
        <v>7911</v>
      </c>
      <c r="D2822" s="2" t="s">
        <v>42</v>
      </c>
      <c r="E2822" s="2">
        <v>54</v>
      </c>
      <c r="F2822" s="2">
        <v>1045.42</v>
      </c>
    </row>
    <row r="2823" spans="3:6" x14ac:dyDescent="0.25">
      <c r="C2823" s="2" t="s">
        <v>7912</v>
      </c>
      <c r="D2823" s="2" t="s">
        <v>42</v>
      </c>
      <c r="E2823" s="2">
        <v>33</v>
      </c>
      <c r="F2823" s="2">
        <v>657.08</v>
      </c>
    </row>
    <row r="2824" spans="3:6" x14ac:dyDescent="0.25">
      <c r="C2824" s="2" t="s">
        <v>7913</v>
      </c>
      <c r="D2824" s="2" t="s">
        <v>42</v>
      </c>
      <c r="E2824" s="2">
        <v>36</v>
      </c>
      <c r="F2824" s="2">
        <v>746.31</v>
      </c>
    </row>
    <row r="2825" spans="3:6" x14ac:dyDescent="0.25">
      <c r="C2825" s="2" t="s">
        <v>7914</v>
      </c>
      <c r="D2825" s="2" t="s">
        <v>42</v>
      </c>
      <c r="E2825" s="2">
        <v>16</v>
      </c>
      <c r="F2825" s="2">
        <v>276.5</v>
      </c>
    </row>
    <row r="2826" spans="3:6" x14ac:dyDescent="0.25">
      <c r="C2826" s="2" t="s">
        <v>7915</v>
      </c>
      <c r="D2826" s="2" t="s">
        <v>42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834</v>
      </c>
      <c r="C2828" s="2" t="s">
        <v>7916</v>
      </c>
      <c r="D2828" s="2" t="s">
        <v>204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2077</v>
      </c>
      <c r="C2830" s="2" t="s">
        <v>7917</v>
      </c>
      <c r="D2830" s="2" t="s">
        <v>204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18</v>
      </c>
      <c r="C2833" s="2" t="s">
        <v>7918</v>
      </c>
      <c r="D2833" s="2" t="s">
        <v>20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7919</v>
      </c>
      <c r="D2834" s="2" t="s">
        <v>20</v>
      </c>
      <c r="E2834" s="2">
        <v>142</v>
      </c>
      <c r="F2834" s="2">
        <v>2658.809</v>
      </c>
    </row>
    <row r="2835" spans="3:6" x14ac:dyDescent="0.25">
      <c r="C2835" s="2" t="s">
        <v>7920</v>
      </c>
      <c r="D2835" s="2" t="s">
        <v>20</v>
      </c>
      <c r="E2835" s="2">
        <v>102</v>
      </c>
      <c r="F2835" s="2">
        <v>1916.389</v>
      </c>
    </row>
    <row r="2836" spans="3:6" x14ac:dyDescent="0.25">
      <c r="C2836" s="2" t="s">
        <v>7921</v>
      </c>
      <c r="D2836" s="2" t="s">
        <v>20</v>
      </c>
      <c r="E2836" s="2">
        <v>244</v>
      </c>
      <c r="F2836" s="2">
        <v>4604.35</v>
      </c>
    </row>
    <row r="2837" spans="3:6" x14ac:dyDescent="0.25">
      <c r="C2837" s="2" t="s">
        <v>7922</v>
      </c>
      <c r="D2837" s="2" t="s">
        <v>20</v>
      </c>
      <c r="E2837" s="2">
        <v>96</v>
      </c>
      <c r="F2837" s="2">
        <v>1810.26</v>
      </c>
    </row>
    <row r="2838" spans="3:6" x14ac:dyDescent="0.25">
      <c r="C2838" s="2" t="s">
        <v>7923</v>
      </c>
      <c r="D2838" s="2" t="s">
        <v>20</v>
      </c>
      <c r="E2838" s="2">
        <v>135</v>
      </c>
      <c r="F2838" s="2">
        <v>2860.18</v>
      </c>
    </row>
    <row r="2839" spans="3:6" x14ac:dyDescent="0.25">
      <c r="C2839" s="2" t="s">
        <v>7924</v>
      </c>
      <c r="D2839" s="2" t="s">
        <v>20</v>
      </c>
      <c r="E2839" s="2">
        <v>142</v>
      </c>
      <c r="F2839" s="2">
        <v>2690.389</v>
      </c>
    </row>
    <row r="2840" spans="3:6" x14ac:dyDescent="0.25">
      <c r="C2840" s="2" t="s">
        <v>7925</v>
      </c>
      <c r="D2840" s="2" t="s">
        <v>20</v>
      </c>
      <c r="E2840" s="2">
        <v>102</v>
      </c>
      <c r="F2840" s="2">
        <v>1975.098</v>
      </c>
    </row>
    <row r="2841" spans="3:6" x14ac:dyDescent="0.25">
      <c r="C2841" s="2" t="s">
        <v>7926</v>
      </c>
      <c r="D2841" s="2" t="s">
        <v>20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10</v>
      </c>
      <c r="C2843" s="2" t="s">
        <v>7927</v>
      </c>
      <c r="D2843" s="2" t="s">
        <v>12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7928</v>
      </c>
      <c r="D2844" s="2" t="s">
        <v>12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1101</v>
      </c>
      <c r="C2846" s="2" t="s">
        <v>7929</v>
      </c>
      <c r="D2846" s="2" t="s">
        <v>20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7930</v>
      </c>
      <c r="D2847" s="2" t="s">
        <v>20</v>
      </c>
      <c r="E2847" s="2">
        <v>100</v>
      </c>
      <c r="F2847" s="2">
        <v>1944.679</v>
      </c>
    </row>
    <row r="2848" spans="3:6" x14ac:dyDescent="0.25">
      <c r="C2848" s="2" t="s">
        <v>7931</v>
      </c>
      <c r="D2848" s="2" t="s">
        <v>20</v>
      </c>
      <c r="E2848" s="2">
        <v>105</v>
      </c>
      <c r="F2848" s="2">
        <v>2114.309</v>
      </c>
    </row>
    <row r="2849" spans="3:6" x14ac:dyDescent="0.25">
      <c r="C2849" s="2" t="s">
        <v>7932</v>
      </c>
      <c r="D2849" s="2" t="s">
        <v>20</v>
      </c>
      <c r="E2849" s="2">
        <v>156</v>
      </c>
      <c r="F2849" s="2">
        <v>2949.4</v>
      </c>
    </row>
    <row r="2850" spans="3:6" x14ac:dyDescent="0.25">
      <c r="C2850" s="2" t="s">
        <v>7933</v>
      </c>
      <c r="D2850" s="2" t="s">
        <v>20</v>
      </c>
      <c r="E2850" s="2">
        <v>156</v>
      </c>
      <c r="F2850" s="2">
        <v>3129.469</v>
      </c>
    </row>
    <row r="2851" spans="3:6" x14ac:dyDescent="0.25">
      <c r="C2851" s="2" t="s">
        <v>7934</v>
      </c>
      <c r="D2851" s="2" t="s">
        <v>20</v>
      </c>
      <c r="E2851" s="2">
        <v>149</v>
      </c>
      <c r="F2851" s="2">
        <v>3140.75</v>
      </c>
    </row>
    <row r="2852" spans="3:6" x14ac:dyDescent="0.25">
      <c r="C2852" s="2" t="s">
        <v>7935</v>
      </c>
      <c r="D2852" s="2" t="s">
        <v>20</v>
      </c>
      <c r="E2852" s="2">
        <v>105</v>
      </c>
      <c r="F2852" s="2">
        <v>2044.93</v>
      </c>
    </row>
    <row r="2853" spans="3:6" x14ac:dyDescent="0.25">
      <c r="C2853" s="2" t="s">
        <v>7936</v>
      </c>
      <c r="D2853" s="2" t="s">
        <v>20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7937</v>
      </c>
      <c r="C2855" s="2" t="s">
        <v>7938</v>
      </c>
      <c r="D2855" s="2" t="s">
        <v>27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7939</v>
      </c>
      <c r="D2856" s="2" t="s">
        <v>27</v>
      </c>
      <c r="E2856" s="2">
        <v>101</v>
      </c>
      <c r="F2856" s="2">
        <v>1945.59</v>
      </c>
    </row>
    <row r="2857" spans="3:6" x14ac:dyDescent="0.25">
      <c r="C2857" s="2" t="s">
        <v>7940</v>
      </c>
      <c r="D2857" s="2" t="s">
        <v>27</v>
      </c>
      <c r="E2857" s="2">
        <v>47</v>
      </c>
      <c r="F2857" s="2">
        <v>801.95</v>
      </c>
    </row>
    <row r="2858" spans="3:6" x14ac:dyDescent="0.25">
      <c r="C2858" s="2" t="s">
        <v>7941</v>
      </c>
      <c r="D2858" s="2" t="s">
        <v>27</v>
      </c>
      <c r="E2858" s="2">
        <v>49</v>
      </c>
      <c r="F2858" s="2">
        <v>926.569</v>
      </c>
    </row>
    <row r="2859" spans="3:6" x14ac:dyDescent="0.25">
      <c r="C2859" s="2" t="s">
        <v>7942</v>
      </c>
      <c r="D2859" s="2" t="s">
        <v>27</v>
      </c>
      <c r="E2859" s="2">
        <v>90</v>
      </c>
      <c r="F2859" s="2">
        <v>1868.14</v>
      </c>
    </row>
    <row r="2860" spans="3:6" x14ac:dyDescent="0.25">
      <c r="C2860" s="2" t="s">
        <v>7943</v>
      </c>
      <c r="D2860" s="2" t="s">
        <v>27</v>
      </c>
      <c r="E2860" s="2">
        <v>65</v>
      </c>
      <c r="F2860" s="2">
        <v>1314.37</v>
      </c>
    </row>
    <row r="2861" spans="3:6" x14ac:dyDescent="0.25">
      <c r="C2861" s="2" t="s">
        <v>7944</v>
      </c>
      <c r="D2861" s="2" t="s">
        <v>27</v>
      </c>
      <c r="E2861" s="2">
        <v>19</v>
      </c>
      <c r="F2861" s="2">
        <v>329.1</v>
      </c>
    </row>
    <row r="2862" spans="3:6" x14ac:dyDescent="0.25">
      <c r="C2862" s="2" t="s">
        <v>7945</v>
      </c>
      <c r="D2862" s="2" t="s">
        <v>27</v>
      </c>
      <c r="E2862" s="2">
        <v>43</v>
      </c>
      <c r="F2862" s="2">
        <v>801.48</v>
      </c>
    </row>
    <row r="2863" spans="3:6" x14ac:dyDescent="0.25">
      <c r="C2863" s="2" t="s">
        <v>7946</v>
      </c>
      <c r="D2863" s="2" t="s">
        <v>27</v>
      </c>
      <c r="E2863" s="2">
        <v>7</v>
      </c>
      <c r="F2863" s="2">
        <v>151.05</v>
      </c>
    </row>
    <row r="2864" spans="3:6" x14ac:dyDescent="0.25">
      <c r="C2864" s="2" t="s">
        <v>7947</v>
      </c>
      <c r="D2864" s="2" t="s">
        <v>27</v>
      </c>
      <c r="E2864" s="2">
        <v>88</v>
      </c>
      <c r="F2864" s="2">
        <v>1727.78</v>
      </c>
    </row>
    <row r="2865" spans="3:6" x14ac:dyDescent="0.25">
      <c r="C2865" s="2" t="s">
        <v>7948</v>
      </c>
      <c r="D2865" s="2" t="s">
        <v>27</v>
      </c>
      <c r="E2865" s="2">
        <v>16</v>
      </c>
      <c r="F2865" s="2">
        <v>266.81</v>
      </c>
    </row>
    <row r="2866" spans="3:6" x14ac:dyDescent="0.25">
      <c r="C2866" s="2" t="s">
        <v>7949</v>
      </c>
      <c r="D2866" s="2" t="s">
        <v>27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120</v>
      </c>
      <c r="C2868" s="2" t="s">
        <v>7950</v>
      </c>
      <c r="D2868" s="2" t="s">
        <v>42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7951</v>
      </c>
      <c r="D2869" s="2" t="s">
        <v>42</v>
      </c>
      <c r="E2869" s="2">
        <v>100</v>
      </c>
      <c r="F2869" s="2">
        <v>2099.25</v>
      </c>
    </row>
    <row r="2870" spans="3:6" x14ac:dyDescent="0.25">
      <c r="C2870" s="2" t="s">
        <v>7952</v>
      </c>
      <c r="D2870" s="2" t="s">
        <v>42</v>
      </c>
      <c r="E2870" s="2">
        <v>100</v>
      </c>
      <c r="F2870" s="2">
        <v>1966.64</v>
      </c>
    </row>
    <row r="2871" spans="3:6" x14ac:dyDescent="0.25">
      <c r="C2871" s="2" t="s">
        <v>7953</v>
      </c>
      <c r="D2871" s="2" t="s">
        <v>42</v>
      </c>
      <c r="E2871" s="2">
        <v>100</v>
      </c>
      <c r="F2871" s="2">
        <v>1967.189</v>
      </c>
    </row>
    <row r="2872" spans="3:6" x14ac:dyDescent="0.25">
      <c r="C2872" s="2" t="s">
        <v>7954</v>
      </c>
      <c r="D2872" s="2" t="s">
        <v>42</v>
      </c>
      <c r="E2872" s="2">
        <v>100</v>
      </c>
      <c r="F2872" s="2">
        <v>2014.069</v>
      </c>
    </row>
    <row r="2873" spans="3:6" x14ac:dyDescent="0.25">
      <c r="C2873" s="2" t="s">
        <v>7955</v>
      </c>
      <c r="D2873" s="2" t="s">
        <v>42</v>
      </c>
      <c r="E2873" s="2">
        <v>123</v>
      </c>
      <c r="F2873" s="2">
        <v>2666.13</v>
      </c>
    </row>
    <row r="2874" spans="3:6" x14ac:dyDescent="0.25">
      <c r="C2874" s="2" t="s">
        <v>7956</v>
      </c>
      <c r="D2874" s="2" t="s">
        <v>42</v>
      </c>
      <c r="E2874" s="2">
        <v>37</v>
      </c>
      <c r="F2874" s="2">
        <v>768.81</v>
      </c>
    </row>
    <row r="2875" spans="3:6" x14ac:dyDescent="0.25">
      <c r="C2875" s="2" t="s">
        <v>7957</v>
      </c>
      <c r="D2875" s="2" t="s">
        <v>42</v>
      </c>
      <c r="E2875" s="2">
        <v>141</v>
      </c>
      <c r="F2875" s="2">
        <v>2745.978</v>
      </c>
    </row>
    <row r="2876" spans="3:6" x14ac:dyDescent="0.25">
      <c r="C2876" s="2" t="s">
        <v>7958</v>
      </c>
      <c r="D2876" s="2" t="s">
        <v>42</v>
      </c>
      <c r="E2876" s="2">
        <v>100</v>
      </c>
      <c r="F2876" s="2">
        <v>2190.589</v>
      </c>
    </row>
    <row r="2877" spans="3:6" x14ac:dyDescent="0.25">
      <c r="C2877" s="2" t="s">
        <v>7959</v>
      </c>
      <c r="D2877" s="2" t="s">
        <v>42</v>
      </c>
      <c r="E2877" s="2">
        <v>26</v>
      </c>
      <c r="F2877" s="2">
        <v>459.76</v>
      </c>
    </row>
    <row r="2878" spans="3:6" x14ac:dyDescent="0.25">
      <c r="C2878" s="2" t="s">
        <v>7960</v>
      </c>
      <c r="D2878" s="2" t="s">
        <v>42</v>
      </c>
      <c r="E2878" s="2">
        <v>32</v>
      </c>
      <c r="F2878" s="2">
        <v>654.25</v>
      </c>
    </row>
    <row r="2879" spans="3:6" x14ac:dyDescent="0.25">
      <c r="C2879" s="2" t="s">
        <v>7961</v>
      </c>
      <c r="D2879" s="2" t="s">
        <v>42</v>
      </c>
      <c r="E2879" s="2">
        <v>9</v>
      </c>
      <c r="F2879" s="2">
        <v>149.2</v>
      </c>
    </row>
    <row r="2880" spans="3:6" x14ac:dyDescent="0.25">
      <c r="C2880" s="2" t="s">
        <v>7962</v>
      </c>
      <c r="D2880" s="2" t="s">
        <v>42</v>
      </c>
      <c r="E2880" s="2">
        <v>16</v>
      </c>
      <c r="F2880" s="2">
        <v>307.46</v>
      </c>
    </row>
    <row r="2881" spans="3:6" x14ac:dyDescent="0.25">
      <c r="C2881" s="2" t="s">
        <v>7963</v>
      </c>
      <c r="D2881" s="2" t="s">
        <v>42</v>
      </c>
      <c r="E2881" s="2">
        <v>70</v>
      </c>
      <c r="F2881" s="2">
        <v>1269.077</v>
      </c>
    </row>
    <row r="2882" spans="3:6" x14ac:dyDescent="0.25">
      <c r="C2882" s="2" t="s">
        <v>7964</v>
      </c>
      <c r="D2882" s="2" t="s">
        <v>42</v>
      </c>
      <c r="E2882" s="2">
        <v>45</v>
      </c>
      <c r="F2882" s="2">
        <v>210.37</v>
      </c>
    </row>
    <row r="2883" spans="3:6" x14ac:dyDescent="0.25">
      <c r="C2883" s="2" t="s">
        <v>7965</v>
      </c>
      <c r="D2883" s="2" t="s">
        <v>42</v>
      </c>
      <c r="E2883" s="2">
        <v>42</v>
      </c>
      <c r="F2883" s="2">
        <v>768.95</v>
      </c>
    </row>
    <row r="2884" spans="3:6" x14ac:dyDescent="0.25">
      <c r="C2884" s="2" t="s">
        <v>7966</v>
      </c>
      <c r="D2884" s="2" t="s">
        <v>42</v>
      </c>
      <c r="E2884" s="2">
        <v>65</v>
      </c>
      <c r="F2884" s="2">
        <v>1340.13</v>
      </c>
    </row>
    <row r="2885" spans="3:6" x14ac:dyDescent="0.25">
      <c r="C2885" s="2" t="s">
        <v>7967</v>
      </c>
      <c r="D2885" s="2" t="s">
        <v>42</v>
      </c>
      <c r="E2885" s="2">
        <v>10</v>
      </c>
      <c r="F2885" s="2">
        <v>212.98</v>
      </c>
    </row>
    <row r="2886" spans="3:6" x14ac:dyDescent="0.25">
      <c r="C2886" s="2" t="s">
        <v>7968</v>
      </c>
      <c r="D2886" s="2" t="s">
        <v>42</v>
      </c>
      <c r="E2886" s="2">
        <v>134</v>
      </c>
      <c r="F2886" s="2">
        <v>2573.85</v>
      </c>
    </row>
    <row r="2887" spans="3:6" x14ac:dyDescent="0.25">
      <c r="C2887" s="2" t="s">
        <v>7969</v>
      </c>
      <c r="D2887" s="2" t="s">
        <v>42</v>
      </c>
      <c r="E2887" s="2">
        <v>81</v>
      </c>
      <c r="F2887" s="2">
        <v>1771</v>
      </c>
    </row>
    <row r="2888" spans="3:6" x14ac:dyDescent="0.25">
      <c r="C2888" s="2" t="s">
        <v>7970</v>
      </c>
      <c r="D2888" s="2" t="s">
        <v>42</v>
      </c>
      <c r="E2888" s="2">
        <v>141</v>
      </c>
      <c r="F2888" s="2">
        <v>2753.71</v>
      </c>
    </row>
    <row r="2889" spans="3:6" x14ac:dyDescent="0.25">
      <c r="C2889" s="2" t="s">
        <v>7971</v>
      </c>
      <c r="D2889" s="2" t="s">
        <v>42</v>
      </c>
      <c r="E2889" s="2">
        <v>50</v>
      </c>
      <c r="F2889" s="2">
        <v>239.55</v>
      </c>
    </row>
    <row r="2890" spans="3:6" x14ac:dyDescent="0.25">
      <c r="C2890" s="2" t="s">
        <v>7972</v>
      </c>
      <c r="D2890" s="2" t="s">
        <v>42</v>
      </c>
      <c r="E2890" s="2">
        <v>141</v>
      </c>
      <c r="F2890" s="2">
        <v>3039.83</v>
      </c>
    </row>
    <row r="2891" spans="3:6" x14ac:dyDescent="0.25">
      <c r="C2891" s="2" t="s">
        <v>7973</v>
      </c>
      <c r="D2891" s="2" t="s">
        <v>42</v>
      </c>
      <c r="E2891" s="2">
        <v>106</v>
      </c>
      <c r="F2891" s="2">
        <v>2054.46</v>
      </c>
    </row>
    <row r="2892" spans="3:6" x14ac:dyDescent="0.25">
      <c r="C2892" s="2" t="s">
        <v>7974</v>
      </c>
      <c r="D2892" s="2" t="s">
        <v>42</v>
      </c>
      <c r="E2892" s="2">
        <v>45</v>
      </c>
      <c r="F2892" s="2">
        <v>1370.07</v>
      </c>
    </row>
    <row r="2893" spans="3:6" x14ac:dyDescent="0.25">
      <c r="C2893" s="2" t="s">
        <v>7975</v>
      </c>
      <c r="D2893" s="2" t="s">
        <v>42</v>
      </c>
      <c r="E2893" s="2">
        <v>141</v>
      </c>
      <c r="F2893" s="2">
        <v>1813.499</v>
      </c>
    </row>
    <row r="2894" spans="3:6" x14ac:dyDescent="0.25">
      <c r="C2894" s="2" t="s">
        <v>7976</v>
      </c>
      <c r="D2894" s="2" t="s">
        <v>42</v>
      </c>
      <c r="E2894" s="2">
        <v>33</v>
      </c>
      <c r="F2894" s="2">
        <v>1410.86</v>
      </c>
    </row>
    <row r="2895" spans="3:6" x14ac:dyDescent="0.25">
      <c r="C2895" s="2" t="s">
        <v>7977</v>
      </c>
      <c r="D2895" s="2" t="s">
        <v>42</v>
      </c>
      <c r="E2895" s="2">
        <v>45</v>
      </c>
      <c r="F2895" s="2">
        <v>1121.91</v>
      </c>
    </row>
    <row r="2896" spans="3:6" x14ac:dyDescent="0.25">
      <c r="C2896" s="2" t="s">
        <v>7978</v>
      </c>
      <c r="D2896" s="2" t="s">
        <v>42</v>
      </c>
      <c r="E2896" s="2">
        <v>108</v>
      </c>
      <c r="F2896" s="2">
        <v>646.393</v>
      </c>
    </row>
    <row r="2897" spans="3:6" x14ac:dyDescent="0.25">
      <c r="C2897" s="2" t="s">
        <v>7979</v>
      </c>
      <c r="D2897" s="2" t="s">
        <v>42</v>
      </c>
      <c r="E2897" s="2">
        <v>115</v>
      </c>
      <c r="F2897" s="2">
        <v>2156.64</v>
      </c>
    </row>
    <row r="2898" spans="3:6" x14ac:dyDescent="0.25">
      <c r="C2898" s="2" t="s">
        <v>7980</v>
      </c>
      <c r="D2898" s="2" t="s">
        <v>42</v>
      </c>
      <c r="E2898" s="2">
        <v>13</v>
      </c>
      <c r="F2898" s="2">
        <v>240.235</v>
      </c>
    </row>
    <row r="2899" spans="3:6" x14ac:dyDescent="0.25">
      <c r="C2899" s="2" t="s">
        <v>7981</v>
      </c>
      <c r="D2899" s="2" t="s">
        <v>42</v>
      </c>
      <c r="E2899" s="2">
        <v>54</v>
      </c>
      <c r="F2899" s="2">
        <v>1025.099</v>
      </c>
    </row>
    <row r="2900" spans="3:6" x14ac:dyDescent="0.25">
      <c r="C2900" s="2" t="s">
        <v>7982</v>
      </c>
      <c r="D2900" s="2" t="s">
        <v>42</v>
      </c>
      <c r="E2900" s="2">
        <v>11</v>
      </c>
      <c r="F2900" s="2">
        <v>182.68</v>
      </c>
    </row>
    <row r="2901" spans="3:6" x14ac:dyDescent="0.25">
      <c r="C2901" s="2" t="s">
        <v>7983</v>
      </c>
      <c r="D2901" s="2" t="s">
        <v>42</v>
      </c>
      <c r="E2901" s="2">
        <v>63</v>
      </c>
      <c r="F2901" s="2">
        <v>1097.526</v>
      </c>
    </row>
    <row r="2902" spans="3:6" x14ac:dyDescent="0.25">
      <c r="C2902" s="2" t="s">
        <v>7984</v>
      </c>
      <c r="D2902" s="2" t="s">
        <v>42</v>
      </c>
      <c r="E2902" s="2">
        <v>84</v>
      </c>
      <c r="F2902" s="2">
        <v>1524.478</v>
      </c>
    </row>
    <row r="2903" spans="3:6" x14ac:dyDescent="0.25">
      <c r="C2903" s="2" t="s">
        <v>7985</v>
      </c>
      <c r="D2903" s="2" t="s">
        <v>42</v>
      </c>
      <c r="E2903" s="2">
        <v>18</v>
      </c>
      <c r="F2903" s="2">
        <v>413.068</v>
      </c>
    </row>
    <row r="2904" spans="3:6" x14ac:dyDescent="0.25">
      <c r="C2904" s="2" t="s">
        <v>7986</v>
      </c>
      <c r="D2904" s="2" t="s">
        <v>42</v>
      </c>
      <c r="E2904" s="2">
        <v>68</v>
      </c>
      <c r="F2904" s="2">
        <v>1256.349</v>
      </c>
    </row>
    <row r="2905" spans="3:6" x14ac:dyDescent="0.25">
      <c r="C2905" s="2" t="s">
        <v>7987</v>
      </c>
      <c r="D2905" s="2" t="s">
        <v>42</v>
      </c>
      <c r="E2905" s="2">
        <v>12</v>
      </c>
      <c r="F2905" s="2">
        <v>235.367</v>
      </c>
    </row>
    <row r="2906" spans="3:6" x14ac:dyDescent="0.25">
      <c r="C2906" s="2" t="s">
        <v>7988</v>
      </c>
      <c r="D2906" s="2" t="s">
        <v>42</v>
      </c>
      <c r="E2906" s="2">
        <v>61</v>
      </c>
      <c r="F2906" s="2">
        <v>1172.83</v>
      </c>
    </row>
    <row r="2907" spans="3:6" x14ac:dyDescent="0.25">
      <c r="C2907" s="2" t="s">
        <v>7989</v>
      </c>
      <c r="D2907" s="2" t="s">
        <v>42</v>
      </c>
      <c r="E2907" s="2">
        <v>68</v>
      </c>
      <c r="F2907" s="2">
        <v>1370.07</v>
      </c>
    </row>
    <row r="2908" spans="3:6" x14ac:dyDescent="0.25">
      <c r="C2908" s="2" t="s">
        <v>7990</v>
      </c>
      <c r="D2908" s="2" t="s">
        <v>42</v>
      </c>
      <c r="E2908" s="2">
        <v>85</v>
      </c>
      <c r="F2908" s="2">
        <v>1813.499</v>
      </c>
    </row>
    <row r="2909" spans="3:6" x14ac:dyDescent="0.25">
      <c r="C2909" s="2" t="s">
        <v>7991</v>
      </c>
      <c r="D2909" s="2" t="s">
        <v>42</v>
      </c>
      <c r="E2909" s="2">
        <v>73</v>
      </c>
      <c r="F2909" s="2">
        <v>1410.86</v>
      </c>
    </row>
    <row r="2910" spans="3:6" x14ac:dyDescent="0.25">
      <c r="C2910" s="2" t="s">
        <v>7992</v>
      </c>
      <c r="D2910" s="2" t="s">
        <v>42</v>
      </c>
      <c r="E2910" s="2">
        <v>56</v>
      </c>
      <c r="F2910" s="2">
        <v>1121.91</v>
      </c>
    </row>
    <row r="2911" spans="3:6" x14ac:dyDescent="0.25">
      <c r="C2911" s="2" t="s">
        <v>7993</v>
      </c>
      <c r="D2911" s="2" t="s">
        <v>42</v>
      </c>
      <c r="E2911" s="2">
        <v>34</v>
      </c>
      <c r="F2911" s="2">
        <v>646.393</v>
      </c>
    </row>
    <row r="2912" spans="3:6" x14ac:dyDescent="0.25">
      <c r="C2912" s="2" t="s">
        <v>7979</v>
      </c>
      <c r="D2912" s="2" t="s">
        <v>42</v>
      </c>
      <c r="E2912" s="2">
        <v>115</v>
      </c>
      <c r="F2912" s="2">
        <v>2156.64</v>
      </c>
    </row>
    <row r="2913" spans="3:6" x14ac:dyDescent="0.25">
      <c r="C2913" s="2" t="s">
        <v>7994</v>
      </c>
      <c r="D2913" s="2" t="s">
        <v>42</v>
      </c>
      <c r="E2913" s="2">
        <v>45</v>
      </c>
      <c r="F2913" s="2">
        <v>923.69</v>
      </c>
    </row>
    <row r="2914" spans="3:6" x14ac:dyDescent="0.25">
      <c r="C2914" s="2" t="s">
        <v>7995</v>
      </c>
      <c r="D2914" s="2" t="s">
        <v>42</v>
      </c>
      <c r="E2914" s="2">
        <v>42</v>
      </c>
      <c r="F2914" s="2">
        <v>843.489</v>
      </c>
    </row>
    <row r="2915" spans="3:6" x14ac:dyDescent="0.25">
      <c r="C2915" s="2" t="s">
        <v>7996</v>
      </c>
      <c r="D2915" s="2" t="s">
        <v>42</v>
      </c>
      <c r="E2915" s="2">
        <v>53</v>
      </c>
      <c r="F2915" s="2">
        <v>1032.48</v>
      </c>
    </row>
    <row r="2916" spans="3:6" x14ac:dyDescent="0.25">
      <c r="C2916" s="2" t="s">
        <v>7997</v>
      </c>
      <c r="D2916" s="2" t="s">
        <v>42</v>
      </c>
      <c r="E2916" s="2">
        <v>30</v>
      </c>
      <c r="F2916" s="2">
        <v>600.58</v>
      </c>
    </row>
    <row r="2917" spans="3:6" x14ac:dyDescent="0.25">
      <c r="C2917" s="2" t="s">
        <v>7998</v>
      </c>
      <c r="D2917" s="2" t="s">
        <v>42</v>
      </c>
      <c r="E2917" s="2">
        <v>100</v>
      </c>
      <c r="F2917" s="2">
        <v>1870.908</v>
      </c>
    </row>
    <row r="2918" spans="3:6" x14ac:dyDescent="0.25">
      <c r="C2918" s="2" t="s">
        <v>7999</v>
      </c>
      <c r="D2918" s="2" t="s">
        <v>42</v>
      </c>
      <c r="E2918" s="2">
        <v>51</v>
      </c>
      <c r="F2918" s="2">
        <v>954.078</v>
      </c>
    </row>
    <row r="2919" spans="3:6" x14ac:dyDescent="0.25">
      <c r="C2919" s="2" t="s">
        <v>8000</v>
      </c>
      <c r="D2919" s="2" t="s">
        <v>42</v>
      </c>
      <c r="E2919" s="2">
        <v>6</v>
      </c>
      <c r="F2919" s="2">
        <v>118.312</v>
      </c>
    </row>
    <row r="2920" spans="3:6" x14ac:dyDescent="0.25">
      <c r="C2920" s="2" t="s">
        <v>8001</v>
      </c>
      <c r="D2920" s="2" t="s">
        <v>42</v>
      </c>
      <c r="E2920" s="2">
        <v>12</v>
      </c>
      <c r="F2920" s="2">
        <v>228.201</v>
      </c>
    </row>
    <row r="2921" spans="3:6" x14ac:dyDescent="0.25">
      <c r="C2921" s="2" t="s">
        <v>8002</v>
      </c>
      <c r="D2921" s="2" t="s">
        <v>42</v>
      </c>
      <c r="E2921" s="2">
        <v>82</v>
      </c>
      <c r="F2921" s="2">
        <v>1526.106</v>
      </c>
    </row>
    <row r="2922" spans="3:6" x14ac:dyDescent="0.25">
      <c r="C2922" s="2" t="s">
        <v>8003</v>
      </c>
      <c r="D2922" s="2" t="s">
        <v>42</v>
      </c>
      <c r="E2922" s="2">
        <v>10</v>
      </c>
      <c r="F2922" s="2">
        <v>170.937</v>
      </c>
    </row>
    <row r="2923" spans="3:6" x14ac:dyDescent="0.25">
      <c r="C2923" s="2" t="s">
        <v>8004</v>
      </c>
      <c r="D2923" s="2" t="s">
        <v>42</v>
      </c>
      <c r="E2923" s="2">
        <v>33</v>
      </c>
      <c r="F2923" s="2">
        <v>617.624</v>
      </c>
    </row>
    <row r="2924" spans="3:6" x14ac:dyDescent="0.25">
      <c r="C2924" s="2" t="s">
        <v>8005</v>
      </c>
      <c r="D2924" s="2" t="s">
        <v>42</v>
      </c>
      <c r="E2924" s="2">
        <v>57</v>
      </c>
      <c r="F2924" s="2">
        <v>1018.799</v>
      </c>
    </row>
    <row r="2925" spans="3:6" x14ac:dyDescent="0.25">
      <c r="C2925" s="2" t="s">
        <v>8006</v>
      </c>
      <c r="D2925" s="2" t="s">
        <v>42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10</v>
      </c>
      <c r="C2927" s="2" t="s">
        <v>8007</v>
      </c>
      <c r="D2927" s="2" t="s">
        <v>12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8008</v>
      </c>
      <c r="D2928" s="2" t="s">
        <v>12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202</v>
      </c>
      <c r="C2930" s="2" t="s">
        <v>8009</v>
      </c>
      <c r="D2930" s="2" t="s">
        <v>204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8010</v>
      </c>
      <c r="D2931" s="2" t="s">
        <v>204</v>
      </c>
      <c r="E2931" s="2">
        <v>102</v>
      </c>
      <c r="F2931" s="2">
        <v>2026.48</v>
      </c>
    </row>
    <row r="2932" spans="3:6" x14ac:dyDescent="0.25">
      <c r="C2932" s="2" t="s">
        <v>8011</v>
      </c>
      <c r="D2932" s="2" t="s">
        <v>204</v>
      </c>
      <c r="E2932" s="2">
        <v>141</v>
      </c>
      <c r="F2932" s="2">
        <v>2709.309</v>
      </c>
    </row>
    <row r="2933" spans="3:6" x14ac:dyDescent="0.25">
      <c r="C2933" s="2" t="s">
        <v>8012</v>
      </c>
      <c r="D2933" s="2" t="s">
        <v>204</v>
      </c>
      <c r="E2933" s="2">
        <v>141</v>
      </c>
      <c r="F2933" s="2">
        <v>2820.91</v>
      </c>
    </row>
    <row r="2935" spans="2:7" x14ac:dyDescent="0.25">
      <c r="B2935" s="2" t="s">
        <v>2077</v>
      </c>
      <c r="C2935" s="2" t="s">
        <v>8013</v>
      </c>
      <c r="D2935" s="2" t="s">
        <v>204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1101</v>
      </c>
      <c r="C2937" s="2" t="s">
        <v>8014</v>
      </c>
      <c r="D2937" s="2" t="s">
        <v>20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8015</v>
      </c>
      <c r="D2938" s="2" t="s">
        <v>20</v>
      </c>
      <c r="E2938" s="2">
        <v>103</v>
      </c>
      <c r="F2938" s="2">
        <v>1984.75</v>
      </c>
    </row>
    <row r="2939" spans="3:6" x14ac:dyDescent="0.25">
      <c r="C2939" s="2" t="s">
        <v>8016</v>
      </c>
      <c r="D2939" s="2" t="s">
        <v>20</v>
      </c>
      <c r="E2939" s="2">
        <v>104</v>
      </c>
      <c r="F2939" s="2">
        <v>2028.19</v>
      </c>
    </row>
    <row r="2940" spans="3:6" x14ac:dyDescent="0.25">
      <c r="C2940" s="2" t="s">
        <v>8017</v>
      </c>
      <c r="D2940" s="2" t="s">
        <v>20</v>
      </c>
      <c r="E2940" s="2">
        <v>156</v>
      </c>
      <c r="F2940" s="2">
        <v>3076.95</v>
      </c>
    </row>
    <row r="2941" spans="3:6" x14ac:dyDescent="0.25">
      <c r="C2941" s="2" t="s">
        <v>8018</v>
      </c>
      <c r="D2941" s="2" t="s">
        <v>20</v>
      </c>
      <c r="E2941" s="2">
        <v>156</v>
      </c>
      <c r="F2941" s="2">
        <v>3100.559</v>
      </c>
    </row>
    <row r="2942" spans="3:6" x14ac:dyDescent="0.25">
      <c r="C2942" s="2" t="s">
        <v>8019</v>
      </c>
      <c r="D2942" s="2" t="s">
        <v>20</v>
      </c>
      <c r="E2942" s="2">
        <v>156</v>
      </c>
      <c r="F2942" s="2">
        <v>3070.599</v>
      </c>
    </row>
    <row r="2943" spans="3:6" x14ac:dyDescent="0.25">
      <c r="C2943" s="2" t="s">
        <v>8020</v>
      </c>
      <c r="D2943" s="2" t="s">
        <v>20</v>
      </c>
      <c r="E2943" s="2">
        <v>156</v>
      </c>
      <c r="F2943" s="2">
        <v>3032.829</v>
      </c>
    </row>
    <row r="2944" spans="3:6" x14ac:dyDescent="0.25">
      <c r="C2944" s="2" t="s">
        <v>8021</v>
      </c>
      <c r="D2944" s="2" t="s">
        <v>20</v>
      </c>
      <c r="E2944" s="2">
        <v>130</v>
      </c>
      <c r="F2944" s="2">
        <v>2542.349</v>
      </c>
    </row>
    <row r="2945" spans="3:6" x14ac:dyDescent="0.25">
      <c r="C2945" s="2" t="s">
        <v>8022</v>
      </c>
      <c r="D2945" s="2" t="s">
        <v>20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335</v>
      </c>
      <c r="C2947" s="2" t="s">
        <v>8023</v>
      </c>
      <c r="D2947" s="2" t="s">
        <v>20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8024</v>
      </c>
      <c r="D2948" s="2" t="s">
        <v>20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172</v>
      </c>
      <c r="C2950" s="2" t="s">
        <v>8025</v>
      </c>
      <c r="D2950" s="2" t="s">
        <v>122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8026</v>
      </c>
      <c r="D2951" s="2" t="s">
        <v>122</v>
      </c>
      <c r="E2951" s="2">
        <v>121</v>
      </c>
      <c r="F2951" s="2">
        <v>2445.83</v>
      </c>
    </row>
    <row r="2952" spans="3:6" x14ac:dyDescent="0.25">
      <c r="C2952" s="2" t="s">
        <v>8027</v>
      </c>
      <c r="D2952" s="2" t="s">
        <v>122</v>
      </c>
      <c r="E2952" s="2">
        <v>121</v>
      </c>
      <c r="F2952" s="2">
        <v>2535.72</v>
      </c>
    </row>
    <row r="2953" spans="3:6" x14ac:dyDescent="0.25">
      <c r="C2953" s="2" t="s">
        <v>8028</v>
      </c>
      <c r="D2953" s="2" t="s">
        <v>122</v>
      </c>
      <c r="E2953" s="2">
        <v>121</v>
      </c>
      <c r="F2953" s="2">
        <v>2494.12</v>
      </c>
    </row>
    <row r="2954" spans="3:6" x14ac:dyDescent="0.25">
      <c r="C2954" s="2" t="s">
        <v>8029</v>
      </c>
      <c r="D2954" s="2" t="s">
        <v>122</v>
      </c>
      <c r="E2954" s="2">
        <v>60</v>
      </c>
      <c r="F2954" s="2">
        <v>269.739</v>
      </c>
    </row>
    <row r="2955" spans="3:6" x14ac:dyDescent="0.25">
      <c r="C2955" s="2" t="s">
        <v>8030</v>
      </c>
      <c r="D2955" s="2" t="s">
        <v>122</v>
      </c>
      <c r="E2955" s="2">
        <v>40</v>
      </c>
      <c r="F2955" s="2">
        <v>190.95</v>
      </c>
    </row>
    <row r="2956" spans="3:6" x14ac:dyDescent="0.25">
      <c r="C2956" s="2" t="s">
        <v>8031</v>
      </c>
      <c r="D2956" s="2" t="s">
        <v>122</v>
      </c>
      <c r="E2956" s="2">
        <v>128</v>
      </c>
      <c r="F2956" s="2">
        <v>918.816</v>
      </c>
    </row>
    <row r="2957" spans="3:6" x14ac:dyDescent="0.25">
      <c r="C2957" s="2" t="s">
        <v>8032</v>
      </c>
      <c r="D2957" s="2" t="s">
        <v>122</v>
      </c>
      <c r="E2957" s="2">
        <v>101</v>
      </c>
      <c r="F2957" s="2">
        <v>1442.421</v>
      </c>
    </row>
    <row r="2958" spans="3:6" x14ac:dyDescent="0.25">
      <c r="C2958" s="2" t="s">
        <v>8033</v>
      </c>
      <c r="D2958" s="2" t="s">
        <v>122</v>
      </c>
      <c r="E2958" s="2">
        <v>93</v>
      </c>
      <c r="F2958" s="2">
        <v>2160.138</v>
      </c>
    </row>
    <row r="2959" spans="3:6" x14ac:dyDescent="0.25">
      <c r="C2959" s="2" t="s">
        <v>8034</v>
      </c>
      <c r="D2959" s="2" t="s">
        <v>122</v>
      </c>
      <c r="E2959" s="2">
        <v>142</v>
      </c>
      <c r="F2959" s="2">
        <v>2902.08</v>
      </c>
    </row>
    <row r="2960" spans="3:6" x14ac:dyDescent="0.25">
      <c r="C2960" s="2" t="s">
        <v>8035</v>
      </c>
      <c r="D2960" s="2" t="s">
        <v>122</v>
      </c>
      <c r="E2960" s="2">
        <v>142</v>
      </c>
      <c r="F2960" s="2">
        <v>2709.569</v>
      </c>
    </row>
    <row r="2961" spans="3:6" x14ac:dyDescent="0.25">
      <c r="C2961" s="2" t="s">
        <v>8036</v>
      </c>
      <c r="D2961" s="2" t="s">
        <v>122</v>
      </c>
      <c r="E2961" s="2">
        <v>141</v>
      </c>
      <c r="F2961" s="2">
        <v>2752.44</v>
      </c>
    </row>
    <row r="2962" spans="3:6" x14ac:dyDescent="0.25">
      <c r="C2962" s="2" t="s">
        <v>8037</v>
      </c>
      <c r="D2962" s="2" t="s">
        <v>122</v>
      </c>
      <c r="E2962" s="2">
        <v>78</v>
      </c>
      <c r="F2962" s="2">
        <v>1487.63</v>
      </c>
    </row>
    <row r="2963" spans="3:6" x14ac:dyDescent="0.25">
      <c r="C2963" s="2" t="s">
        <v>8038</v>
      </c>
      <c r="D2963" s="2" t="s">
        <v>122</v>
      </c>
      <c r="E2963" s="2">
        <v>63</v>
      </c>
      <c r="F2963" s="2">
        <v>1225.46</v>
      </c>
    </row>
    <row r="2964" spans="3:6" x14ac:dyDescent="0.25">
      <c r="C2964" s="2" t="s">
        <v>8039</v>
      </c>
      <c r="D2964" s="2" t="s">
        <v>122</v>
      </c>
      <c r="E2964" s="2">
        <v>60</v>
      </c>
      <c r="F2964" s="2">
        <v>275.509</v>
      </c>
    </row>
    <row r="2965" spans="3:6" x14ac:dyDescent="0.25">
      <c r="C2965" s="2" t="s">
        <v>8040</v>
      </c>
      <c r="D2965" s="2" t="s">
        <v>122</v>
      </c>
      <c r="E2965" s="2">
        <v>43</v>
      </c>
      <c r="F2965" s="2">
        <v>768.7</v>
      </c>
    </row>
    <row r="2966" spans="3:6" x14ac:dyDescent="0.25">
      <c r="C2966" s="2" t="s">
        <v>8041</v>
      </c>
      <c r="D2966" s="2" t="s">
        <v>122</v>
      </c>
      <c r="E2966" s="2">
        <v>52</v>
      </c>
      <c r="F2966" s="2">
        <v>990.34</v>
      </c>
    </row>
    <row r="2967" spans="3:6" x14ac:dyDescent="0.25">
      <c r="C2967" s="2" t="s">
        <v>8042</v>
      </c>
      <c r="D2967" s="2" t="s">
        <v>122</v>
      </c>
      <c r="E2967" s="2">
        <v>7</v>
      </c>
      <c r="F2967" s="2">
        <v>113.81</v>
      </c>
    </row>
    <row r="2968" spans="3:6" x14ac:dyDescent="0.25">
      <c r="C2968" s="2" t="s">
        <v>8043</v>
      </c>
      <c r="D2968" s="2" t="s">
        <v>122</v>
      </c>
      <c r="E2968" s="2">
        <v>52</v>
      </c>
      <c r="F2968" s="2">
        <v>1073.46</v>
      </c>
    </row>
    <row r="2969" spans="3:6" x14ac:dyDescent="0.25">
      <c r="C2969" s="2" t="s">
        <v>8044</v>
      </c>
      <c r="D2969" s="2" t="s">
        <v>122</v>
      </c>
      <c r="E2969" s="2">
        <v>14</v>
      </c>
      <c r="F2969" s="2">
        <v>253.44</v>
      </c>
    </row>
    <row r="2970" spans="3:6" x14ac:dyDescent="0.25">
      <c r="C2970" s="2" t="s">
        <v>8045</v>
      </c>
      <c r="D2970" s="2" t="s">
        <v>122</v>
      </c>
      <c r="E2970" s="2">
        <v>36</v>
      </c>
      <c r="F2970" s="2">
        <v>724.02</v>
      </c>
    </row>
    <row r="2971" spans="3:6" x14ac:dyDescent="0.25">
      <c r="C2971" s="2" t="s">
        <v>8046</v>
      </c>
      <c r="D2971" s="2" t="s">
        <v>122</v>
      </c>
      <c r="E2971" s="2">
        <v>11</v>
      </c>
      <c r="F2971" s="2">
        <v>214.85</v>
      </c>
    </row>
    <row r="2972" spans="3:6" x14ac:dyDescent="0.25">
      <c r="C2972" s="2" t="s">
        <v>8047</v>
      </c>
      <c r="D2972" s="2" t="s">
        <v>122</v>
      </c>
      <c r="E2972" s="2">
        <v>64</v>
      </c>
      <c r="F2972" s="2">
        <v>1335.859</v>
      </c>
    </row>
    <row r="2973" spans="3:6" x14ac:dyDescent="0.25">
      <c r="C2973" s="2" t="s">
        <v>8048</v>
      </c>
      <c r="D2973" s="2" t="s">
        <v>122</v>
      </c>
      <c r="E2973" s="2">
        <v>26</v>
      </c>
      <c r="F2973" s="2">
        <v>516.31</v>
      </c>
    </row>
    <row r="2974" spans="3:6" x14ac:dyDescent="0.25">
      <c r="C2974" s="2" t="s">
        <v>8049</v>
      </c>
      <c r="D2974" s="2" t="s">
        <v>122</v>
      </c>
      <c r="E2974" s="2">
        <v>76</v>
      </c>
      <c r="F2974" s="2">
        <v>1513.82</v>
      </c>
    </row>
    <row r="2975" spans="3:6" x14ac:dyDescent="0.25">
      <c r="C2975" s="2" t="s">
        <v>8050</v>
      </c>
      <c r="D2975" s="2" t="s">
        <v>122</v>
      </c>
      <c r="E2975" s="2">
        <v>21</v>
      </c>
      <c r="F2975" s="2">
        <v>429.06</v>
      </c>
    </row>
    <row r="2976" spans="3:6" x14ac:dyDescent="0.25">
      <c r="C2976" s="2" t="s">
        <v>8051</v>
      </c>
      <c r="D2976" s="2" t="s">
        <v>122</v>
      </c>
      <c r="E2976" s="2">
        <v>65</v>
      </c>
      <c r="F2976" s="2">
        <v>1302.63</v>
      </c>
    </row>
    <row r="2977" spans="3:6" x14ac:dyDescent="0.25">
      <c r="C2977" s="2" t="s">
        <v>8052</v>
      </c>
      <c r="D2977" s="2" t="s">
        <v>122</v>
      </c>
      <c r="E2977" s="2">
        <v>16</v>
      </c>
      <c r="F2977" s="2">
        <v>282.66</v>
      </c>
    </row>
    <row r="2978" spans="3:6" x14ac:dyDescent="0.25">
      <c r="C2978" s="2" t="s">
        <v>8053</v>
      </c>
      <c r="D2978" s="2" t="s">
        <v>122</v>
      </c>
      <c r="E2978" s="2">
        <v>121</v>
      </c>
      <c r="F2978" s="2">
        <v>2479.15</v>
      </c>
    </row>
    <row r="2979" spans="3:6" x14ac:dyDescent="0.25">
      <c r="C2979" s="2" t="s">
        <v>8054</v>
      </c>
      <c r="D2979" s="2" t="s">
        <v>122</v>
      </c>
      <c r="E2979" s="2">
        <v>8</v>
      </c>
      <c r="F2979" s="2">
        <v>141.66</v>
      </c>
    </row>
    <row r="2980" spans="3:6" x14ac:dyDescent="0.25">
      <c r="C2980" s="2" t="s">
        <v>8055</v>
      </c>
      <c r="D2980" s="2" t="s">
        <v>122</v>
      </c>
      <c r="E2980" s="2">
        <v>7</v>
      </c>
      <c r="F2980" s="2">
        <v>132.07</v>
      </c>
    </row>
    <row r="2981" spans="3:6" x14ac:dyDescent="0.25">
      <c r="C2981" s="2" t="s">
        <v>8056</v>
      </c>
      <c r="D2981" s="2" t="s">
        <v>122</v>
      </c>
      <c r="E2981" s="2">
        <v>10</v>
      </c>
      <c r="F2981" s="2">
        <v>191.11</v>
      </c>
    </row>
    <row r="2982" spans="3:6" x14ac:dyDescent="0.25">
      <c r="C2982" s="2" t="s">
        <v>8057</v>
      </c>
      <c r="D2982" s="2" t="s">
        <v>122</v>
      </c>
      <c r="E2982" s="2">
        <v>50</v>
      </c>
      <c r="F2982" s="2">
        <v>1013.05</v>
      </c>
    </row>
    <row r="2983" spans="3:6" x14ac:dyDescent="0.25">
      <c r="C2983" s="2" t="s">
        <v>8058</v>
      </c>
      <c r="D2983" s="2" t="s">
        <v>122</v>
      </c>
      <c r="E2983" s="2">
        <v>15</v>
      </c>
      <c r="F2983" s="2">
        <v>306.7</v>
      </c>
    </row>
    <row r="2984" spans="3:6" x14ac:dyDescent="0.25">
      <c r="C2984" s="2" t="s">
        <v>8059</v>
      </c>
      <c r="D2984" s="2" t="s">
        <v>122</v>
      </c>
      <c r="E2984" s="2">
        <v>22</v>
      </c>
      <c r="F2984" s="2">
        <v>459</v>
      </c>
    </row>
    <row r="2985" spans="3:6" x14ac:dyDescent="0.25">
      <c r="C2985" s="2" t="s">
        <v>8060</v>
      </c>
      <c r="D2985" s="2" t="s">
        <v>122</v>
      </c>
      <c r="E2985" s="2">
        <v>29</v>
      </c>
      <c r="F2985" s="2">
        <v>577.54</v>
      </c>
    </row>
    <row r="2986" spans="3:6" x14ac:dyDescent="0.25">
      <c r="C2986" s="2" t="s">
        <v>8061</v>
      </c>
      <c r="D2986" s="2" t="s">
        <v>122</v>
      </c>
      <c r="E2986" s="2">
        <v>53</v>
      </c>
      <c r="F2986" s="2">
        <v>1081.63</v>
      </c>
    </row>
    <row r="2987" spans="3:6" x14ac:dyDescent="0.25">
      <c r="C2987" s="2" t="s">
        <v>8062</v>
      </c>
      <c r="D2987" s="2" t="s">
        <v>122</v>
      </c>
      <c r="E2987" s="2">
        <v>49</v>
      </c>
      <c r="F2987" s="2">
        <v>932.41</v>
      </c>
    </row>
    <row r="2988" spans="3:6" x14ac:dyDescent="0.25">
      <c r="C2988" s="2" t="s">
        <v>8063</v>
      </c>
      <c r="D2988" s="2" t="s">
        <v>122</v>
      </c>
      <c r="E2988" s="2">
        <v>141</v>
      </c>
      <c r="F2988" s="2">
        <v>2740.077</v>
      </c>
    </row>
    <row r="2989" spans="3:6" x14ac:dyDescent="0.25">
      <c r="C2989" s="2" t="s">
        <v>8064</v>
      </c>
      <c r="D2989" s="2" t="s">
        <v>122</v>
      </c>
      <c r="E2989" s="2">
        <v>141</v>
      </c>
      <c r="F2989" s="2">
        <v>2791.96</v>
      </c>
    </row>
    <row r="2990" spans="3:6" x14ac:dyDescent="0.25">
      <c r="C2990" s="2" t="s">
        <v>8065</v>
      </c>
      <c r="D2990" s="2" t="s">
        <v>122</v>
      </c>
      <c r="E2990" s="2">
        <v>141</v>
      </c>
      <c r="F2990" s="2">
        <v>2793.66</v>
      </c>
    </row>
    <row r="2991" spans="3:6" x14ac:dyDescent="0.25">
      <c r="C2991" s="2" t="s">
        <v>8066</v>
      </c>
      <c r="D2991" s="2" t="s">
        <v>122</v>
      </c>
      <c r="E2991" s="2">
        <v>63</v>
      </c>
      <c r="F2991" s="2">
        <v>1250.93</v>
      </c>
    </row>
    <row r="2992" spans="3:6" x14ac:dyDescent="0.25">
      <c r="C2992" s="2" t="s">
        <v>8067</v>
      </c>
      <c r="D2992" s="2" t="s">
        <v>122</v>
      </c>
      <c r="E2992" s="2">
        <v>41</v>
      </c>
      <c r="F2992" s="2">
        <v>849.02</v>
      </c>
    </row>
    <row r="2993" spans="3:6" x14ac:dyDescent="0.25">
      <c r="C2993" s="2" t="s">
        <v>8068</v>
      </c>
      <c r="D2993" s="2" t="s">
        <v>122</v>
      </c>
      <c r="E2993" s="2">
        <v>37</v>
      </c>
      <c r="F2993" s="2">
        <v>765.78</v>
      </c>
    </row>
    <row r="2994" spans="3:6" x14ac:dyDescent="0.25">
      <c r="C2994" s="2" t="s">
        <v>8069</v>
      </c>
      <c r="D2994" s="2" t="s">
        <v>122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10</v>
      </c>
      <c r="C2996" s="2" t="s">
        <v>8070</v>
      </c>
      <c r="D2996" s="2" t="s">
        <v>12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8071</v>
      </c>
      <c r="D2997" s="2" t="s">
        <v>12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1286</v>
      </c>
      <c r="C2999" s="2" t="s">
        <v>8072</v>
      </c>
      <c r="D2999" s="2" t="s">
        <v>204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25</v>
      </c>
      <c r="C3001" s="2" t="s">
        <v>8073</v>
      </c>
      <c r="D3001" s="2" t="s">
        <v>27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8074</v>
      </c>
      <c r="D3002" s="2" t="s">
        <v>27</v>
      </c>
      <c r="E3002" s="2">
        <v>101</v>
      </c>
      <c r="F3002" s="2">
        <v>1921.49</v>
      </c>
    </row>
    <row r="3003" spans="3:6" x14ac:dyDescent="0.25">
      <c r="C3003" s="2" t="s">
        <v>8075</v>
      </c>
      <c r="D3003" s="2" t="s">
        <v>27</v>
      </c>
      <c r="E3003" s="2">
        <v>45</v>
      </c>
      <c r="F3003" s="2">
        <v>739.66</v>
      </c>
    </row>
    <row r="3004" spans="3:6" x14ac:dyDescent="0.25">
      <c r="C3004" s="2" t="s">
        <v>8076</v>
      </c>
      <c r="D3004" s="2" t="s">
        <v>27</v>
      </c>
      <c r="E3004" s="2">
        <v>54</v>
      </c>
      <c r="F3004" s="2">
        <v>1077.28</v>
      </c>
    </row>
    <row r="3005" spans="3:6" x14ac:dyDescent="0.25">
      <c r="C3005" s="2" t="s">
        <v>8077</v>
      </c>
      <c r="D3005" s="2" t="s">
        <v>27</v>
      </c>
      <c r="E3005" s="2">
        <v>77</v>
      </c>
      <c r="F3005" s="2">
        <v>1597.09</v>
      </c>
    </row>
    <row r="3006" spans="3:6" x14ac:dyDescent="0.25">
      <c r="C3006" s="2" t="s">
        <v>8078</v>
      </c>
      <c r="D3006" s="2" t="s">
        <v>27</v>
      </c>
      <c r="E3006" s="2">
        <v>53</v>
      </c>
      <c r="F3006" s="2">
        <v>981.908</v>
      </c>
    </row>
    <row r="3007" spans="3:6" x14ac:dyDescent="0.25">
      <c r="C3007" s="2" t="s">
        <v>8079</v>
      </c>
      <c r="D3007" s="2" t="s">
        <v>27</v>
      </c>
      <c r="E3007" s="2">
        <v>46</v>
      </c>
      <c r="F3007" s="2">
        <v>882.03</v>
      </c>
    </row>
    <row r="3008" spans="3:6" x14ac:dyDescent="0.25">
      <c r="C3008" s="2" t="s">
        <v>8080</v>
      </c>
      <c r="D3008" s="2" t="s">
        <v>27</v>
      </c>
      <c r="E3008" s="2">
        <v>18</v>
      </c>
      <c r="F3008" s="2">
        <v>408.9</v>
      </c>
    </row>
    <row r="3009" spans="3:6" x14ac:dyDescent="0.25">
      <c r="C3009" s="2" t="s">
        <v>8081</v>
      </c>
      <c r="D3009" s="2" t="s">
        <v>27</v>
      </c>
      <c r="E3009" s="2">
        <v>19</v>
      </c>
      <c r="F3009" s="2">
        <v>383.1</v>
      </c>
    </row>
    <row r="3010" spans="3:6" x14ac:dyDescent="0.25">
      <c r="C3010" s="2" t="s">
        <v>8082</v>
      </c>
      <c r="D3010" s="2" t="s">
        <v>27</v>
      </c>
      <c r="E3010" s="2">
        <v>27</v>
      </c>
      <c r="F3010" s="2">
        <v>507.319</v>
      </c>
    </row>
    <row r="3011" spans="3:6" x14ac:dyDescent="0.25">
      <c r="C3011" s="2" t="s">
        <v>8083</v>
      </c>
      <c r="D3011" s="2" t="s">
        <v>27</v>
      </c>
      <c r="E3011" s="2">
        <v>32</v>
      </c>
      <c r="F3011" s="2">
        <v>548.05</v>
      </c>
    </row>
    <row r="3012" spans="3:6" x14ac:dyDescent="0.25">
      <c r="C3012" s="2" t="s">
        <v>8084</v>
      </c>
      <c r="D3012" s="2" t="s">
        <v>27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120</v>
      </c>
      <c r="C3014" s="2" t="s">
        <v>8085</v>
      </c>
      <c r="D3014" s="2" t="s">
        <v>122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8086</v>
      </c>
      <c r="D3015" s="2" t="s">
        <v>122</v>
      </c>
      <c r="E3015" s="2">
        <v>76</v>
      </c>
      <c r="F3015" s="2">
        <v>1420.506</v>
      </c>
    </row>
    <row r="3016" spans="3:6" x14ac:dyDescent="0.25">
      <c r="C3016" s="2" t="s">
        <v>8087</v>
      </c>
      <c r="D3016" s="2" t="s">
        <v>122</v>
      </c>
      <c r="E3016" s="2">
        <v>71</v>
      </c>
      <c r="F3016" s="2">
        <v>2483.779</v>
      </c>
    </row>
    <row r="3017" spans="3:6" x14ac:dyDescent="0.25">
      <c r="C3017" s="2" t="s">
        <v>8088</v>
      </c>
      <c r="D3017" s="2" t="s">
        <v>122</v>
      </c>
      <c r="E3017" s="2">
        <v>80</v>
      </c>
      <c r="F3017" s="2">
        <v>1506.02</v>
      </c>
    </row>
    <row r="3018" spans="3:6" x14ac:dyDescent="0.25">
      <c r="C3018" s="2" t="s">
        <v>8089</v>
      </c>
      <c r="D3018" s="2" t="s">
        <v>122</v>
      </c>
      <c r="E3018" s="2">
        <v>30</v>
      </c>
      <c r="F3018" s="2">
        <v>550.26</v>
      </c>
    </row>
    <row r="3019" spans="3:6" x14ac:dyDescent="0.25">
      <c r="C3019" s="2" t="s">
        <v>8090</v>
      </c>
      <c r="D3019" s="2" t="s">
        <v>122</v>
      </c>
      <c r="E3019" s="2">
        <v>16</v>
      </c>
      <c r="F3019" s="2">
        <v>312.63</v>
      </c>
    </row>
    <row r="3020" spans="3:6" x14ac:dyDescent="0.25">
      <c r="C3020" s="2" t="s">
        <v>8091</v>
      </c>
      <c r="D3020" s="2" t="s">
        <v>122</v>
      </c>
      <c r="E3020" s="2">
        <v>15</v>
      </c>
      <c r="F3020" s="2">
        <v>252.259</v>
      </c>
    </row>
    <row r="3021" spans="3:6" x14ac:dyDescent="0.25">
      <c r="C3021" s="2" t="s">
        <v>8092</v>
      </c>
      <c r="D3021" s="2" t="s">
        <v>122</v>
      </c>
      <c r="E3021" s="2">
        <v>31</v>
      </c>
      <c r="F3021" s="2">
        <v>527.92</v>
      </c>
    </row>
    <row r="3022" spans="3:6" x14ac:dyDescent="0.25">
      <c r="C3022" s="2" t="s">
        <v>8093</v>
      </c>
      <c r="D3022" s="2" t="s">
        <v>122</v>
      </c>
      <c r="E3022" s="2">
        <v>30</v>
      </c>
      <c r="F3022" s="2">
        <v>585.689</v>
      </c>
    </row>
    <row r="3023" spans="3:6" x14ac:dyDescent="0.25">
      <c r="C3023" s="2" t="s">
        <v>8094</v>
      </c>
      <c r="D3023" s="2" t="s">
        <v>122</v>
      </c>
      <c r="E3023" s="2">
        <v>80</v>
      </c>
      <c r="F3023" s="2">
        <v>1381.52</v>
      </c>
    </row>
    <row r="3024" spans="3:6" x14ac:dyDescent="0.25">
      <c r="C3024" s="2" t="s">
        <v>8095</v>
      </c>
      <c r="D3024" s="2" t="s">
        <v>122</v>
      </c>
      <c r="E3024" s="2">
        <v>49</v>
      </c>
      <c r="F3024" s="2">
        <v>985.549</v>
      </c>
    </row>
    <row r="3025" spans="3:6" x14ac:dyDescent="0.25">
      <c r="C3025" s="2" t="s">
        <v>8096</v>
      </c>
      <c r="D3025" s="2" t="s">
        <v>122</v>
      </c>
      <c r="E3025" s="2">
        <v>12</v>
      </c>
      <c r="F3025" s="2">
        <v>235.35</v>
      </c>
    </row>
    <row r="3026" spans="3:6" x14ac:dyDescent="0.25">
      <c r="C3026" s="2" t="s">
        <v>8097</v>
      </c>
      <c r="D3026" s="2" t="s">
        <v>122</v>
      </c>
      <c r="E3026" s="2">
        <v>14</v>
      </c>
      <c r="F3026" s="2">
        <v>253.47</v>
      </c>
    </row>
    <row r="3027" spans="3:6" x14ac:dyDescent="0.25">
      <c r="C3027" s="2" t="s">
        <v>8098</v>
      </c>
      <c r="D3027" s="2" t="s">
        <v>122</v>
      </c>
      <c r="E3027" s="2">
        <v>99</v>
      </c>
      <c r="F3027" s="2">
        <v>1864.129</v>
      </c>
    </row>
    <row r="3028" spans="3:6" x14ac:dyDescent="0.25">
      <c r="C3028" s="2" t="s">
        <v>8099</v>
      </c>
      <c r="D3028" s="2" t="s">
        <v>122</v>
      </c>
      <c r="E3028" s="2">
        <v>48</v>
      </c>
      <c r="F3028" s="2">
        <v>219.459</v>
      </c>
    </row>
    <row r="3029" spans="3:6" x14ac:dyDescent="0.25">
      <c r="C3029" s="2" t="s">
        <v>8100</v>
      </c>
      <c r="D3029" s="2" t="s">
        <v>122</v>
      </c>
      <c r="E3029" s="2">
        <v>81</v>
      </c>
      <c r="F3029" s="2">
        <v>369.957</v>
      </c>
    </row>
    <row r="3030" spans="3:6" x14ac:dyDescent="0.25">
      <c r="C3030" s="2" t="s">
        <v>8101</v>
      </c>
      <c r="D3030" s="2" t="s">
        <v>122</v>
      </c>
      <c r="E3030" s="2">
        <v>34</v>
      </c>
      <c r="F3030" s="2">
        <v>685.55</v>
      </c>
    </row>
    <row r="3031" spans="3:6" x14ac:dyDescent="0.25">
      <c r="C3031" s="2" t="s">
        <v>8102</v>
      </c>
      <c r="D3031" s="2" t="s">
        <v>122</v>
      </c>
      <c r="E3031" s="2">
        <v>60</v>
      </c>
      <c r="F3031" s="2">
        <v>1159.539</v>
      </c>
    </row>
    <row r="3032" spans="3:6" x14ac:dyDescent="0.25">
      <c r="C3032" s="2" t="s">
        <v>8103</v>
      </c>
      <c r="D3032" s="2" t="s">
        <v>122</v>
      </c>
      <c r="E3032" s="2">
        <v>40</v>
      </c>
      <c r="F3032" s="2">
        <v>798.49</v>
      </c>
    </row>
    <row r="3033" spans="3:6" x14ac:dyDescent="0.25">
      <c r="C3033" s="2" t="s">
        <v>8104</v>
      </c>
      <c r="D3033" s="2" t="s">
        <v>122</v>
      </c>
      <c r="E3033" s="2">
        <v>44</v>
      </c>
      <c r="F3033" s="2">
        <v>754.42</v>
      </c>
    </row>
    <row r="3034" spans="3:6" x14ac:dyDescent="0.25">
      <c r="C3034" s="2" t="s">
        <v>8105</v>
      </c>
      <c r="D3034" s="2" t="s">
        <v>122</v>
      </c>
      <c r="E3034" s="2">
        <v>78</v>
      </c>
      <c r="F3034" s="2">
        <v>1605.21</v>
      </c>
    </row>
    <row r="3035" spans="3:6" x14ac:dyDescent="0.25">
      <c r="C3035" s="2" t="s">
        <v>8106</v>
      </c>
      <c r="D3035" s="2" t="s">
        <v>122</v>
      </c>
      <c r="E3035" s="2">
        <v>34</v>
      </c>
      <c r="F3035" s="2">
        <v>659.2</v>
      </c>
    </row>
    <row r="3036" spans="3:6" x14ac:dyDescent="0.25">
      <c r="C3036" s="2" t="s">
        <v>8107</v>
      </c>
      <c r="D3036" s="2" t="s">
        <v>122</v>
      </c>
      <c r="E3036" s="2">
        <v>87</v>
      </c>
      <c r="F3036" s="2">
        <v>1811.16</v>
      </c>
    </row>
    <row r="3037" spans="3:6" x14ac:dyDescent="0.25">
      <c r="C3037" s="2" t="s">
        <v>8108</v>
      </c>
      <c r="D3037" s="2" t="s">
        <v>122</v>
      </c>
      <c r="E3037" s="2">
        <v>102</v>
      </c>
      <c r="F3037" s="2">
        <v>2119.64</v>
      </c>
    </row>
    <row r="3038" spans="3:6" x14ac:dyDescent="0.25">
      <c r="C3038" s="2" t="s">
        <v>8109</v>
      </c>
      <c r="D3038" s="2" t="s">
        <v>122</v>
      </c>
      <c r="E3038" s="2">
        <v>16</v>
      </c>
      <c r="F3038" s="2">
        <v>594.24</v>
      </c>
    </row>
    <row r="3039" spans="3:6" x14ac:dyDescent="0.25">
      <c r="C3039" s="2" t="s">
        <v>8110</v>
      </c>
      <c r="D3039" s="2" t="s">
        <v>122</v>
      </c>
      <c r="E3039" s="2">
        <v>44</v>
      </c>
      <c r="F3039" s="2">
        <v>861.143</v>
      </c>
    </row>
    <row r="3040" spans="3:6" x14ac:dyDescent="0.25">
      <c r="C3040" s="2" t="s">
        <v>8111</v>
      </c>
      <c r="D3040" s="2" t="s">
        <v>122</v>
      </c>
      <c r="E3040" s="2">
        <v>68</v>
      </c>
      <c r="F3040" s="2">
        <v>1153.919</v>
      </c>
    </row>
    <row r="3041" spans="3:6" x14ac:dyDescent="0.25">
      <c r="C3041" s="2" t="s">
        <v>8112</v>
      </c>
      <c r="D3041" s="2" t="s">
        <v>122</v>
      </c>
      <c r="E3041" s="2">
        <v>40</v>
      </c>
      <c r="F3041" s="2">
        <v>777.779</v>
      </c>
    </row>
    <row r="3042" spans="3:6" x14ac:dyDescent="0.25">
      <c r="C3042" s="2" t="s">
        <v>8113</v>
      </c>
      <c r="D3042" s="2" t="s">
        <v>122</v>
      </c>
      <c r="E3042" s="2">
        <v>141</v>
      </c>
      <c r="F3042" s="2">
        <v>2902.4</v>
      </c>
    </row>
    <row r="3043" spans="3:6" x14ac:dyDescent="0.25">
      <c r="C3043" s="2" t="s">
        <v>8114</v>
      </c>
      <c r="D3043" s="2" t="s">
        <v>122</v>
      </c>
      <c r="E3043" s="2">
        <v>121</v>
      </c>
      <c r="F3043" s="2">
        <v>2423.269</v>
      </c>
    </row>
    <row r="3044" spans="3:6" x14ac:dyDescent="0.25">
      <c r="C3044" s="2" t="s">
        <v>8115</v>
      </c>
      <c r="D3044" s="2" t="s">
        <v>122</v>
      </c>
      <c r="E3044" s="2">
        <v>141</v>
      </c>
      <c r="F3044" s="2">
        <v>2929.74</v>
      </c>
    </row>
    <row r="3045" spans="3:6" x14ac:dyDescent="0.25">
      <c r="C3045" s="2" t="s">
        <v>8116</v>
      </c>
      <c r="D3045" s="2" t="s">
        <v>122</v>
      </c>
      <c r="E3045" s="2">
        <v>141</v>
      </c>
      <c r="F3045" s="2">
        <v>2929.3</v>
      </c>
    </row>
    <row r="3046" spans="3:6" x14ac:dyDescent="0.25">
      <c r="C3046" s="2" t="s">
        <v>8117</v>
      </c>
      <c r="D3046" s="2" t="s">
        <v>122</v>
      </c>
      <c r="E3046" s="2">
        <v>141</v>
      </c>
      <c r="F3046" s="2">
        <v>2944.71</v>
      </c>
    </row>
    <row r="3047" spans="3:6" x14ac:dyDescent="0.25">
      <c r="C3047" s="2" t="s">
        <v>8118</v>
      </c>
      <c r="D3047" s="2" t="s">
        <v>122</v>
      </c>
      <c r="E3047" s="2">
        <v>141</v>
      </c>
      <c r="F3047" s="2">
        <v>2735.628</v>
      </c>
    </row>
    <row r="3048" spans="3:6" x14ac:dyDescent="0.25">
      <c r="C3048" s="2" t="s">
        <v>8119</v>
      </c>
      <c r="D3048" s="2" t="s">
        <v>122</v>
      </c>
      <c r="E3048" s="2">
        <v>141</v>
      </c>
      <c r="F3048" s="2">
        <v>2834.59</v>
      </c>
    </row>
    <row r="3049" spans="3:6" x14ac:dyDescent="0.25">
      <c r="C3049" s="2" t="s">
        <v>8120</v>
      </c>
      <c r="D3049" s="2" t="s">
        <v>122</v>
      </c>
      <c r="E3049" s="2">
        <v>141</v>
      </c>
      <c r="F3049" s="2">
        <v>2854.85</v>
      </c>
    </row>
    <row r="3050" spans="3:6" x14ac:dyDescent="0.25">
      <c r="C3050" s="2" t="s">
        <v>8121</v>
      </c>
      <c r="D3050" s="2" t="s">
        <v>122</v>
      </c>
      <c r="E3050" s="2">
        <v>98</v>
      </c>
      <c r="F3050" s="2">
        <v>1913.79</v>
      </c>
    </row>
    <row r="3051" spans="3:6" x14ac:dyDescent="0.25">
      <c r="C3051" s="2" t="s">
        <v>8122</v>
      </c>
      <c r="D3051" s="2" t="s">
        <v>122</v>
      </c>
      <c r="E3051" s="2">
        <v>43</v>
      </c>
      <c r="F3051" s="2">
        <v>872.11</v>
      </c>
    </row>
    <row r="3052" spans="3:6" x14ac:dyDescent="0.25">
      <c r="C3052" s="2" t="s">
        <v>8123</v>
      </c>
      <c r="D3052" s="2" t="s">
        <v>122</v>
      </c>
      <c r="E3052" s="2">
        <v>36</v>
      </c>
      <c r="F3052" s="2">
        <v>721.45</v>
      </c>
    </row>
    <row r="3053" spans="3:6" x14ac:dyDescent="0.25">
      <c r="C3053" s="2" t="s">
        <v>8124</v>
      </c>
      <c r="D3053" s="2" t="s">
        <v>122</v>
      </c>
      <c r="E3053" s="2">
        <v>30</v>
      </c>
      <c r="F3053" s="2">
        <v>604.26</v>
      </c>
    </row>
    <row r="3054" spans="3:6" x14ac:dyDescent="0.25">
      <c r="C3054" s="2" t="s">
        <v>8125</v>
      </c>
      <c r="D3054" s="2" t="s">
        <v>122</v>
      </c>
      <c r="E3054" s="2">
        <v>58</v>
      </c>
      <c r="F3054" s="2">
        <v>1178.35</v>
      </c>
    </row>
    <row r="3055" spans="3:6" x14ac:dyDescent="0.25">
      <c r="C3055" s="2" t="s">
        <v>8126</v>
      </c>
      <c r="D3055" s="2" t="s">
        <v>122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40</v>
      </c>
      <c r="C3057" s="2" t="s">
        <v>8127</v>
      </c>
      <c r="D3057" s="2" t="s">
        <v>42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8128</v>
      </c>
      <c r="D3058" s="2" t="s">
        <v>42</v>
      </c>
      <c r="E3058" s="2">
        <v>44</v>
      </c>
      <c r="F3058" s="2">
        <v>859.579</v>
      </c>
    </row>
    <row r="3059" spans="3:6" x14ac:dyDescent="0.25">
      <c r="C3059" s="2" t="s">
        <v>8129</v>
      </c>
      <c r="D3059" s="2" t="s">
        <v>42</v>
      </c>
      <c r="E3059" s="2">
        <v>46</v>
      </c>
      <c r="F3059" s="2">
        <v>917.74</v>
      </c>
    </row>
    <row r="3060" spans="3:6" x14ac:dyDescent="0.25">
      <c r="C3060" s="2" t="s">
        <v>8130</v>
      </c>
      <c r="D3060" s="2" t="s">
        <v>42</v>
      </c>
      <c r="E3060" s="2">
        <v>108</v>
      </c>
      <c r="F3060" s="2">
        <v>2164.55</v>
      </c>
    </row>
    <row r="3061" spans="3:6" x14ac:dyDescent="0.25">
      <c r="C3061" s="2" t="s">
        <v>8131</v>
      </c>
      <c r="D3061" s="2" t="s">
        <v>42</v>
      </c>
      <c r="E3061" s="2">
        <v>15</v>
      </c>
      <c r="F3061" s="2">
        <v>320</v>
      </c>
    </row>
    <row r="3062" spans="3:6" x14ac:dyDescent="0.25">
      <c r="C3062" s="2" t="s">
        <v>8132</v>
      </c>
      <c r="D3062" s="2" t="s">
        <v>42</v>
      </c>
      <c r="E3062" s="2">
        <v>123</v>
      </c>
      <c r="F3062" s="2">
        <v>2411.43</v>
      </c>
    </row>
    <row r="3063" spans="3:6" x14ac:dyDescent="0.25">
      <c r="C3063" s="2" t="s">
        <v>8133</v>
      </c>
      <c r="D3063" s="2" t="s">
        <v>42</v>
      </c>
      <c r="E3063" s="2">
        <v>124</v>
      </c>
      <c r="F3063" s="2">
        <v>2354.07</v>
      </c>
    </row>
    <row r="3064" spans="3:6" x14ac:dyDescent="0.25">
      <c r="C3064" s="2" t="s">
        <v>8134</v>
      </c>
      <c r="D3064" s="2" t="s">
        <v>42</v>
      </c>
      <c r="E3064" s="2">
        <v>142</v>
      </c>
      <c r="F3064" s="2">
        <v>2647.279</v>
      </c>
    </row>
    <row r="3065" spans="3:6" x14ac:dyDescent="0.25">
      <c r="C3065" s="2" t="s">
        <v>8135</v>
      </c>
      <c r="D3065" s="2" t="s">
        <v>42</v>
      </c>
      <c r="E3065" s="2">
        <v>100</v>
      </c>
      <c r="F3065" s="2">
        <v>1991.03</v>
      </c>
    </row>
    <row r="3066" spans="3:6" x14ac:dyDescent="0.25">
      <c r="C3066" s="2" t="s">
        <v>8136</v>
      </c>
      <c r="D3066" s="2" t="s">
        <v>42</v>
      </c>
      <c r="E3066" s="2">
        <v>20</v>
      </c>
      <c r="F3066" s="2">
        <v>362.55</v>
      </c>
    </row>
    <row r="3067" spans="3:6" x14ac:dyDescent="0.25">
      <c r="C3067" s="2" t="s">
        <v>8137</v>
      </c>
      <c r="D3067" s="2" t="s">
        <v>42</v>
      </c>
      <c r="E3067" s="2">
        <v>21</v>
      </c>
      <c r="F3067" s="2">
        <v>415.34</v>
      </c>
    </row>
    <row r="3068" spans="3:6" x14ac:dyDescent="0.25">
      <c r="C3068" s="2" t="s">
        <v>8138</v>
      </c>
      <c r="D3068" s="2" t="s">
        <v>42</v>
      </c>
      <c r="E3068" s="2">
        <v>50</v>
      </c>
      <c r="F3068" s="2">
        <v>240.89</v>
      </c>
    </row>
    <row r="3069" spans="3:6" x14ac:dyDescent="0.25">
      <c r="C3069" s="2" t="s">
        <v>8139</v>
      </c>
      <c r="D3069" s="2" t="s">
        <v>42</v>
      </c>
      <c r="E3069" s="2">
        <v>141</v>
      </c>
      <c r="F3069" s="2">
        <v>3080.97</v>
      </c>
    </row>
    <row r="3070" spans="3:6" x14ac:dyDescent="0.25">
      <c r="C3070" s="2" t="s">
        <v>8140</v>
      </c>
      <c r="D3070" s="2" t="s">
        <v>42</v>
      </c>
      <c r="E3070" s="2">
        <v>141</v>
      </c>
      <c r="F3070" s="2">
        <v>3066.83</v>
      </c>
    </row>
    <row r="3071" spans="3:6" x14ac:dyDescent="0.25">
      <c r="C3071" s="2" t="s">
        <v>8141</v>
      </c>
      <c r="D3071" s="2" t="s">
        <v>42</v>
      </c>
      <c r="E3071" s="2">
        <v>141</v>
      </c>
      <c r="F3071" s="2">
        <v>2785.22</v>
      </c>
    </row>
    <row r="3072" spans="3:6" x14ac:dyDescent="0.25">
      <c r="C3072" s="2" t="s">
        <v>8142</v>
      </c>
      <c r="D3072" s="2" t="s">
        <v>42</v>
      </c>
      <c r="E3072" s="2">
        <v>141</v>
      </c>
      <c r="F3072" s="2">
        <v>2677.609</v>
      </c>
    </row>
    <row r="3073" spans="3:6" x14ac:dyDescent="0.25">
      <c r="C3073" s="2" t="s">
        <v>8143</v>
      </c>
      <c r="D3073" s="2" t="s">
        <v>42</v>
      </c>
      <c r="E3073" s="2">
        <v>60</v>
      </c>
      <c r="F3073" s="2">
        <v>294.68</v>
      </c>
    </row>
    <row r="3074" spans="3:6" x14ac:dyDescent="0.25">
      <c r="C3074" s="2" t="s">
        <v>8144</v>
      </c>
      <c r="D3074" s="2" t="s">
        <v>42</v>
      </c>
      <c r="E3074" s="2">
        <v>141</v>
      </c>
      <c r="F3074" s="2">
        <v>2775.11</v>
      </c>
    </row>
    <row r="3075" spans="3:6" x14ac:dyDescent="0.25">
      <c r="C3075" s="2" t="s">
        <v>8145</v>
      </c>
      <c r="D3075" s="2" t="s">
        <v>42</v>
      </c>
      <c r="E3075" s="2">
        <v>86</v>
      </c>
      <c r="F3075" s="2">
        <v>1871.66</v>
      </c>
    </row>
    <row r="3076" spans="3:6" x14ac:dyDescent="0.25">
      <c r="C3076" s="2" t="s">
        <v>8146</v>
      </c>
      <c r="D3076" s="2" t="s">
        <v>42</v>
      </c>
      <c r="E3076" s="2">
        <v>55</v>
      </c>
      <c r="F3076" s="2">
        <v>1073.189</v>
      </c>
    </row>
    <row r="3077" spans="3:6" x14ac:dyDescent="0.25">
      <c r="C3077" s="2" t="s">
        <v>8147</v>
      </c>
      <c r="D3077" s="2" t="s">
        <v>42</v>
      </c>
      <c r="E3077" s="2">
        <v>51</v>
      </c>
      <c r="F3077" s="2">
        <v>1058.65</v>
      </c>
    </row>
    <row r="3078" spans="3:6" x14ac:dyDescent="0.25">
      <c r="C3078" s="2" t="s">
        <v>8148</v>
      </c>
      <c r="D3078" s="2" t="s">
        <v>42</v>
      </c>
      <c r="E3078" s="2">
        <v>40</v>
      </c>
      <c r="F3078" s="2">
        <v>818.93</v>
      </c>
    </row>
    <row r="3079" spans="3:6" x14ac:dyDescent="0.25">
      <c r="C3079" s="2" t="s">
        <v>8149</v>
      </c>
      <c r="D3079" s="2" t="s">
        <v>42</v>
      </c>
      <c r="E3079" s="2">
        <v>49</v>
      </c>
      <c r="F3079" s="2">
        <v>1014.77</v>
      </c>
    </row>
    <row r="3080" spans="3:6" x14ac:dyDescent="0.25">
      <c r="C3080" s="2" t="s">
        <v>8150</v>
      </c>
      <c r="D3080" s="2" t="s">
        <v>42</v>
      </c>
      <c r="E3080" s="2">
        <v>79</v>
      </c>
      <c r="F3080" s="2">
        <v>1474.19</v>
      </c>
    </row>
    <row r="3081" spans="3:6" x14ac:dyDescent="0.25">
      <c r="C3081" s="2" t="s">
        <v>8151</v>
      </c>
      <c r="D3081" s="2" t="s">
        <v>42</v>
      </c>
      <c r="E3081" s="2">
        <v>45</v>
      </c>
      <c r="F3081" s="2">
        <v>897.88</v>
      </c>
    </row>
    <row r="3082" spans="3:6" x14ac:dyDescent="0.25">
      <c r="C3082" s="2" t="s">
        <v>8152</v>
      </c>
      <c r="D3082" s="2" t="s">
        <v>42</v>
      </c>
      <c r="E3082" s="2">
        <v>17</v>
      </c>
      <c r="F3082" s="2">
        <v>362.61</v>
      </c>
    </row>
    <row r="3083" spans="3:6" x14ac:dyDescent="0.25">
      <c r="C3083" s="2" t="s">
        <v>8153</v>
      </c>
      <c r="D3083" s="2" t="s">
        <v>42</v>
      </c>
      <c r="E3083" s="2">
        <v>60</v>
      </c>
      <c r="F3083" s="2">
        <v>287.77</v>
      </c>
    </row>
    <row r="3084" spans="3:6" x14ac:dyDescent="0.25">
      <c r="C3084" s="2" t="s">
        <v>8154</v>
      </c>
      <c r="D3084" s="2" t="s">
        <v>42</v>
      </c>
      <c r="E3084" s="2">
        <v>93</v>
      </c>
      <c r="F3084" s="2">
        <v>1835.84</v>
      </c>
    </row>
    <row r="3085" spans="3:6" x14ac:dyDescent="0.25">
      <c r="C3085" s="2" t="s">
        <v>8155</v>
      </c>
      <c r="D3085" s="2" t="s">
        <v>42</v>
      </c>
      <c r="E3085" s="2">
        <v>41</v>
      </c>
      <c r="F3085" s="2">
        <v>757.42</v>
      </c>
    </row>
    <row r="3086" spans="3:6" x14ac:dyDescent="0.25">
      <c r="C3086" s="2" t="s">
        <v>8156</v>
      </c>
      <c r="D3086" s="2" t="s">
        <v>42</v>
      </c>
      <c r="E3086" s="2">
        <v>35</v>
      </c>
      <c r="F3086" s="2">
        <v>622.21</v>
      </c>
    </row>
    <row r="3087" spans="3:6" x14ac:dyDescent="0.25">
      <c r="C3087" s="2" t="s">
        <v>8157</v>
      </c>
      <c r="D3087" s="2" t="s">
        <v>42</v>
      </c>
      <c r="E3087" s="2">
        <v>65</v>
      </c>
      <c r="F3087" s="2">
        <v>1232.09</v>
      </c>
    </row>
    <row r="3088" spans="3:6" x14ac:dyDescent="0.25">
      <c r="C3088" s="2" t="s">
        <v>8158</v>
      </c>
      <c r="D3088" s="2" t="s">
        <v>42</v>
      </c>
      <c r="E3088" s="2">
        <v>11</v>
      </c>
      <c r="F3088" s="2">
        <v>110.06</v>
      </c>
    </row>
    <row r="3089" spans="3:6" x14ac:dyDescent="0.25">
      <c r="C3089" s="2" t="s">
        <v>8159</v>
      </c>
      <c r="D3089" s="2" t="s">
        <v>42</v>
      </c>
      <c r="E3089" s="2">
        <v>36</v>
      </c>
      <c r="F3089" s="2">
        <v>707.4</v>
      </c>
    </row>
    <row r="3090" spans="3:6" x14ac:dyDescent="0.25">
      <c r="C3090" s="2" t="s">
        <v>8160</v>
      </c>
      <c r="D3090" s="2" t="s">
        <v>42</v>
      </c>
      <c r="E3090" s="2">
        <v>13</v>
      </c>
      <c r="F3090" s="2">
        <v>193.35</v>
      </c>
    </row>
    <row r="3091" spans="3:6" x14ac:dyDescent="0.25">
      <c r="C3091" s="2" t="s">
        <v>8161</v>
      </c>
      <c r="D3091" s="2" t="s">
        <v>42</v>
      </c>
      <c r="E3091" s="2">
        <v>43</v>
      </c>
      <c r="F3091" s="2">
        <v>748.23</v>
      </c>
    </row>
    <row r="3092" spans="3:6" x14ac:dyDescent="0.25">
      <c r="C3092" s="2" t="s">
        <v>8162</v>
      </c>
      <c r="D3092" s="2" t="s">
        <v>42</v>
      </c>
      <c r="E3092" s="2">
        <v>100</v>
      </c>
      <c r="F3092" s="2">
        <v>1829.539</v>
      </c>
    </row>
    <row r="3093" spans="3:6" x14ac:dyDescent="0.25">
      <c r="C3093" s="2" t="s">
        <v>8163</v>
      </c>
      <c r="D3093" s="2" t="s">
        <v>42</v>
      </c>
      <c r="E3093" s="2">
        <v>43</v>
      </c>
      <c r="F3093" s="2">
        <v>841.68</v>
      </c>
    </row>
    <row r="3094" spans="3:6" x14ac:dyDescent="0.25">
      <c r="C3094" s="2" t="s">
        <v>8164</v>
      </c>
      <c r="D3094" s="2" t="s">
        <v>42</v>
      </c>
      <c r="E3094" s="2">
        <v>36</v>
      </c>
      <c r="F3094" s="2">
        <v>553.44</v>
      </c>
    </row>
    <row r="3095" spans="3:6" x14ac:dyDescent="0.25">
      <c r="C3095" s="2" t="s">
        <v>8165</v>
      </c>
      <c r="D3095" s="2" t="s">
        <v>42</v>
      </c>
      <c r="E3095" s="2">
        <v>21</v>
      </c>
      <c r="F3095" s="2">
        <v>381.867</v>
      </c>
    </row>
    <row r="3096" spans="3:6" x14ac:dyDescent="0.25">
      <c r="C3096" s="2" t="s">
        <v>8166</v>
      </c>
      <c r="D3096" s="2" t="s">
        <v>42</v>
      </c>
      <c r="E3096" s="2">
        <v>10</v>
      </c>
      <c r="F3096" s="2">
        <v>191.46</v>
      </c>
    </row>
    <row r="3097" spans="3:6" x14ac:dyDescent="0.25">
      <c r="C3097" s="2" t="s">
        <v>8167</v>
      </c>
      <c r="D3097" s="2" t="s">
        <v>42</v>
      </c>
      <c r="E3097" s="2">
        <v>65</v>
      </c>
      <c r="F3097" s="2">
        <v>1222.24</v>
      </c>
    </row>
    <row r="3098" spans="3:6" x14ac:dyDescent="0.25">
      <c r="C3098" s="2" t="s">
        <v>8168</v>
      </c>
      <c r="D3098" s="2" t="s">
        <v>42</v>
      </c>
      <c r="E3098" s="2">
        <v>43</v>
      </c>
      <c r="F3098" s="2">
        <v>864.01</v>
      </c>
    </row>
    <row r="3099" spans="3:6" x14ac:dyDescent="0.25">
      <c r="C3099" s="2" t="s">
        <v>8169</v>
      </c>
      <c r="D3099" s="2" t="s">
        <v>42</v>
      </c>
      <c r="E3099" s="2">
        <v>61</v>
      </c>
      <c r="F3099" s="2">
        <v>1026.62</v>
      </c>
    </row>
    <row r="3100" spans="3:6" x14ac:dyDescent="0.25">
      <c r="C3100" s="2" t="s">
        <v>8170</v>
      </c>
      <c r="D3100" s="2" t="s">
        <v>42</v>
      </c>
      <c r="E3100" s="2">
        <v>21</v>
      </c>
      <c r="F3100" s="2">
        <v>394.12</v>
      </c>
    </row>
    <row r="3101" spans="3:6" x14ac:dyDescent="0.25">
      <c r="C3101" s="2" t="s">
        <v>8171</v>
      </c>
      <c r="D3101" s="2" t="s">
        <v>42</v>
      </c>
      <c r="E3101" s="2">
        <v>16</v>
      </c>
      <c r="F3101" s="2">
        <v>299.74</v>
      </c>
    </row>
    <row r="3102" spans="3:6" x14ac:dyDescent="0.25">
      <c r="C3102" s="2" t="s">
        <v>8172</v>
      </c>
      <c r="D3102" s="2" t="s">
        <v>42</v>
      </c>
      <c r="E3102" s="2">
        <v>54</v>
      </c>
      <c r="F3102" s="2">
        <v>1046.86</v>
      </c>
    </row>
    <row r="3103" spans="3:6" x14ac:dyDescent="0.25">
      <c r="C3103" s="2" t="s">
        <v>8173</v>
      </c>
      <c r="D3103" s="2" t="s">
        <v>42</v>
      </c>
      <c r="E3103" s="2">
        <v>23</v>
      </c>
      <c r="F3103" s="2">
        <v>398.74</v>
      </c>
    </row>
    <row r="3104" spans="3:6" x14ac:dyDescent="0.25">
      <c r="C3104" s="2" t="s">
        <v>8174</v>
      </c>
      <c r="D3104" s="2" t="s">
        <v>42</v>
      </c>
      <c r="E3104" s="2">
        <v>39</v>
      </c>
      <c r="F3104" s="2">
        <v>746.53</v>
      </c>
    </row>
    <row r="3105" spans="3:6" x14ac:dyDescent="0.25">
      <c r="C3105" s="2" t="s">
        <v>8175</v>
      </c>
      <c r="D3105" s="2" t="s">
        <v>42</v>
      </c>
      <c r="E3105" s="2">
        <v>25</v>
      </c>
      <c r="F3105" s="2">
        <v>578.54</v>
      </c>
    </row>
    <row r="3106" spans="3:6" x14ac:dyDescent="0.25">
      <c r="C3106" s="2" t="s">
        <v>8176</v>
      </c>
      <c r="D3106" s="2" t="s">
        <v>42</v>
      </c>
      <c r="E3106" s="2">
        <v>53</v>
      </c>
      <c r="F3106" s="2">
        <v>1127.46</v>
      </c>
    </row>
    <row r="3107" spans="3:6" x14ac:dyDescent="0.25">
      <c r="C3107" s="2" t="s">
        <v>8177</v>
      </c>
      <c r="D3107" s="2" t="s">
        <v>42</v>
      </c>
      <c r="E3107" s="2">
        <v>20</v>
      </c>
      <c r="F3107" s="2">
        <v>341.71</v>
      </c>
    </row>
    <row r="3108" spans="3:6" x14ac:dyDescent="0.25">
      <c r="C3108" s="2" t="s">
        <v>8178</v>
      </c>
      <c r="D3108" s="2" t="s">
        <v>42</v>
      </c>
      <c r="E3108" s="2">
        <v>20</v>
      </c>
      <c r="F3108" s="2">
        <v>327.71</v>
      </c>
    </row>
    <row r="3109" spans="3:6" x14ac:dyDescent="0.25">
      <c r="C3109" s="2" t="s">
        <v>8179</v>
      </c>
      <c r="D3109" s="2" t="s">
        <v>42</v>
      </c>
      <c r="E3109" s="2">
        <v>7</v>
      </c>
      <c r="F3109" s="2">
        <v>128.82</v>
      </c>
    </row>
    <row r="3110" spans="3:6" x14ac:dyDescent="0.25">
      <c r="C3110" s="2" t="s">
        <v>8180</v>
      </c>
      <c r="D3110" s="2" t="s">
        <v>42</v>
      </c>
      <c r="E3110" s="2">
        <v>42</v>
      </c>
      <c r="F3110" s="2">
        <v>781.009</v>
      </c>
    </row>
    <row r="3111" spans="3:6" x14ac:dyDescent="0.25">
      <c r="C3111" s="2" t="s">
        <v>8181</v>
      </c>
      <c r="D3111" s="2" t="s">
        <v>42</v>
      </c>
      <c r="E3111" s="2">
        <v>58</v>
      </c>
      <c r="F3111" s="2">
        <v>1039.679</v>
      </c>
    </row>
    <row r="3112" spans="3:6" x14ac:dyDescent="0.25">
      <c r="C3112" s="2" t="s">
        <v>8182</v>
      </c>
      <c r="D3112" s="2" t="s">
        <v>42</v>
      </c>
      <c r="E3112" s="2">
        <v>28</v>
      </c>
      <c r="F3112" s="2">
        <v>521.39</v>
      </c>
    </row>
    <row r="3113" spans="3:6" x14ac:dyDescent="0.25">
      <c r="C3113" s="2" t="s">
        <v>8183</v>
      </c>
      <c r="D3113" s="2" t="s">
        <v>42</v>
      </c>
      <c r="E3113" s="2">
        <v>35</v>
      </c>
      <c r="F3113" s="2">
        <v>653.99</v>
      </c>
    </row>
    <row r="3114" spans="3:6" x14ac:dyDescent="0.25">
      <c r="C3114" s="2" t="s">
        <v>8184</v>
      </c>
      <c r="D3114" s="2" t="s">
        <v>42</v>
      </c>
      <c r="E3114" s="2">
        <v>28</v>
      </c>
      <c r="F3114" s="2">
        <v>529.04</v>
      </c>
    </row>
    <row r="3115" spans="3:6" x14ac:dyDescent="0.25">
      <c r="C3115" s="2" t="s">
        <v>8185</v>
      </c>
      <c r="D3115" s="2" t="s">
        <v>42</v>
      </c>
      <c r="E3115" s="2">
        <v>9</v>
      </c>
      <c r="F3115" s="2">
        <v>179.12</v>
      </c>
    </row>
    <row r="3116" spans="3:6" x14ac:dyDescent="0.25">
      <c r="C3116" s="2" t="s">
        <v>8186</v>
      </c>
      <c r="D3116" s="2" t="s">
        <v>42</v>
      </c>
      <c r="E3116" s="2">
        <v>103</v>
      </c>
      <c r="F3116" s="2">
        <v>1634</v>
      </c>
    </row>
    <row r="3117" spans="3:6" x14ac:dyDescent="0.25">
      <c r="C3117" s="2" t="s">
        <v>8187</v>
      </c>
      <c r="D3117" s="2" t="s">
        <v>42</v>
      </c>
      <c r="E3117" s="2">
        <v>63</v>
      </c>
      <c r="F3117" s="2">
        <v>1514</v>
      </c>
    </row>
    <row r="3118" spans="3:6" x14ac:dyDescent="0.25">
      <c r="C3118" s="2" t="s">
        <v>8188</v>
      </c>
      <c r="D3118" s="2" t="s">
        <v>42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90</v>
      </c>
      <c r="C3120" s="2" t="s">
        <v>8189</v>
      </c>
      <c r="D3120" s="2" t="s">
        <v>9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8190</v>
      </c>
      <c r="D3121" s="2" t="s">
        <v>9</v>
      </c>
      <c r="E3121" s="2">
        <v>116</v>
      </c>
      <c r="F3121" s="2">
        <v>2337.058</v>
      </c>
    </row>
    <row r="3122" spans="3:6" x14ac:dyDescent="0.25">
      <c r="C3122" s="2" t="s">
        <v>8191</v>
      </c>
      <c r="D3122" s="2" t="s">
        <v>9</v>
      </c>
      <c r="E3122" s="2">
        <v>115</v>
      </c>
      <c r="F3122" s="2">
        <v>2345.929</v>
      </c>
    </row>
    <row r="3123" spans="3:6" x14ac:dyDescent="0.25">
      <c r="C3123" s="2" t="s">
        <v>8192</v>
      </c>
      <c r="D3123" s="2" t="s">
        <v>9</v>
      </c>
      <c r="E3123" s="2">
        <v>103</v>
      </c>
      <c r="F3123" s="2">
        <v>2091.019</v>
      </c>
    </row>
    <row r="3124" spans="3:6" x14ac:dyDescent="0.25">
      <c r="C3124" s="2" t="s">
        <v>8193</v>
      </c>
      <c r="D3124" s="2" t="s">
        <v>9</v>
      </c>
      <c r="E3124" s="2">
        <v>105</v>
      </c>
      <c r="F3124" s="2">
        <v>418.909</v>
      </c>
    </row>
    <row r="3125" spans="3:6" x14ac:dyDescent="0.25">
      <c r="C3125" s="2" t="s">
        <v>8194</v>
      </c>
      <c r="D3125" s="2" t="s">
        <v>9</v>
      </c>
      <c r="E3125" s="2">
        <v>141</v>
      </c>
      <c r="F3125" s="2">
        <v>2925.57</v>
      </c>
    </row>
    <row r="3126" spans="3:6" x14ac:dyDescent="0.25">
      <c r="C3126" s="2" t="s">
        <v>8195</v>
      </c>
      <c r="D3126" s="2" t="s">
        <v>9</v>
      </c>
      <c r="E3126" s="2">
        <v>141</v>
      </c>
      <c r="F3126" s="2">
        <v>2935.73</v>
      </c>
    </row>
    <row r="3127" spans="3:6" x14ac:dyDescent="0.25">
      <c r="C3127" s="2" t="s">
        <v>8196</v>
      </c>
      <c r="D3127" s="2" t="s">
        <v>9</v>
      </c>
      <c r="E3127" s="2">
        <v>123</v>
      </c>
      <c r="F3127" s="2">
        <v>2464.81</v>
      </c>
    </row>
    <row r="3128" spans="3:6" x14ac:dyDescent="0.25">
      <c r="C3128" s="2" t="s">
        <v>8197</v>
      </c>
      <c r="D3128" s="2" t="s">
        <v>9</v>
      </c>
      <c r="E3128" s="2">
        <v>124</v>
      </c>
      <c r="F3128" s="2">
        <v>2342.859</v>
      </c>
    </row>
    <row r="3129" spans="3:6" x14ac:dyDescent="0.25">
      <c r="C3129" s="2" t="s">
        <v>8198</v>
      </c>
      <c r="D3129" s="2" t="s">
        <v>9</v>
      </c>
      <c r="E3129" s="2">
        <v>141</v>
      </c>
      <c r="F3129" s="2">
        <v>2837.53</v>
      </c>
    </row>
    <row r="3130" spans="3:6" x14ac:dyDescent="0.25">
      <c r="C3130" s="2" t="s">
        <v>8199</v>
      </c>
      <c r="D3130" s="2" t="s">
        <v>9</v>
      </c>
      <c r="E3130" s="2">
        <v>141</v>
      </c>
      <c r="F3130" s="2">
        <v>2844.29</v>
      </c>
    </row>
    <row r="3131" spans="3:6" x14ac:dyDescent="0.25">
      <c r="C3131" s="2" t="s">
        <v>8200</v>
      </c>
      <c r="D3131" s="2" t="s">
        <v>9</v>
      </c>
      <c r="E3131" s="2">
        <v>141</v>
      </c>
      <c r="F3131" s="2">
        <v>2915.61</v>
      </c>
    </row>
    <row r="3132" spans="3:6" x14ac:dyDescent="0.25">
      <c r="C3132" s="2" t="s">
        <v>8201</v>
      </c>
      <c r="D3132" s="2" t="s">
        <v>9</v>
      </c>
      <c r="E3132" s="2">
        <v>141</v>
      </c>
      <c r="F3132" s="2">
        <v>2749.1</v>
      </c>
    </row>
    <row r="3133" spans="3:6" x14ac:dyDescent="0.25">
      <c r="C3133" s="2" t="s">
        <v>8202</v>
      </c>
      <c r="D3133" s="2" t="s">
        <v>9</v>
      </c>
      <c r="E3133" s="2">
        <v>141</v>
      </c>
      <c r="F3133" s="2">
        <v>2845.96</v>
      </c>
    </row>
    <row r="3134" spans="3:6" x14ac:dyDescent="0.25">
      <c r="C3134" s="2" t="s">
        <v>8203</v>
      </c>
      <c r="D3134" s="2" t="s">
        <v>9</v>
      </c>
      <c r="E3134" s="2">
        <v>102</v>
      </c>
      <c r="F3134" s="2">
        <v>2071.66</v>
      </c>
    </row>
    <row r="3135" spans="3:6" x14ac:dyDescent="0.25">
      <c r="C3135" s="2" t="s">
        <v>8204</v>
      </c>
      <c r="D3135" s="2" t="s">
        <v>9</v>
      </c>
      <c r="E3135" s="2">
        <v>41</v>
      </c>
      <c r="F3135" s="2">
        <v>164.8</v>
      </c>
    </row>
    <row r="3136" spans="3:6" x14ac:dyDescent="0.25">
      <c r="C3136" s="2" t="s">
        <v>8205</v>
      </c>
      <c r="D3136" s="2" t="s">
        <v>9</v>
      </c>
      <c r="E3136" s="2">
        <v>146</v>
      </c>
      <c r="F3136" s="2">
        <v>2785.34</v>
      </c>
    </row>
    <row r="3137" spans="3:6" x14ac:dyDescent="0.25">
      <c r="C3137" s="2" t="s">
        <v>8206</v>
      </c>
      <c r="D3137" s="2" t="s">
        <v>9</v>
      </c>
      <c r="E3137" s="2">
        <v>142</v>
      </c>
      <c r="F3137" s="2">
        <v>2782.34</v>
      </c>
    </row>
    <row r="3138" spans="3:6" x14ac:dyDescent="0.25">
      <c r="C3138" s="2" t="s">
        <v>8207</v>
      </c>
      <c r="D3138" s="2" t="s">
        <v>9</v>
      </c>
      <c r="E3138" s="2">
        <v>141</v>
      </c>
      <c r="F3138" s="2">
        <v>2882.84</v>
      </c>
    </row>
    <row r="3139" spans="3:6" x14ac:dyDescent="0.25">
      <c r="C3139" s="2" t="s">
        <v>8208</v>
      </c>
      <c r="D3139" s="2" t="s">
        <v>9</v>
      </c>
      <c r="E3139" s="2">
        <v>91</v>
      </c>
      <c r="F3139" s="2">
        <v>1845.91</v>
      </c>
    </row>
    <row r="3140" spans="3:6" x14ac:dyDescent="0.25">
      <c r="C3140" s="2" t="s">
        <v>8209</v>
      </c>
      <c r="D3140" s="2" t="s">
        <v>9</v>
      </c>
      <c r="E3140" s="2">
        <v>51</v>
      </c>
      <c r="F3140" s="2">
        <v>939.71</v>
      </c>
    </row>
    <row r="3141" spans="3:6" x14ac:dyDescent="0.25">
      <c r="C3141" s="2" t="s">
        <v>8210</v>
      </c>
      <c r="D3141" s="2" t="s">
        <v>9</v>
      </c>
      <c r="E3141" s="2">
        <v>82</v>
      </c>
      <c r="F3141" s="2">
        <v>1649.63</v>
      </c>
    </row>
    <row r="3142" spans="3:6" x14ac:dyDescent="0.25">
      <c r="C3142" s="2" t="s">
        <v>8211</v>
      </c>
      <c r="D3142" s="2" t="s">
        <v>9</v>
      </c>
      <c r="E3142" s="2">
        <v>51</v>
      </c>
      <c r="F3142" s="2">
        <v>1046.51</v>
      </c>
    </row>
    <row r="3143" spans="3:6" x14ac:dyDescent="0.25">
      <c r="C3143" s="2" t="s">
        <v>8212</v>
      </c>
      <c r="D3143" s="2" t="s">
        <v>9</v>
      </c>
      <c r="E3143" s="2">
        <v>102</v>
      </c>
      <c r="F3143" s="2">
        <v>2117.72</v>
      </c>
    </row>
    <row r="3144" spans="3:6" x14ac:dyDescent="0.25">
      <c r="C3144" s="2" t="s">
        <v>8213</v>
      </c>
      <c r="D3144" s="2" t="s">
        <v>9</v>
      </c>
      <c r="E3144" s="2">
        <v>142</v>
      </c>
      <c r="F3144" s="2">
        <v>2806.378</v>
      </c>
    </row>
    <row r="3145" spans="3:6" x14ac:dyDescent="0.25">
      <c r="C3145" s="2" t="s">
        <v>8214</v>
      </c>
      <c r="D3145" s="2" t="s">
        <v>9</v>
      </c>
      <c r="E3145" s="2">
        <v>38</v>
      </c>
      <c r="F3145" s="2">
        <v>784.39</v>
      </c>
    </row>
    <row r="3146" spans="3:6" x14ac:dyDescent="0.25">
      <c r="C3146" s="2" t="s">
        <v>8215</v>
      </c>
      <c r="D3146" s="2" t="s">
        <v>9</v>
      </c>
      <c r="E3146" s="2">
        <v>62</v>
      </c>
      <c r="F3146" s="2">
        <v>1208.64</v>
      </c>
    </row>
    <row r="3147" spans="3:6" x14ac:dyDescent="0.25">
      <c r="C3147" s="2" t="s">
        <v>8216</v>
      </c>
      <c r="D3147" s="2" t="s">
        <v>9</v>
      </c>
      <c r="E3147" s="2">
        <v>41</v>
      </c>
      <c r="F3147" s="2">
        <v>824.56</v>
      </c>
    </row>
    <row r="3148" spans="3:6" x14ac:dyDescent="0.25">
      <c r="C3148" s="2" t="s">
        <v>8217</v>
      </c>
      <c r="D3148" s="2" t="s">
        <v>9</v>
      </c>
      <c r="E3148" s="2">
        <v>141</v>
      </c>
      <c r="F3148" s="2">
        <v>2799.238</v>
      </c>
    </row>
    <row r="3149" spans="3:6" x14ac:dyDescent="0.25">
      <c r="C3149" s="2" t="s">
        <v>8218</v>
      </c>
      <c r="D3149" s="2" t="s">
        <v>9</v>
      </c>
      <c r="E3149" s="2">
        <v>141</v>
      </c>
      <c r="F3149" s="2">
        <v>2445.19</v>
      </c>
    </row>
    <row r="3150" spans="3:6" x14ac:dyDescent="0.25">
      <c r="C3150" s="2" t="s">
        <v>8219</v>
      </c>
      <c r="D3150" s="2" t="s">
        <v>9</v>
      </c>
      <c r="E3150" s="2">
        <v>38</v>
      </c>
      <c r="F3150" s="2">
        <v>718.03</v>
      </c>
    </row>
    <row r="3151" spans="3:6" x14ac:dyDescent="0.25">
      <c r="C3151" s="2" t="s">
        <v>8220</v>
      </c>
      <c r="D3151" s="2" t="s">
        <v>9</v>
      </c>
      <c r="E3151" s="2">
        <v>94</v>
      </c>
      <c r="F3151" s="2">
        <v>1901.76</v>
      </c>
    </row>
    <row r="3152" spans="3:6" x14ac:dyDescent="0.25">
      <c r="C3152" s="2" t="s">
        <v>8221</v>
      </c>
      <c r="D3152" s="2" t="s">
        <v>9</v>
      </c>
      <c r="E3152" s="2">
        <v>9</v>
      </c>
      <c r="F3152" s="2">
        <v>164.64</v>
      </c>
    </row>
    <row r="3153" spans="3:6" x14ac:dyDescent="0.25">
      <c r="C3153" s="2" t="s">
        <v>8222</v>
      </c>
      <c r="D3153" s="2" t="s">
        <v>9</v>
      </c>
      <c r="E3153" s="2">
        <v>102</v>
      </c>
      <c r="F3153" s="2">
        <v>1893.219</v>
      </c>
    </row>
    <row r="3154" spans="3:6" x14ac:dyDescent="0.25">
      <c r="C3154" s="2" t="s">
        <v>8223</v>
      </c>
      <c r="D3154" s="2" t="s">
        <v>9</v>
      </c>
      <c r="E3154" s="2">
        <v>102</v>
      </c>
      <c r="F3154" s="2">
        <v>1714.894</v>
      </c>
    </row>
    <row r="3155" spans="3:6" x14ac:dyDescent="0.25">
      <c r="C3155" s="2" t="s">
        <v>8224</v>
      </c>
      <c r="D3155" s="2" t="s">
        <v>9</v>
      </c>
      <c r="E3155" s="2">
        <v>26</v>
      </c>
      <c r="F3155" s="2">
        <v>546.54</v>
      </c>
    </row>
    <row r="3156" spans="3:6" x14ac:dyDescent="0.25">
      <c r="C3156" s="2" t="s">
        <v>8225</v>
      </c>
      <c r="D3156" s="2" t="s">
        <v>9</v>
      </c>
      <c r="E3156" s="2">
        <v>36</v>
      </c>
      <c r="F3156" s="2">
        <v>649.48</v>
      </c>
    </row>
    <row r="3157" spans="3:6" x14ac:dyDescent="0.25">
      <c r="C3157" s="2" t="s">
        <v>8226</v>
      </c>
      <c r="D3157" s="2" t="s">
        <v>9</v>
      </c>
      <c r="E3157" s="2">
        <v>35</v>
      </c>
      <c r="F3157" s="2">
        <v>694.8</v>
      </c>
    </row>
    <row r="3158" spans="3:6" x14ac:dyDescent="0.25">
      <c r="C3158" s="2" t="s">
        <v>8227</v>
      </c>
      <c r="D3158" s="2" t="s">
        <v>9</v>
      </c>
      <c r="E3158" s="2">
        <v>44</v>
      </c>
      <c r="F3158" s="2">
        <v>915.65</v>
      </c>
    </row>
    <row r="3159" spans="3:6" x14ac:dyDescent="0.25">
      <c r="C3159" s="2" t="s">
        <v>8228</v>
      </c>
      <c r="D3159" s="2" t="s">
        <v>9</v>
      </c>
      <c r="E3159" s="2">
        <v>27</v>
      </c>
      <c r="F3159" s="2">
        <v>480.82</v>
      </c>
    </row>
    <row r="3160" spans="3:6" x14ac:dyDescent="0.25">
      <c r="C3160" s="2" t="s">
        <v>8229</v>
      </c>
      <c r="D3160" s="2" t="s">
        <v>9</v>
      </c>
      <c r="E3160" s="2">
        <v>71</v>
      </c>
      <c r="F3160" s="2">
        <v>1306.85</v>
      </c>
    </row>
    <row r="3161" spans="3:6" x14ac:dyDescent="0.25">
      <c r="C3161" s="2" t="s">
        <v>8230</v>
      </c>
      <c r="D3161" s="2" t="s">
        <v>9</v>
      </c>
      <c r="E3161" s="2">
        <v>8</v>
      </c>
      <c r="F3161" s="2">
        <v>168.66</v>
      </c>
    </row>
    <row r="3162" spans="3:6" x14ac:dyDescent="0.25">
      <c r="C3162" s="2" t="s">
        <v>8231</v>
      </c>
      <c r="D3162" s="2" t="s">
        <v>9</v>
      </c>
      <c r="E3162" s="2">
        <v>35</v>
      </c>
      <c r="F3162" s="2">
        <v>714.14</v>
      </c>
    </row>
    <row r="3163" spans="3:6" x14ac:dyDescent="0.25">
      <c r="C3163" s="2" t="s">
        <v>8232</v>
      </c>
      <c r="D3163" s="2" t="s">
        <v>9</v>
      </c>
      <c r="E3163" s="2">
        <v>141</v>
      </c>
      <c r="F3163" s="2">
        <v>2875.029</v>
      </c>
    </row>
    <row r="3164" spans="3:6" x14ac:dyDescent="0.25">
      <c r="C3164" s="2" t="s">
        <v>8233</v>
      </c>
      <c r="D3164" s="2" t="s">
        <v>9</v>
      </c>
      <c r="E3164" s="2">
        <v>62</v>
      </c>
      <c r="F3164" s="2">
        <v>1233.909</v>
      </c>
    </row>
    <row r="3165" spans="3:6" x14ac:dyDescent="0.25">
      <c r="C3165" s="2" t="s">
        <v>8234</v>
      </c>
      <c r="D3165" s="2" t="s">
        <v>9</v>
      </c>
      <c r="E3165" s="2">
        <v>19</v>
      </c>
      <c r="F3165" s="2">
        <v>368.02</v>
      </c>
    </row>
    <row r="3166" spans="3:6" x14ac:dyDescent="0.25">
      <c r="C3166" s="2" t="s">
        <v>8235</v>
      </c>
      <c r="D3166" s="2" t="s">
        <v>9</v>
      </c>
      <c r="E3166" s="2">
        <v>5</v>
      </c>
      <c r="F3166" s="2">
        <v>97.77</v>
      </c>
    </row>
    <row r="3167" spans="3:6" x14ac:dyDescent="0.25">
      <c r="C3167" s="2" t="s">
        <v>8236</v>
      </c>
      <c r="D3167" s="2" t="s">
        <v>9</v>
      </c>
      <c r="E3167" s="2">
        <v>12</v>
      </c>
      <c r="F3167" s="2">
        <v>235.75</v>
      </c>
    </row>
    <row r="3168" spans="3:6" x14ac:dyDescent="0.25">
      <c r="C3168" s="2" t="s">
        <v>8237</v>
      </c>
      <c r="D3168" s="2" t="s">
        <v>9</v>
      </c>
      <c r="E3168" s="2">
        <v>12</v>
      </c>
      <c r="F3168" s="2">
        <v>142.96</v>
      </c>
    </row>
    <row r="3169" spans="3:6" x14ac:dyDescent="0.25">
      <c r="C3169" s="2" t="s">
        <v>8238</v>
      </c>
      <c r="D3169" s="2" t="s">
        <v>9</v>
      </c>
      <c r="E3169" s="2">
        <v>16</v>
      </c>
      <c r="F3169" s="2">
        <v>294.03</v>
      </c>
    </row>
    <row r="3170" spans="3:6" x14ac:dyDescent="0.25">
      <c r="C3170" s="2" t="s">
        <v>8239</v>
      </c>
      <c r="D3170" s="2" t="s">
        <v>9</v>
      </c>
      <c r="E3170" s="2">
        <v>50</v>
      </c>
      <c r="F3170" s="2">
        <v>1026.28</v>
      </c>
    </row>
    <row r="3171" spans="3:6" x14ac:dyDescent="0.25">
      <c r="C3171" s="2" t="s">
        <v>8240</v>
      </c>
      <c r="D3171" s="2" t="s">
        <v>9</v>
      </c>
      <c r="E3171" s="2">
        <v>46</v>
      </c>
      <c r="F3171" s="2">
        <v>929.25</v>
      </c>
    </row>
    <row r="3172" spans="3:6" x14ac:dyDescent="0.25">
      <c r="C3172" s="2" t="s">
        <v>8241</v>
      </c>
      <c r="D3172" s="2" t="s">
        <v>9</v>
      </c>
      <c r="E3172" s="2">
        <v>23</v>
      </c>
      <c r="F3172" s="2">
        <v>479.72</v>
      </c>
    </row>
    <row r="3173" spans="3:6" x14ac:dyDescent="0.25">
      <c r="C3173" s="2" t="s">
        <v>8242</v>
      </c>
      <c r="D3173" s="2" t="s">
        <v>9</v>
      </c>
      <c r="E3173" s="2">
        <v>21</v>
      </c>
      <c r="F3173" s="2">
        <v>442.65</v>
      </c>
    </row>
    <row r="3174" spans="3:6" x14ac:dyDescent="0.25">
      <c r="C3174" s="2" t="s">
        <v>8243</v>
      </c>
      <c r="D3174" s="2" t="s">
        <v>9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14</v>
      </c>
      <c r="C3176" s="2" t="s">
        <v>8244</v>
      </c>
      <c r="D3176" s="2" t="s">
        <v>12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8245</v>
      </c>
      <c r="D3177" s="2" t="s">
        <v>12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2738</v>
      </c>
      <c r="C3179" s="2" t="s">
        <v>8246</v>
      </c>
      <c r="D3179" s="2" t="s">
        <v>20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8247</v>
      </c>
      <c r="D3180" s="2" t="s">
        <v>20</v>
      </c>
      <c r="E3180" s="2">
        <v>149</v>
      </c>
      <c r="F3180" s="2">
        <v>3008.63</v>
      </c>
    </row>
    <row r="3181" spans="3:6" x14ac:dyDescent="0.25">
      <c r="C3181" s="2" t="s">
        <v>8248</v>
      </c>
      <c r="D3181" s="2" t="s">
        <v>20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1101</v>
      </c>
      <c r="C3183" s="2" t="s">
        <v>8249</v>
      </c>
      <c r="D3183" s="2" t="s">
        <v>20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8250</v>
      </c>
      <c r="D3184" s="2" t="s">
        <v>20</v>
      </c>
      <c r="E3184" s="2">
        <v>105</v>
      </c>
      <c r="F3184" s="2">
        <v>1995.849</v>
      </c>
    </row>
    <row r="3185" spans="3:6" x14ac:dyDescent="0.25">
      <c r="C3185" s="2" t="s">
        <v>8251</v>
      </c>
      <c r="D3185" s="2" t="s">
        <v>20</v>
      </c>
      <c r="E3185" s="2">
        <v>156</v>
      </c>
      <c r="F3185" s="2">
        <v>3035.858</v>
      </c>
    </row>
    <row r="3186" spans="3:6" x14ac:dyDescent="0.25">
      <c r="C3186" s="2" t="s">
        <v>8252</v>
      </c>
      <c r="D3186" s="2" t="s">
        <v>20</v>
      </c>
      <c r="E3186" s="2">
        <v>156</v>
      </c>
      <c r="F3186" s="2">
        <v>2935.249</v>
      </c>
    </row>
    <row r="3187" spans="3:6" x14ac:dyDescent="0.25">
      <c r="C3187" s="2" t="s">
        <v>8253</v>
      </c>
      <c r="D3187" s="2" t="s">
        <v>20</v>
      </c>
      <c r="E3187" s="2">
        <v>120</v>
      </c>
      <c r="F3187" s="2">
        <v>2426.12</v>
      </c>
    </row>
    <row r="3188" spans="3:6" x14ac:dyDescent="0.25">
      <c r="C3188" s="2" t="s">
        <v>8254</v>
      </c>
      <c r="D3188" s="2" t="s">
        <v>20</v>
      </c>
      <c r="E3188" s="2">
        <v>310</v>
      </c>
      <c r="F3188" s="2">
        <v>5974.698</v>
      </c>
    </row>
    <row r="3189" spans="3:6" x14ac:dyDescent="0.25">
      <c r="C3189" s="2" t="s">
        <v>8255</v>
      </c>
      <c r="D3189" s="2" t="s">
        <v>20</v>
      </c>
      <c r="E3189" s="2">
        <v>153</v>
      </c>
      <c r="F3189" s="2">
        <v>2977.839</v>
      </c>
    </row>
    <row r="3190" spans="3:6" x14ac:dyDescent="0.25">
      <c r="C3190" s="2" t="s">
        <v>8256</v>
      </c>
      <c r="D3190" s="2" t="s">
        <v>20</v>
      </c>
      <c r="E3190" s="2">
        <v>148</v>
      </c>
      <c r="F3190" s="2">
        <v>3111.87</v>
      </c>
    </row>
    <row r="3191" spans="3:6" x14ac:dyDescent="0.25">
      <c r="C3191" s="2" t="s">
        <v>8257</v>
      </c>
      <c r="D3191" s="2" t="s">
        <v>20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18</v>
      </c>
      <c r="C3193" s="2" t="s">
        <v>8258</v>
      </c>
      <c r="D3193" s="2" t="s">
        <v>20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8259</v>
      </c>
      <c r="D3194" s="2" t="s">
        <v>20</v>
      </c>
      <c r="E3194" s="2">
        <v>142</v>
      </c>
      <c r="F3194" s="2">
        <v>2718.189</v>
      </c>
    </row>
    <row r="3195" spans="3:6" x14ac:dyDescent="0.25">
      <c r="C3195" s="2" t="s">
        <v>8260</v>
      </c>
      <c r="D3195" s="2" t="s">
        <v>20</v>
      </c>
      <c r="E3195" s="2">
        <v>139</v>
      </c>
      <c r="F3195" s="2">
        <v>2667.87</v>
      </c>
    </row>
    <row r="3196" spans="3:6" x14ac:dyDescent="0.25">
      <c r="C3196" s="2" t="s">
        <v>8261</v>
      </c>
      <c r="D3196" s="2" t="s">
        <v>20</v>
      </c>
      <c r="E3196" s="2">
        <v>102</v>
      </c>
      <c r="F3196" s="2">
        <v>1918.14</v>
      </c>
    </row>
    <row r="3197" spans="3:6" x14ac:dyDescent="0.25">
      <c r="C3197" s="2" t="s">
        <v>8262</v>
      </c>
      <c r="D3197" s="2" t="s">
        <v>20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2037</v>
      </c>
      <c r="C3200" s="12">
        <f>COUNTA(C3:C3199)</f>
        <v>3007</v>
      </c>
      <c r="E3200" s="11" t="s">
        <v>2038</v>
      </c>
      <c r="F3200" s="13">
        <f>SUM(F3:F3199)</f>
        <v>4536230.113000004</v>
      </c>
      <c r="G3200" s="1" t="s">
        <v>2039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183"/>
  <sheetViews>
    <sheetView workbookViewId="0" zoomScale="100" zoomScaleNormal="100">
      <pane ySplit="3" topLeftCell="A49" activePane="bottomLeft" state="frozen"/>
      <selection pane="bottomLeft" activeCell="K65" sqref="K65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46290</v>
      </c>
      <c r="B4" s="6" t="s">
        <v>7</v>
      </c>
      <c r="C4" s="6" t="s">
        <v>8</v>
      </c>
      <c r="D4" s="6" t="s">
        <v>9</v>
      </c>
      <c r="E4" s="6"/>
      <c r="F4" s="6"/>
      <c r="G4" s="5">
        <v>46289</v>
      </c>
    </row>
    <row r="6" spans="1:7" x14ac:dyDescent="0.25">
      <c r="A6" s="5">
        <v>46290</v>
      </c>
      <c r="B6" s="6" t="s">
        <v>10</v>
      </c>
      <c r="C6" s="6" t="s">
        <v>11</v>
      </c>
      <c r="D6" s="6" t="s">
        <v>12</v>
      </c>
      <c r="E6" s="6">
        <v>78</v>
      </c>
      <c r="F6" s="6">
        <v>1572.96</v>
      </c>
      <c r="G6" s="5">
        <v>46289</v>
      </c>
    </row>
    <row r="7" spans="1:6" x14ac:dyDescent="0.25">
      <c r="A7" s="1"/>
      <c r="B7" s="2"/>
      <c r="C7" s="6" t="s">
        <v>13</v>
      </c>
      <c r="D7" s="6" t="s">
        <v>12</v>
      </c>
      <c r="E7" s="6">
        <v>81</v>
      </c>
      <c r="F7" s="6">
        <v>1664.9</v>
      </c>
    </row>
    <row r="9" spans="1:7" x14ac:dyDescent="0.25">
      <c r="A9" s="5">
        <v>46290</v>
      </c>
      <c r="B9" s="6" t="s">
        <v>14</v>
      </c>
      <c r="C9" s="6" t="s">
        <v>15</v>
      </c>
      <c r="D9" s="6" t="s">
        <v>12</v>
      </c>
      <c r="E9" s="6">
        <v>150</v>
      </c>
      <c r="F9" s="6">
        <v>3115.71</v>
      </c>
      <c r="G9" s="5">
        <v>46289</v>
      </c>
    </row>
    <row r="10" spans="1:6" x14ac:dyDescent="0.25">
      <c r="A10" s="1"/>
      <c r="B10" s="2"/>
      <c r="C10" s="6" t="s">
        <v>16</v>
      </c>
      <c r="D10" s="6" t="s">
        <v>12</v>
      </c>
      <c r="E10" s="6">
        <v>148</v>
      </c>
      <c r="F10" s="6">
        <v>3050.94</v>
      </c>
    </row>
    <row r="11" spans="1:6" x14ac:dyDescent="0.25">
      <c r="A11" s="1"/>
      <c r="B11" s="2"/>
      <c r="C11" s="6" t="s">
        <v>17</v>
      </c>
      <c r="D11" s="6" t="s">
        <v>12</v>
      </c>
      <c r="E11" s="6">
        <v>80</v>
      </c>
      <c r="F11" s="6">
        <v>1583.76</v>
      </c>
    </row>
    <row r="13" spans="1:7" x14ac:dyDescent="0.25">
      <c r="A13" s="5">
        <v>46290</v>
      </c>
      <c r="B13" s="6" t="s">
        <v>18</v>
      </c>
      <c r="C13" s="6" t="s">
        <v>19</v>
      </c>
      <c r="D13" s="6" t="s">
        <v>20</v>
      </c>
      <c r="E13" s="6">
        <v>142</v>
      </c>
      <c r="F13" s="6">
        <v>2742.98</v>
      </c>
      <c r="G13" s="5">
        <v>46289</v>
      </c>
    </row>
    <row r="14" spans="1:6" x14ac:dyDescent="0.25">
      <c r="A14" s="1"/>
      <c r="B14" s="2"/>
      <c r="C14" s="6" t="s">
        <v>21</v>
      </c>
      <c r="D14" s="6" t="s">
        <v>20</v>
      </c>
      <c r="E14" s="6">
        <v>142</v>
      </c>
      <c r="F14" s="6">
        <v>2855.01</v>
      </c>
    </row>
    <row r="15" spans="1:7" x14ac:dyDescent="0.25">
      <c r="A15" s="5">
        <v>46291</v>
      </c>
      <c r="B15" s="6" t="s">
        <v>18</v>
      </c>
      <c r="C15" s="6" t="s">
        <v>22</v>
      </c>
      <c r="D15" s="6" t="s">
        <v>20</v>
      </c>
      <c r="E15" s="6">
        <v>102</v>
      </c>
      <c r="F15" s="6">
        <v>2016.7</v>
      </c>
      <c r="G15" s="5">
        <v>46289</v>
      </c>
    </row>
    <row r="16" spans="1:6" x14ac:dyDescent="0.25">
      <c r="A16" s="1"/>
      <c r="B16" s="2"/>
      <c r="C16" s="6" t="s">
        <v>23</v>
      </c>
      <c r="D16" s="6" t="s">
        <v>20</v>
      </c>
      <c r="E16" s="6">
        <v>142</v>
      </c>
      <c r="F16" s="6">
        <v>2854.49</v>
      </c>
    </row>
    <row r="17" spans="1:6" x14ac:dyDescent="0.25">
      <c r="A17" s="1"/>
      <c r="B17" s="2"/>
      <c r="C17" s="6" t="s">
        <v>24</v>
      </c>
      <c r="D17" s="6" t="s">
        <v>20</v>
      </c>
      <c r="E17" s="6">
        <v>99</v>
      </c>
      <c r="F17" s="6">
        <v>1869.68</v>
      </c>
    </row>
    <row r="19" spans="1:7" x14ac:dyDescent="0.25">
      <c r="A19" s="5">
        <v>46290</v>
      </c>
      <c r="B19" s="6" t="s">
        <v>25</v>
      </c>
      <c r="C19" s="6" t="s">
        <v>26</v>
      </c>
      <c r="D19" s="6" t="s">
        <v>27</v>
      </c>
      <c r="E19" s="6">
        <v>86</v>
      </c>
      <c r="F19" s="6">
        <v>1651</v>
      </c>
      <c r="G19" s="5">
        <v>46289</v>
      </c>
    </row>
    <row r="20" spans="1:6" x14ac:dyDescent="0.25">
      <c r="A20" s="1"/>
      <c r="B20" s="2"/>
      <c r="C20" s="6" t="s">
        <v>28</v>
      </c>
      <c r="D20" s="6" t="s">
        <v>27</v>
      </c>
      <c r="E20" s="6">
        <v>91</v>
      </c>
      <c r="F20" s="6">
        <v>1603.29</v>
      </c>
    </row>
    <row r="21" spans="1:6" x14ac:dyDescent="0.25">
      <c r="A21" s="1"/>
      <c r="B21" s="2"/>
      <c r="C21" s="6" t="s">
        <v>29</v>
      </c>
      <c r="D21" s="6" t="s">
        <v>27</v>
      </c>
      <c r="E21" s="6">
        <v>25</v>
      </c>
      <c r="F21" s="6">
        <v>528.26</v>
      </c>
    </row>
    <row r="22" spans="1:6" x14ac:dyDescent="0.25">
      <c r="A22" s="1"/>
      <c r="B22" s="2"/>
      <c r="C22" s="6" t="s">
        <v>30</v>
      </c>
      <c r="D22" s="6" t="s">
        <v>27</v>
      </c>
      <c r="E22" s="6">
        <v>37</v>
      </c>
      <c r="F22" s="6">
        <v>679.26</v>
      </c>
    </row>
    <row r="23" spans="1:6" x14ac:dyDescent="0.25">
      <c r="A23" s="1"/>
      <c r="B23" s="2"/>
      <c r="C23" s="6" t="s">
        <v>31</v>
      </c>
      <c r="D23" s="6" t="s">
        <v>27</v>
      </c>
      <c r="E23" s="6">
        <v>34</v>
      </c>
      <c r="F23" s="6">
        <v>630.35</v>
      </c>
    </row>
    <row r="25" spans="1:7" x14ac:dyDescent="0.25">
      <c r="A25" s="5">
        <v>46290</v>
      </c>
      <c r="B25" s="6" t="s">
        <v>32</v>
      </c>
      <c r="C25" s="6" t="s">
        <v>33</v>
      </c>
      <c r="D25" s="6" t="s">
        <v>20</v>
      </c>
      <c r="E25" s="6">
        <v>156</v>
      </c>
      <c r="F25" s="6">
        <v>3032.13</v>
      </c>
      <c r="G25" s="5">
        <v>46289</v>
      </c>
    </row>
    <row r="26" spans="1:6" x14ac:dyDescent="0.25">
      <c r="A26" s="1"/>
      <c r="B26" s="2"/>
      <c r="C26" s="6" t="s">
        <v>34</v>
      </c>
      <c r="D26" s="6" t="s">
        <v>20</v>
      </c>
      <c r="E26" s="6">
        <v>261</v>
      </c>
      <c r="F26" s="6">
        <v>4878.91</v>
      </c>
    </row>
    <row r="27" spans="1:6" x14ac:dyDescent="0.25">
      <c r="A27" s="1"/>
      <c r="B27" s="2"/>
      <c r="C27" s="6" t="s">
        <v>35</v>
      </c>
      <c r="D27" s="6" t="s">
        <v>20</v>
      </c>
      <c r="E27" s="6">
        <v>261</v>
      </c>
      <c r="F27" s="6">
        <v>5047.43</v>
      </c>
    </row>
    <row r="28" spans="1:6" x14ac:dyDescent="0.25">
      <c r="A28" s="1"/>
      <c r="B28" s="2"/>
      <c r="C28" s="6" t="s">
        <v>36</v>
      </c>
      <c r="D28" s="6" t="s">
        <v>20</v>
      </c>
      <c r="E28" s="6">
        <v>261</v>
      </c>
      <c r="F28" s="6">
        <v>4730.52</v>
      </c>
    </row>
    <row r="29" spans="1:6" x14ac:dyDescent="0.25">
      <c r="A29" s="1"/>
      <c r="B29" s="2"/>
      <c r="C29" s="6" t="s">
        <v>37</v>
      </c>
      <c r="D29" s="6" t="s">
        <v>20</v>
      </c>
      <c r="E29" s="6">
        <v>105</v>
      </c>
      <c r="F29" s="6">
        <v>2031.84</v>
      </c>
    </row>
    <row r="30" spans="1:6" x14ac:dyDescent="0.25">
      <c r="A30" s="1"/>
      <c r="B30" s="2"/>
      <c r="C30" s="6" t="s">
        <v>38</v>
      </c>
      <c r="D30" s="6" t="s">
        <v>20</v>
      </c>
      <c r="E30" s="6">
        <v>300</v>
      </c>
      <c r="F30" s="6">
        <v>5926.49</v>
      </c>
    </row>
    <row r="31" spans="1:6" x14ac:dyDescent="0.25">
      <c r="A31" s="1"/>
      <c r="B31" s="2"/>
      <c r="C31" s="6" t="s">
        <v>39</v>
      </c>
      <c r="D31" s="6" t="s">
        <v>20</v>
      </c>
      <c r="E31" s="6">
        <v>105</v>
      </c>
      <c r="F31" s="6">
        <v>1977.91</v>
      </c>
    </row>
    <row r="33" spans="1:7" x14ac:dyDescent="0.25">
      <c r="A33" s="5">
        <v>46290</v>
      </c>
      <c r="B33" s="6" t="s">
        <v>40</v>
      </c>
      <c r="C33" s="6" t="s">
        <v>41</v>
      </c>
      <c r="D33" s="6" t="s">
        <v>42</v>
      </c>
      <c r="E33" s="6">
        <v>59</v>
      </c>
      <c r="F33" s="6">
        <v>1202.06</v>
      </c>
      <c r="G33" s="5">
        <v>46289</v>
      </c>
    </row>
    <row r="34" spans="1:6" x14ac:dyDescent="0.25">
      <c r="A34" s="1"/>
      <c r="B34" s="2"/>
      <c r="C34" s="6" t="s">
        <v>43</v>
      </c>
      <c r="D34" s="6" t="s">
        <v>42</v>
      </c>
      <c r="E34" s="6">
        <v>100</v>
      </c>
      <c r="F34" s="6">
        <v>1918</v>
      </c>
    </row>
    <row r="35" spans="1:6" x14ac:dyDescent="0.25">
      <c r="A35" s="1"/>
      <c r="B35" s="2"/>
      <c r="C35" s="6" t="s">
        <v>44</v>
      </c>
      <c r="D35" s="6" t="s">
        <v>42</v>
      </c>
      <c r="E35" s="6">
        <v>141</v>
      </c>
      <c r="F35" s="6">
        <v>2681.98</v>
      </c>
    </row>
    <row r="36" spans="1:6" x14ac:dyDescent="0.25">
      <c r="A36" s="1"/>
      <c r="B36" s="2"/>
      <c r="C36" s="6" t="s">
        <v>45</v>
      </c>
      <c r="D36" s="6" t="s">
        <v>42</v>
      </c>
      <c r="E36" s="6">
        <v>100</v>
      </c>
      <c r="F36" s="6">
        <v>1975.69</v>
      </c>
    </row>
    <row r="37" spans="1:6" x14ac:dyDescent="0.25">
      <c r="A37" s="1"/>
      <c r="B37" s="2"/>
      <c r="C37" s="6" t="s">
        <v>46</v>
      </c>
      <c r="D37" s="6" t="s">
        <v>42</v>
      </c>
      <c r="E37" s="6">
        <v>141</v>
      </c>
      <c r="F37" s="6">
        <v>3171.57</v>
      </c>
    </row>
    <row r="38" spans="1:6" x14ac:dyDescent="0.25">
      <c r="A38" s="1"/>
      <c r="B38" s="2"/>
      <c r="C38" s="6" t="s">
        <v>47</v>
      </c>
      <c r="D38" s="6" t="s">
        <v>42</v>
      </c>
      <c r="E38" s="6">
        <v>40</v>
      </c>
      <c r="F38" s="6">
        <v>196.16</v>
      </c>
    </row>
    <row r="39" spans="1:6" x14ac:dyDescent="0.25">
      <c r="A39" s="1"/>
      <c r="B39" s="2"/>
      <c r="C39" s="6" t="s">
        <v>48</v>
      </c>
      <c r="D39" s="6" t="s">
        <v>42</v>
      </c>
      <c r="E39" s="6">
        <v>141</v>
      </c>
      <c r="F39" s="6">
        <v>2851.98</v>
      </c>
    </row>
    <row r="40" spans="1:6" x14ac:dyDescent="0.25">
      <c r="A40" s="1"/>
      <c r="B40" s="2"/>
      <c r="C40" s="6" t="s">
        <v>49</v>
      </c>
      <c r="D40" s="6" t="s">
        <v>42</v>
      </c>
      <c r="E40" s="6">
        <v>141</v>
      </c>
      <c r="F40" s="6">
        <v>3170.61</v>
      </c>
    </row>
    <row r="41" spans="1:6" x14ac:dyDescent="0.25">
      <c r="A41" s="1"/>
      <c r="B41" s="2"/>
      <c r="C41" s="6" t="s">
        <v>50</v>
      </c>
      <c r="D41" s="6" t="s">
        <v>42</v>
      </c>
      <c r="E41" s="6">
        <v>123</v>
      </c>
      <c r="F41" s="6">
        <v>2366.41</v>
      </c>
    </row>
    <row r="42" spans="1:6" x14ac:dyDescent="0.25">
      <c r="A42" s="1"/>
      <c r="B42" s="2"/>
      <c r="C42" s="6" t="s">
        <v>51</v>
      </c>
      <c r="D42" s="6" t="s">
        <v>42</v>
      </c>
      <c r="E42" s="6">
        <v>123</v>
      </c>
      <c r="F42" s="6">
        <v>3129.09</v>
      </c>
    </row>
    <row r="43" spans="1:6" x14ac:dyDescent="0.25">
      <c r="A43" s="1"/>
      <c r="B43" s="2"/>
      <c r="C43" s="6" t="s">
        <v>52</v>
      </c>
      <c r="D43" s="6" t="s">
        <v>42</v>
      </c>
      <c r="E43" s="6">
        <v>123</v>
      </c>
      <c r="F43" s="6">
        <v>2479.98</v>
      </c>
    </row>
    <row r="44" spans="1:6" x14ac:dyDescent="0.25">
      <c r="A44" s="1"/>
      <c r="B44" s="2"/>
      <c r="C44" s="6" t="s">
        <v>53</v>
      </c>
      <c r="D44" s="6" t="s">
        <v>42</v>
      </c>
      <c r="E44" s="6">
        <v>101</v>
      </c>
      <c r="F44" s="6">
        <v>2027.54</v>
      </c>
    </row>
    <row r="45" spans="1:6" x14ac:dyDescent="0.25">
      <c r="A45" s="1"/>
      <c r="B45" s="2"/>
      <c r="C45" s="6" t="s">
        <v>54</v>
      </c>
      <c r="D45" s="6" t="s">
        <v>42</v>
      </c>
      <c r="E45" s="6">
        <v>22</v>
      </c>
      <c r="F45" s="6">
        <v>445.38</v>
      </c>
    </row>
    <row r="46" spans="1:6" x14ac:dyDescent="0.25">
      <c r="A46" s="1"/>
      <c r="B46" s="2"/>
      <c r="C46" s="6" t="s">
        <v>55</v>
      </c>
      <c r="D46" s="6" t="s">
        <v>42</v>
      </c>
      <c r="E46" s="6">
        <v>141</v>
      </c>
      <c r="F46" s="6">
        <v>2803.75</v>
      </c>
    </row>
    <row r="47" spans="1:6" x14ac:dyDescent="0.25">
      <c r="A47" s="1"/>
      <c r="B47" s="2"/>
      <c r="C47" s="6" t="s">
        <v>56</v>
      </c>
      <c r="D47" s="6" t="s">
        <v>42</v>
      </c>
      <c r="E47" s="6">
        <v>141</v>
      </c>
      <c r="F47" s="6">
        <v>2875.42</v>
      </c>
    </row>
    <row r="48" spans="1:6" x14ac:dyDescent="0.25">
      <c r="A48" s="1"/>
      <c r="B48" s="2"/>
      <c r="C48" s="6" t="s">
        <v>57</v>
      </c>
      <c r="D48" s="6" t="s">
        <v>42</v>
      </c>
      <c r="E48" s="6">
        <v>40</v>
      </c>
      <c r="F48" s="6">
        <v>212.33</v>
      </c>
    </row>
    <row r="49" spans="1:6" x14ac:dyDescent="0.25">
      <c r="A49" s="1"/>
      <c r="B49" s="2"/>
      <c r="C49" s="6" t="s">
        <v>58</v>
      </c>
      <c r="D49" s="6" t="s">
        <v>42</v>
      </c>
      <c r="E49" s="6">
        <v>43</v>
      </c>
      <c r="F49" s="6">
        <v>696.41</v>
      </c>
    </row>
    <row r="50" spans="1:6" x14ac:dyDescent="0.25">
      <c r="A50" s="1"/>
      <c r="B50" s="2"/>
      <c r="C50" s="6" t="s">
        <v>59</v>
      </c>
      <c r="D50" s="6" t="s">
        <v>42</v>
      </c>
      <c r="E50" s="6">
        <v>18</v>
      </c>
      <c r="F50" s="6">
        <v>359.87</v>
      </c>
    </row>
    <row r="51" spans="1:6" x14ac:dyDescent="0.25">
      <c r="A51" s="1"/>
      <c r="B51" s="2"/>
      <c r="C51" s="6" t="s">
        <v>60</v>
      </c>
      <c r="D51" s="6" t="s">
        <v>42</v>
      </c>
      <c r="E51" s="6">
        <v>50</v>
      </c>
      <c r="F51" s="6">
        <v>906.73</v>
      </c>
    </row>
    <row r="52" spans="1:6" x14ac:dyDescent="0.25">
      <c r="A52" s="1"/>
      <c r="B52" s="2"/>
      <c r="C52" s="6" t="s">
        <v>61</v>
      </c>
      <c r="D52" s="6" t="s">
        <v>42</v>
      </c>
      <c r="E52" s="6">
        <v>57</v>
      </c>
      <c r="F52" s="6">
        <v>1129.96</v>
      </c>
    </row>
    <row r="53" spans="1:6" x14ac:dyDescent="0.25">
      <c r="A53" s="1"/>
      <c r="B53" s="2"/>
      <c r="C53" s="6" t="s">
        <v>62</v>
      </c>
      <c r="D53" s="6" t="s">
        <v>42</v>
      </c>
      <c r="E53" s="6">
        <v>134</v>
      </c>
      <c r="F53" s="6">
        <v>2930.07</v>
      </c>
    </row>
    <row r="54" spans="1:6" x14ac:dyDescent="0.25">
      <c r="A54" s="1"/>
      <c r="B54" s="2"/>
      <c r="C54" s="6" t="s">
        <v>63</v>
      </c>
      <c r="D54" s="6" t="s">
        <v>42</v>
      </c>
      <c r="E54" s="6">
        <v>141</v>
      </c>
      <c r="F54" s="6">
        <v>3564.42</v>
      </c>
    </row>
    <row r="55" spans="1:6" x14ac:dyDescent="0.25">
      <c r="A55" s="1"/>
      <c r="B55" s="2"/>
      <c r="C55" s="6" t="s">
        <v>64</v>
      </c>
      <c r="D55" s="6" t="s">
        <v>42</v>
      </c>
      <c r="E55" s="6">
        <v>40</v>
      </c>
      <c r="F55" s="6">
        <v>193.48</v>
      </c>
    </row>
    <row r="56" spans="1:6" x14ac:dyDescent="0.25">
      <c r="A56" s="1"/>
      <c r="B56" s="2"/>
      <c r="C56" s="6" t="s">
        <v>65</v>
      </c>
      <c r="D56" s="6" t="s">
        <v>42</v>
      </c>
      <c r="E56" s="6">
        <v>10</v>
      </c>
      <c r="F56" s="6">
        <v>198.01</v>
      </c>
    </row>
    <row r="57" spans="1:6" x14ac:dyDescent="0.25">
      <c r="A57" s="1"/>
      <c r="B57" s="2"/>
      <c r="C57" s="6" t="s">
        <v>66</v>
      </c>
      <c r="D57" s="6" t="s">
        <v>42</v>
      </c>
      <c r="E57" s="6">
        <v>65</v>
      </c>
      <c r="F57" s="6">
        <v>1317.99</v>
      </c>
    </row>
    <row r="58" spans="1:6" x14ac:dyDescent="0.25">
      <c r="A58" s="1"/>
      <c r="B58" s="2"/>
      <c r="C58" s="6" t="s">
        <v>67</v>
      </c>
      <c r="D58" s="6" t="s">
        <v>42</v>
      </c>
      <c r="E58" s="6">
        <v>45</v>
      </c>
      <c r="F58" s="6">
        <v>828.58</v>
      </c>
    </row>
    <row r="59" spans="1:6" x14ac:dyDescent="0.25">
      <c r="A59" s="1"/>
      <c r="B59" s="2"/>
      <c r="C59" s="6" t="s">
        <v>68</v>
      </c>
      <c r="D59" s="6" t="s">
        <v>42</v>
      </c>
      <c r="E59" s="6">
        <v>96</v>
      </c>
      <c r="F59" s="6">
        <v>1904.82</v>
      </c>
    </row>
    <row r="60" spans="1:6" x14ac:dyDescent="0.25">
      <c r="A60" s="1"/>
      <c r="B60" s="2"/>
      <c r="C60" s="6" t="s">
        <v>69</v>
      </c>
      <c r="D60" s="6" t="s">
        <v>42</v>
      </c>
      <c r="E60" s="6">
        <v>113</v>
      </c>
      <c r="F60" s="6">
        <v>2232.65</v>
      </c>
    </row>
    <row r="61" spans="1:6" x14ac:dyDescent="0.25">
      <c r="A61" s="1"/>
      <c r="B61" s="2"/>
      <c r="C61" s="6" t="s">
        <v>70</v>
      </c>
      <c r="D61" s="6" t="s">
        <v>42</v>
      </c>
      <c r="E61" s="6">
        <v>39</v>
      </c>
      <c r="F61" s="6">
        <v>778.35</v>
      </c>
    </row>
    <row r="62" spans="1:6" x14ac:dyDescent="0.25">
      <c r="A62" s="1"/>
      <c r="B62" s="2"/>
      <c r="C62" s="6" t="s">
        <v>71</v>
      </c>
      <c r="D62" s="6" t="s">
        <v>42</v>
      </c>
      <c r="E62" s="6">
        <v>67</v>
      </c>
      <c r="F62" s="6">
        <v>1353.21</v>
      </c>
    </row>
    <row r="63" spans="1:6" x14ac:dyDescent="0.25">
      <c r="A63" s="1"/>
      <c r="B63" s="2"/>
      <c r="C63" s="6" t="s">
        <v>72</v>
      </c>
      <c r="D63" s="6" t="s">
        <v>42</v>
      </c>
      <c r="E63" s="6">
        <v>15</v>
      </c>
      <c r="F63" s="6">
        <v>348.05</v>
      </c>
    </row>
    <row r="64" spans="1:6" x14ac:dyDescent="0.25">
      <c r="A64" s="1"/>
      <c r="B64" s="2"/>
      <c r="C64" s="6" t="s">
        <v>73</v>
      </c>
      <c r="D64" s="6" t="s">
        <v>42</v>
      </c>
      <c r="E64" s="6">
        <v>89</v>
      </c>
      <c r="F64" s="6">
        <v>1780.99</v>
      </c>
    </row>
    <row r="65" spans="1:6" x14ac:dyDescent="0.25">
      <c r="A65" s="1"/>
      <c r="B65" s="2"/>
      <c r="C65" s="6" t="s">
        <v>74</v>
      </c>
      <c r="D65" s="6" t="s">
        <v>42</v>
      </c>
      <c r="E65" s="6">
        <v>32</v>
      </c>
      <c r="F65" s="6">
        <v>603.05</v>
      </c>
    </row>
    <row r="66" spans="1:6" x14ac:dyDescent="0.25">
      <c r="A66" s="1"/>
      <c r="B66" s="2"/>
      <c r="C66" s="6" t="s">
        <v>75</v>
      </c>
      <c r="D66" s="6" t="s">
        <v>42</v>
      </c>
      <c r="E66" s="6">
        <v>30</v>
      </c>
      <c r="F66" s="6">
        <v>149.5</v>
      </c>
    </row>
    <row r="67" spans="1:6" x14ac:dyDescent="0.25">
      <c r="A67" s="1"/>
      <c r="B67" s="2"/>
      <c r="C67" s="6" t="s">
        <v>76</v>
      </c>
      <c r="D67" s="6" t="s">
        <v>42</v>
      </c>
      <c r="E67" s="6">
        <v>28</v>
      </c>
      <c r="F67" s="6">
        <v>562.33</v>
      </c>
    </row>
    <row r="68" spans="1:6" x14ac:dyDescent="0.25">
      <c r="A68" s="1"/>
      <c r="B68" s="2"/>
      <c r="C68" s="6" t="s">
        <v>77</v>
      </c>
      <c r="D68" s="6" t="s">
        <v>42</v>
      </c>
      <c r="E68" s="6">
        <v>20</v>
      </c>
      <c r="F68" s="6">
        <v>356.01</v>
      </c>
    </row>
    <row r="69" spans="1:6" x14ac:dyDescent="0.25">
      <c r="A69" s="1"/>
      <c r="B69" s="2"/>
      <c r="C69" s="6" t="s">
        <v>78</v>
      </c>
      <c r="D69" s="6" t="s">
        <v>42</v>
      </c>
      <c r="E69" s="6">
        <v>82</v>
      </c>
      <c r="F69" s="6">
        <v>1666.1</v>
      </c>
    </row>
    <row r="70" spans="1:6" x14ac:dyDescent="0.25">
      <c r="A70" s="1"/>
      <c r="B70" s="2"/>
      <c r="C70" s="6" t="s">
        <v>79</v>
      </c>
      <c r="D70" s="6" t="s">
        <v>42</v>
      </c>
      <c r="E70" s="6">
        <v>23</v>
      </c>
      <c r="F70" s="6">
        <v>432.34</v>
      </c>
    </row>
    <row r="71" spans="1:6" x14ac:dyDescent="0.25">
      <c r="A71" s="1"/>
      <c r="B71" s="2"/>
      <c r="C71" s="6" t="s">
        <v>80</v>
      </c>
      <c r="D71" s="6" t="s">
        <v>42</v>
      </c>
      <c r="E71" s="6">
        <v>10</v>
      </c>
      <c r="F71" s="6">
        <v>177.34</v>
      </c>
    </row>
    <row r="72" spans="1:6" x14ac:dyDescent="0.25">
      <c r="A72" s="1"/>
      <c r="B72" s="2"/>
      <c r="C72" s="6" t="s">
        <v>81</v>
      </c>
      <c r="D72" s="6" t="s">
        <v>42</v>
      </c>
      <c r="E72" s="6">
        <v>64</v>
      </c>
      <c r="F72" s="6">
        <v>1235.17</v>
      </c>
    </row>
    <row r="73" spans="1:6" x14ac:dyDescent="0.25">
      <c r="A73" s="1"/>
      <c r="B73" s="2"/>
      <c r="C73" s="6" t="s">
        <v>82</v>
      </c>
      <c r="D73" s="6" t="s">
        <v>42</v>
      </c>
      <c r="E73" s="6">
        <v>26</v>
      </c>
      <c r="F73" s="6">
        <v>502.92</v>
      </c>
    </row>
    <row r="74" spans="1:6" x14ac:dyDescent="0.25">
      <c r="A74" s="1"/>
      <c r="B74" s="2"/>
      <c r="C74" s="6" t="s">
        <v>83</v>
      </c>
      <c r="D74" s="6" t="s">
        <v>42</v>
      </c>
      <c r="E74" s="6">
        <v>41</v>
      </c>
      <c r="F74" s="6">
        <v>689.76</v>
      </c>
    </row>
    <row r="75" spans="1:6" x14ac:dyDescent="0.25">
      <c r="A75" s="1"/>
      <c r="B75" s="2"/>
      <c r="C75" s="6" t="s">
        <v>84</v>
      </c>
      <c r="D75" s="6" t="s">
        <v>42</v>
      </c>
      <c r="E75" s="6">
        <v>19</v>
      </c>
      <c r="F75" s="6">
        <v>335.47</v>
      </c>
    </row>
    <row r="76" spans="1:6" x14ac:dyDescent="0.25">
      <c r="A76" s="1"/>
      <c r="B76" s="2"/>
      <c r="C76" s="6" t="s">
        <v>85</v>
      </c>
      <c r="D76" s="6" t="s">
        <v>42</v>
      </c>
      <c r="E76" s="6">
        <v>6</v>
      </c>
      <c r="F76" s="6">
        <v>115.28</v>
      </c>
    </row>
    <row r="77" spans="1:6" x14ac:dyDescent="0.25">
      <c r="A77" s="1"/>
      <c r="B77" s="2"/>
      <c r="C77" s="6" t="s">
        <v>86</v>
      </c>
      <c r="D77" s="6" t="s">
        <v>42</v>
      </c>
      <c r="E77" s="6">
        <v>59</v>
      </c>
      <c r="F77" s="6">
        <v>1086.36</v>
      </c>
    </row>
    <row r="78" spans="1:6" x14ac:dyDescent="0.25">
      <c r="A78" s="1"/>
      <c r="B78" s="2"/>
      <c r="C78" s="6" t="s">
        <v>87</v>
      </c>
      <c r="D78" s="6" t="s">
        <v>42</v>
      </c>
      <c r="E78" s="6">
        <v>16</v>
      </c>
      <c r="F78" s="6">
        <v>321.52</v>
      </c>
    </row>
    <row r="79" spans="1:6" x14ac:dyDescent="0.25">
      <c r="A79" s="1"/>
      <c r="B79" s="2"/>
      <c r="C79" s="6" t="s">
        <v>88</v>
      </c>
      <c r="D79" s="6" t="s">
        <v>42</v>
      </c>
      <c r="E79" s="6">
        <v>82</v>
      </c>
      <c r="F79" s="6">
        <v>1568.59</v>
      </c>
    </row>
    <row r="80" spans="1:6" x14ac:dyDescent="0.25">
      <c r="A80" s="1"/>
      <c r="B80" s="2"/>
      <c r="C80" s="6" t="s">
        <v>89</v>
      </c>
      <c r="D80" s="6" t="s">
        <v>42</v>
      </c>
      <c r="E80" s="6">
        <v>36</v>
      </c>
      <c r="F80" s="6">
        <v>894.4</v>
      </c>
    </row>
    <row r="82" spans="1:7" x14ac:dyDescent="0.25">
      <c r="A82" s="5">
        <v>46290</v>
      </c>
      <c r="B82" s="6" t="s">
        <v>90</v>
      </c>
      <c r="C82" s="6" t="s">
        <v>91</v>
      </c>
      <c r="D82" s="6" t="s">
        <v>42</v>
      </c>
      <c r="E82" s="6">
        <v>84</v>
      </c>
      <c r="F82" s="6">
        <v>1557.53</v>
      </c>
      <c r="G82" s="5">
        <v>46289</v>
      </c>
    </row>
    <row r="83" spans="1:6" x14ac:dyDescent="0.25">
      <c r="A83" s="1"/>
      <c r="B83" s="2"/>
      <c r="C83" s="6" t="s">
        <v>92</v>
      </c>
      <c r="D83" s="6" t="s">
        <v>42</v>
      </c>
      <c r="E83" s="6">
        <v>15</v>
      </c>
      <c r="F83" s="6">
        <v>259.81</v>
      </c>
    </row>
    <row r="84" spans="1:6" x14ac:dyDescent="0.25">
      <c r="A84" s="1"/>
      <c r="B84" s="2"/>
      <c r="C84" s="6" t="s">
        <v>93</v>
      </c>
      <c r="D84" s="6" t="s">
        <v>42</v>
      </c>
      <c r="E84" s="6">
        <v>126</v>
      </c>
      <c r="F84" s="6">
        <v>2598.95</v>
      </c>
    </row>
    <row r="85" spans="1:6" x14ac:dyDescent="0.25">
      <c r="A85" s="1"/>
      <c r="B85" s="2"/>
      <c r="C85" s="6" t="s">
        <v>94</v>
      </c>
      <c r="D85" s="6" t="s">
        <v>42</v>
      </c>
      <c r="E85" s="6">
        <v>10</v>
      </c>
      <c r="F85" s="6">
        <v>203.43</v>
      </c>
    </row>
    <row r="86" spans="1:6" x14ac:dyDescent="0.25">
      <c r="A86" s="1"/>
      <c r="B86" s="2"/>
      <c r="C86" s="6" t="s">
        <v>95</v>
      </c>
      <c r="D86" s="6" t="s">
        <v>42</v>
      </c>
      <c r="E86" s="6">
        <v>66</v>
      </c>
      <c r="F86" s="6">
        <v>1247.7</v>
      </c>
    </row>
    <row r="87" spans="1:6" x14ac:dyDescent="0.25">
      <c r="A87" s="1"/>
      <c r="B87" s="2"/>
      <c r="C87" s="6" t="s">
        <v>96</v>
      </c>
      <c r="D87" s="6" t="s">
        <v>42</v>
      </c>
      <c r="E87" s="6">
        <v>19</v>
      </c>
      <c r="F87" s="6">
        <v>384.76</v>
      </c>
    </row>
    <row r="88" spans="1:6" x14ac:dyDescent="0.25">
      <c r="A88" s="1"/>
      <c r="B88" s="2"/>
      <c r="C88" s="6" t="s">
        <v>97</v>
      </c>
      <c r="D88" s="6" t="s">
        <v>42</v>
      </c>
      <c r="E88" s="6">
        <v>80</v>
      </c>
      <c r="F88" s="6">
        <v>1575.89</v>
      </c>
    </row>
    <row r="89" spans="1:6" x14ac:dyDescent="0.25">
      <c r="A89" s="1"/>
      <c r="B89" s="2"/>
      <c r="C89" s="6" t="s">
        <v>98</v>
      </c>
      <c r="D89" s="6" t="s">
        <v>42</v>
      </c>
      <c r="E89" s="6">
        <v>68</v>
      </c>
      <c r="F89" s="6">
        <v>1763.43</v>
      </c>
    </row>
    <row r="90" spans="1:6" x14ac:dyDescent="0.25">
      <c r="A90" s="1"/>
      <c r="B90" s="2"/>
      <c r="C90" s="6" t="s">
        <v>99</v>
      </c>
      <c r="D90" s="6" t="s">
        <v>42</v>
      </c>
      <c r="E90" s="6">
        <v>47</v>
      </c>
      <c r="F90" s="6">
        <v>852.45</v>
      </c>
    </row>
    <row r="91" spans="1:6" x14ac:dyDescent="0.25">
      <c r="A91" s="1"/>
      <c r="B91" s="2"/>
      <c r="C91" s="6" t="s">
        <v>100</v>
      </c>
      <c r="D91" s="6" t="s">
        <v>42</v>
      </c>
      <c r="E91" s="6">
        <v>61</v>
      </c>
      <c r="F91" s="6">
        <v>1255.37</v>
      </c>
    </row>
    <row r="92" spans="1:6" x14ac:dyDescent="0.25">
      <c r="A92" s="1"/>
      <c r="B92" s="2"/>
      <c r="C92" s="6" t="s">
        <v>101</v>
      </c>
      <c r="D92" s="6" t="s">
        <v>42</v>
      </c>
      <c r="E92" s="6">
        <v>57</v>
      </c>
      <c r="F92" s="6">
        <v>1214.22</v>
      </c>
    </row>
    <row r="93" spans="1:6" x14ac:dyDescent="0.25">
      <c r="A93" s="1"/>
      <c r="B93" s="2"/>
      <c r="C93" s="6" t="s">
        <v>102</v>
      </c>
      <c r="D93" s="6" t="s">
        <v>42</v>
      </c>
      <c r="E93" s="6">
        <v>38</v>
      </c>
      <c r="F93" s="6">
        <v>582.16</v>
      </c>
    </row>
    <row r="94" spans="1:6" x14ac:dyDescent="0.25">
      <c r="A94" s="1"/>
      <c r="B94" s="2"/>
      <c r="C94" s="6" t="s">
        <v>103</v>
      </c>
      <c r="D94" s="6" t="s">
        <v>42</v>
      </c>
      <c r="E94" s="6">
        <v>50</v>
      </c>
      <c r="F94" s="6">
        <v>256.29</v>
      </c>
    </row>
    <row r="95" spans="1:6" x14ac:dyDescent="0.25">
      <c r="A95" s="1"/>
      <c r="B95" s="2"/>
      <c r="C95" s="6" t="s">
        <v>104</v>
      </c>
      <c r="D95" s="6" t="s">
        <v>42</v>
      </c>
      <c r="E95" s="6">
        <v>18</v>
      </c>
      <c r="F95" s="6">
        <v>303.68</v>
      </c>
    </row>
    <row r="96" spans="1:6" x14ac:dyDescent="0.25">
      <c r="A96" s="1"/>
      <c r="B96" s="2"/>
      <c r="C96" s="6" t="s">
        <v>105</v>
      </c>
      <c r="D96" s="6" t="s">
        <v>42</v>
      </c>
      <c r="E96" s="6">
        <v>74</v>
      </c>
      <c r="F96" s="6">
        <v>1444.47</v>
      </c>
    </row>
    <row r="97" spans="1:6" x14ac:dyDescent="0.25">
      <c r="A97" s="1"/>
      <c r="B97" s="2"/>
      <c r="C97" s="6" t="s">
        <v>106</v>
      </c>
      <c r="D97" s="6" t="s">
        <v>42</v>
      </c>
      <c r="E97" s="6">
        <v>11</v>
      </c>
      <c r="F97" s="6">
        <v>220.4</v>
      </c>
    </row>
    <row r="98" spans="1:6" x14ac:dyDescent="0.25">
      <c r="A98" s="1"/>
      <c r="B98" s="2"/>
      <c r="C98" s="6" t="s">
        <v>107</v>
      </c>
      <c r="D98" s="6" t="s">
        <v>42</v>
      </c>
      <c r="E98" s="6">
        <v>58</v>
      </c>
      <c r="F98" s="6">
        <v>1115.26</v>
      </c>
    </row>
    <row r="99" spans="1:6" x14ac:dyDescent="0.25">
      <c r="A99" s="1"/>
      <c r="B99" s="2"/>
      <c r="C99" s="6" t="s">
        <v>108</v>
      </c>
      <c r="D99" s="6" t="s">
        <v>42</v>
      </c>
      <c r="E99" s="6">
        <v>30</v>
      </c>
      <c r="F99" s="6">
        <v>627.99</v>
      </c>
    </row>
    <row r="100" spans="1:6" x14ac:dyDescent="0.25">
      <c r="A100" s="1"/>
      <c r="B100" s="2"/>
      <c r="C100" s="6" t="s">
        <v>109</v>
      </c>
      <c r="D100" s="6" t="s">
        <v>42</v>
      </c>
      <c r="E100" s="6">
        <v>60</v>
      </c>
      <c r="F100" s="6">
        <v>300.97</v>
      </c>
    </row>
    <row r="101" spans="1:6" x14ac:dyDescent="0.25">
      <c r="A101" s="1"/>
      <c r="B101" s="2"/>
      <c r="C101" s="6" t="s">
        <v>110</v>
      </c>
      <c r="D101" s="6" t="s">
        <v>42</v>
      </c>
      <c r="E101" s="6">
        <v>33</v>
      </c>
      <c r="F101" s="6">
        <v>587.96</v>
      </c>
    </row>
    <row r="102" spans="1:6" x14ac:dyDescent="0.25">
      <c r="A102" s="1"/>
      <c r="B102" s="2"/>
      <c r="C102" s="6" t="s">
        <v>111</v>
      </c>
      <c r="D102" s="6" t="s">
        <v>42</v>
      </c>
      <c r="E102" s="6">
        <v>46</v>
      </c>
      <c r="F102" s="6">
        <v>954.31</v>
      </c>
    </row>
    <row r="103" spans="1:6" x14ac:dyDescent="0.25">
      <c r="A103" s="1"/>
      <c r="B103" s="2"/>
      <c r="C103" s="6" t="s">
        <v>112</v>
      </c>
      <c r="D103" s="6" t="s">
        <v>42</v>
      </c>
      <c r="E103" s="6">
        <v>21</v>
      </c>
      <c r="F103" s="6">
        <v>422.13</v>
      </c>
    </row>
    <row r="104" spans="1:6" x14ac:dyDescent="0.25">
      <c r="A104" s="1"/>
      <c r="B104" s="2"/>
      <c r="C104" s="6" t="s">
        <v>113</v>
      </c>
      <c r="D104" s="6" t="s">
        <v>42</v>
      </c>
      <c r="E104" s="6">
        <v>68</v>
      </c>
      <c r="F104" s="6">
        <v>1329.17</v>
      </c>
    </row>
    <row r="105" spans="1:6" x14ac:dyDescent="0.25">
      <c r="A105" s="1"/>
      <c r="B105" s="2"/>
      <c r="C105" s="6" t="s">
        <v>114</v>
      </c>
      <c r="D105" s="6" t="s">
        <v>42</v>
      </c>
      <c r="E105" s="6">
        <v>55</v>
      </c>
      <c r="F105" s="6">
        <v>1421.3</v>
      </c>
    </row>
    <row r="106" spans="1:6" x14ac:dyDescent="0.25">
      <c r="A106" s="1"/>
      <c r="B106" s="2"/>
      <c r="C106" s="6" t="s">
        <v>115</v>
      </c>
      <c r="D106" s="6" t="s">
        <v>42</v>
      </c>
      <c r="E106" s="6">
        <v>35</v>
      </c>
      <c r="F106" s="6">
        <v>625.54</v>
      </c>
    </row>
    <row r="107" spans="1:6" x14ac:dyDescent="0.25">
      <c r="A107" s="1"/>
      <c r="B107" s="2"/>
      <c r="C107" s="6" t="s">
        <v>116</v>
      </c>
      <c r="D107" s="6" t="s">
        <v>42</v>
      </c>
      <c r="E107" s="6">
        <v>32</v>
      </c>
      <c r="F107" s="6">
        <v>645.45</v>
      </c>
    </row>
    <row r="108" spans="1:6" x14ac:dyDescent="0.25">
      <c r="A108" s="1"/>
      <c r="B108" s="2"/>
      <c r="C108" s="6" t="s">
        <v>117</v>
      </c>
      <c r="D108" s="6" t="s">
        <v>42</v>
      </c>
      <c r="E108" s="6">
        <v>57</v>
      </c>
      <c r="F108" s="6">
        <v>1129.32</v>
      </c>
    </row>
    <row r="109" spans="1:6" x14ac:dyDescent="0.25">
      <c r="A109" s="1"/>
      <c r="B109" s="2"/>
      <c r="C109" s="6" t="s">
        <v>118</v>
      </c>
      <c r="D109" s="6" t="s">
        <v>42</v>
      </c>
      <c r="E109" s="6">
        <v>102</v>
      </c>
      <c r="F109" s="6">
        <v>1950.5</v>
      </c>
    </row>
    <row r="110" spans="1:6" x14ac:dyDescent="0.25">
      <c r="A110" s="1"/>
      <c r="B110" s="2"/>
      <c r="C110" s="6" t="s">
        <v>119</v>
      </c>
      <c r="D110" s="6" t="s">
        <v>42</v>
      </c>
      <c r="E110" s="6">
        <v>68</v>
      </c>
      <c r="F110" s="6">
        <v>1374.15</v>
      </c>
    </row>
    <row r="112" spans="1:7" x14ac:dyDescent="0.25">
      <c r="A112" s="5">
        <v>46290</v>
      </c>
      <c r="B112" s="6" t="s">
        <v>120</v>
      </c>
      <c r="C112" s="6" t="s">
        <v>121</v>
      </c>
      <c r="D112" s="6" t="s">
        <v>122</v>
      </c>
      <c r="E112" s="6">
        <v>60</v>
      </c>
      <c r="F112" s="6">
        <v>288.31</v>
      </c>
      <c r="G112" s="5">
        <v>46289</v>
      </c>
    </row>
    <row r="113" spans="1:6" x14ac:dyDescent="0.25">
      <c r="A113" s="1"/>
      <c r="B113" s="2"/>
      <c r="C113" s="6" t="s">
        <v>123</v>
      </c>
      <c r="D113" s="6" t="s">
        <v>122</v>
      </c>
      <c r="E113" s="6">
        <v>141</v>
      </c>
      <c r="F113" s="6">
        <v>2672.99</v>
      </c>
    </row>
    <row r="114" spans="1:6" x14ac:dyDescent="0.25">
      <c r="A114" s="1"/>
      <c r="B114" s="2"/>
      <c r="C114" s="6" t="s">
        <v>124</v>
      </c>
      <c r="D114" s="6" t="s">
        <v>122</v>
      </c>
      <c r="E114" s="6">
        <v>141</v>
      </c>
      <c r="F114" s="6">
        <v>2913.39</v>
      </c>
    </row>
    <row r="115" spans="1:6" x14ac:dyDescent="0.25">
      <c r="A115" s="1"/>
      <c r="B115" s="2"/>
      <c r="C115" s="6" t="s">
        <v>125</v>
      </c>
      <c r="D115" s="6" t="s">
        <v>122</v>
      </c>
      <c r="E115" s="6">
        <v>102</v>
      </c>
      <c r="F115" s="6">
        <v>1999.29</v>
      </c>
    </row>
    <row r="116" spans="1:6" x14ac:dyDescent="0.25">
      <c r="A116" s="1"/>
      <c r="B116" s="2"/>
      <c r="C116" s="6" t="s">
        <v>126</v>
      </c>
      <c r="D116" s="6" t="s">
        <v>122</v>
      </c>
      <c r="E116" s="6">
        <v>141</v>
      </c>
      <c r="F116" s="6">
        <v>2978.63</v>
      </c>
    </row>
    <row r="117" spans="1:6" x14ac:dyDescent="0.25">
      <c r="A117" s="1"/>
      <c r="B117" s="2"/>
      <c r="C117" s="6" t="s">
        <v>127</v>
      </c>
      <c r="D117" s="6" t="s">
        <v>122</v>
      </c>
      <c r="E117" s="6">
        <v>45</v>
      </c>
      <c r="F117" s="6">
        <v>939.56</v>
      </c>
    </row>
    <row r="118" spans="1:6" x14ac:dyDescent="0.25">
      <c r="A118" s="1"/>
      <c r="B118" s="2"/>
      <c r="C118" s="6" t="s">
        <v>128</v>
      </c>
      <c r="D118" s="6" t="s">
        <v>122</v>
      </c>
      <c r="E118" s="6">
        <v>57</v>
      </c>
      <c r="F118" s="6">
        <v>1096.86</v>
      </c>
    </row>
    <row r="119" spans="1:6" x14ac:dyDescent="0.25">
      <c r="A119" s="1"/>
      <c r="B119" s="2"/>
      <c r="C119" s="6" t="s">
        <v>129</v>
      </c>
      <c r="D119" s="6" t="s">
        <v>122</v>
      </c>
      <c r="E119" s="6">
        <v>46</v>
      </c>
      <c r="F119" s="6">
        <v>873.31</v>
      </c>
    </row>
    <row r="120" spans="1:6" x14ac:dyDescent="0.25">
      <c r="A120" s="1"/>
      <c r="B120" s="2"/>
      <c r="C120" s="6" t="s">
        <v>130</v>
      </c>
      <c r="D120" s="6" t="s">
        <v>122</v>
      </c>
      <c r="E120" s="6">
        <v>13</v>
      </c>
      <c r="F120" s="6">
        <v>273.85</v>
      </c>
    </row>
    <row r="121" spans="1:6" x14ac:dyDescent="0.25">
      <c r="A121" s="1"/>
      <c r="B121" s="2"/>
      <c r="C121" s="6" t="s">
        <v>131</v>
      </c>
      <c r="D121" s="6" t="s">
        <v>122</v>
      </c>
      <c r="E121" s="6">
        <v>82</v>
      </c>
      <c r="F121" s="6">
        <v>1687.95</v>
      </c>
    </row>
    <row r="122" spans="1:6" x14ac:dyDescent="0.25">
      <c r="A122" s="1"/>
      <c r="B122" s="2"/>
      <c r="C122" s="6" t="s">
        <v>132</v>
      </c>
      <c r="D122" s="6" t="s">
        <v>122</v>
      </c>
      <c r="E122" s="6">
        <v>53</v>
      </c>
      <c r="F122" s="6">
        <v>1022.18</v>
      </c>
    </row>
    <row r="123" spans="1:6" x14ac:dyDescent="0.25">
      <c r="A123" s="1"/>
      <c r="B123" s="2"/>
      <c r="C123" s="6" t="s">
        <v>133</v>
      </c>
      <c r="D123" s="6" t="s">
        <v>122</v>
      </c>
      <c r="E123" s="6">
        <v>49</v>
      </c>
      <c r="F123" s="6">
        <v>784.45</v>
      </c>
    </row>
    <row r="124" spans="1:6" x14ac:dyDescent="0.25">
      <c r="A124" s="1"/>
      <c r="B124" s="2"/>
      <c r="C124" s="6" t="s">
        <v>134</v>
      </c>
      <c r="D124" s="6" t="s">
        <v>122</v>
      </c>
      <c r="E124" s="6">
        <v>58</v>
      </c>
      <c r="F124" s="6">
        <v>1157.43</v>
      </c>
    </row>
    <row r="125" spans="1:6" x14ac:dyDescent="0.25">
      <c r="A125" s="1"/>
      <c r="B125" s="2"/>
      <c r="C125" s="6" t="s">
        <v>135</v>
      </c>
      <c r="D125" s="6" t="s">
        <v>122</v>
      </c>
      <c r="E125" s="6">
        <v>63</v>
      </c>
      <c r="F125" s="6">
        <v>1207.73</v>
      </c>
    </row>
    <row r="126" spans="1:6" x14ac:dyDescent="0.25">
      <c r="A126" s="1"/>
      <c r="B126" s="2"/>
      <c r="C126" s="6" t="s">
        <v>136</v>
      </c>
      <c r="D126" s="6" t="s">
        <v>122</v>
      </c>
      <c r="E126" s="6">
        <v>102</v>
      </c>
      <c r="F126" s="6">
        <v>2138.32</v>
      </c>
    </row>
    <row r="127" spans="1:6" x14ac:dyDescent="0.25">
      <c r="A127" s="1"/>
      <c r="B127" s="2"/>
      <c r="C127" s="6" t="s">
        <v>137</v>
      </c>
      <c r="D127" s="6" t="s">
        <v>122</v>
      </c>
      <c r="E127" s="6">
        <v>66</v>
      </c>
      <c r="F127" s="6">
        <v>1340.16</v>
      </c>
    </row>
    <row r="128" spans="1:6" x14ac:dyDescent="0.25">
      <c r="A128" s="1"/>
      <c r="B128" s="2"/>
      <c r="C128" s="6" t="s">
        <v>138</v>
      </c>
      <c r="D128" s="6" t="s">
        <v>122</v>
      </c>
      <c r="E128" s="6">
        <v>36</v>
      </c>
      <c r="F128" s="6">
        <v>696.07</v>
      </c>
    </row>
    <row r="129" spans="1:6" x14ac:dyDescent="0.25">
      <c r="A129" s="1"/>
      <c r="B129" s="2"/>
      <c r="C129" s="6" t="s">
        <v>139</v>
      </c>
      <c r="D129" s="6" t="s">
        <v>122</v>
      </c>
      <c r="E129" s="6">
        <v>75</v>
      </c>
      <c r="F129" s="6">
        <v>1519.35</v>
      </c>
    </row>
    <row r="130" spans="1:6" x14ac:dyDescent="0.25">
      <c r="A130" s="1"/>
      <c r="B130" s="2"/>
      <c r="C130" s="6" t="s">
        <v>140</v>
      </c>
      <c r="D130" s="6" t="s">
        <v>122</v>
      </c>
      <c r="E130" s="6">
        <v>94</v>
      </c>
      <c r="F130" s="6">
        <v>1827.2</v>
      </c>
    </row>
    <row r="131" spans="1:6" x14ac:dyDescent="0.25">
      <c r="A131" s="1"/>
      <c r="B131" s="2"/>
      <c r="C131" s="6" t="s">
        <v>141</v>
      </c>
      <c r="D131" s="6" t="s">
        <v>122</v>
      </c>
      <c r="E131" s="6">
        <v>121</v>
      </c>
      <c r="F131" s="6">
        <v>2388.02</v>
      </c>
    </row>
    <row r="132" spans="1:6" x14ac:dyDescent="0.25">
      <c r="A132" s="1"/>
      <c r="B132" s="2"/>
      <c r="C132" s="6" t="s">
        <v>142</v>
      </c>
      <c r="D132" s="6" t="s">
        <v>122</v>
      </c>
      <c r="E132" s="6">
        <v>134</v>
      </c>
      <c r="F132" s="6">
        <v>2774.77</v>
      </c>
    </row>
    <row r="133" spans="1:6" x14ac:dyDescent="0.25">
      <c r="A133" s="1"/>
      <c r="B133" s="2"/>
      <c r="C133" s="6" t="s">
        <v>143</v>
      </c>
      <c r="D133" s="6" t="s">
        <v>122</v>
      </c>
      <c r="E133" s="6">
        <v>20</v>
      </c>
      <c r="F133" s="6">
        <v>374.06</v>
      </c>
    </row>
    <row r="134" spans="1:6" x14ac:dyDescent="0.25">
      <c r="A134" s="1"/>
      <c r="B134" s="2"/>
      <c r="C134" s="6" t="s">
        <v>144</v>
      </c>
      <c r="D134" s="6" t="s">
        <v>122</v>
      </c>
      <c r="E134" s="6">
        <v>30</v>
      </c>
      <c r="F134" s="6">
        <v>542.71</v>
      </c>
    </row>
    <row r="135" spans="1:6" x14ac:dyDescent="0.25">
      <c r="A135" s="1"/>
      <c r="B135" s="2"/>
      <c r="C135" s="6" t="s">
        <v>145</v>
      </c>
      <c r="D135" s="6" t="s">
        <v>122</v>
      </c>
      <c r="E135" s="6">
        <v>52</v>
      </c>
      <c r="F135" s="6">
        <v>1100.8</v>
      </c>
    </row>
    <row r="136" spans="1:6" x14ac:dyDescent="0.25">
      <c r="A136" s="1"/>
      <c r="B136" s="2"/>
      <c r="C136" s="6" t="s">
        <v>146</v>
      </c>
      <c r="D136" s="6" t="s">
        <v>122</v>
      </c>
      <c r="E136" s="6">
        <v>70</v>
      </c>
      <c r="F136" s="6">
        <v>251.65</v>
      </c>
    </row>
    <row r="137" spans="1:6" x14ac:dyDescent="0.25">
      <c r="A137" s="1"/>
      <c r="B137" s="2"/>
      <c r="C137" s="6" t="s">
        <v>147</v>
      </c>
      <c r="D137" s="6" t="s">
        <v>122</v>
      </c>
      <c r="E137" s="6">
        <v>141</v>
      </c>
      <c r="F137" s="6">
        <v>2895.02</v>
      </c>
    </row>
    <row r="138" spans="1:6" x14ac:dyDescent="0.25">
      <c r="A138" s="1"/>
      <c r="B138" s="2"/>
      <c r="C138" s="6" t="s">
        <v>148</v>
      </c>
      <c r="D138" s="6" t="s">
        <v>122</v>
      </c>
      <c r="E138" s="6">
        <v>20</v>
      </c>
      <c r="F138" s="6">
        <v>385.12</v>
      </c>
    </row>
    <row r="139" spans="1:6" x14ac:dyDescent="0.25">
      <c r="A139" s="1"/>
      <c r="B139" s="2"/>
      <c r="C139" s="6" t="s">
        <v>149</v>
      </c>
      <c r="D139" s="6" t="s">
        <v>122</v>
      </c>
      <c r="E139" s="6">
        <v>121</v>
      </c>
      <c r="F139" s="6">
        <v>2447.82</v>
      </c>
    </row>
    <row r="140" spans="1:6" x14ac:dyDescent="0.25">
      <c r="A140" s="1"/>
      <c r="B140" s="2"/>
      <c r="C140" s="6" t="s">
        <v>150</v>
      </c>
      <c r="D140" s="6" t="s">
        <v>122</v>
      </c>
      <c r="E140" s="6">
        <v>141</v>
      </c>
      <c r="F140" s="6">
        <v>2841.92</v>
      </c>
    </row>
    <row r="141" spans="1:6" x14ac:dyDescent="0.25">
      <c r="A141" s="1"/>
      <c r="B141" s="2"/>
      <c r="C141" s="6" t="s">
        <v>151</v>
      </c>
      <c r="D141" s="6" t="s">
        <v>122</v>
      </c>
      <c r="E141" s="6">
        <v>75</v>
      </c>
      <c r="F141" s="6">
        <v>1445.51</v>
      </c>
    </row>
    <row r="142" spans="1:6" x14ac:dyDescent="0.25">
      <c r="A142" s="1"/>
      <c r="B142" s="2"/>
      <c r="C142" s="6" t="s">
        <v>152</v>
      </c>
      <c r="D142" s="6" t="s">
        <v>122</v>
      </c>
      <c r="E142" s="6">
        <v>66</v>
      </c>
      <c r="F142" s="6">
        <v>1273.36</v>
      </c>
    </row>
    <row r="143" spans="1:6" x14ac:dyDescent="0.25">
      <c r="A143" s="1"/>
      <c r="B143" s="2"/>
      <c r="C143" s="6" t="s">
        <v>153</v>
      </c>
      <c r="D143" s="6" t="s">
        <v>122</v>
      </c>
      <c r="E143" s="6">
        <v>53</v>
      </c>
      <c r="F143" s="6">
        <v>1010.83</v>
      </c>
    </row>
    <row r="144" spans="1:6" x14ac:dyDescent="0.25">
      <c r="A144" s="1"/>
      <c r="B144" s="2"/>
      <c r="C144" s="6" t="s">
        <v>154</v>
      </c>
      <c r="D144" s="6" t="s">
        <v>122</v>
      </c>
      <c r="E144" s="6">
        <v>45</v>
      </c>
      <c r="F144" s="6">
        <v>899.76</v>
      </c>
    </row>
    <row r="145" spans="1:6" x14ac:dyDescent="0.25">
      <c r="A145" s="1"/>
      <c r="B145" s="2"/>
      <c r="C145" s="6" t="s">
        <v>155</v>
      </c>
      <c r="D145" s="6" t="s">
        <v>122</v>
      </c>
      <c r="E145" s="6">
        <v>43</v>
      </c>
      <c r="F145" s="6">
        <v>869.9</v>
      </c>
    </row>
    <row r="146" spans="1:6" x14ac:dyDescent="0.25">
      <c r="A146" s="1"/>
      <c r="B146" s="2"/>
      <c r="C146" s="6" t="s">
        <v>156</v>
      </c>
      <c r="D146" s="6" t="s">
        <v>122</v>
      </c>
      <c r="E146" s="6">
        <v>53</v>
      </c>
      <c r="F146" s="6">
        <v>188.14</v>
      </c>
    </row>
    <row r="147" spans="1:6" x14ac:dyDescent="0.25">
      <c r="A147" s="1"/>
      <c r="B147" s="2"/>
      <c r="C147" s="6" t="s">
        <v>157</v>
      </c>
      <c r="D147" s="6" t="s">
        <v>122</v>
      </c>
      <c r="E147" s="6">
        <v>8</v>
      </c>
      <c r="F147" s="6">
        <v>28.39</v>
      </c>
    </row>
    <row r="148" spans="1:6" x14ac:dyDescent="0.25">
      <c r="A148" s="1"/>
      <c r="B148" s="2"/>
      <c r="C148" s="6" t="s">
        <v>157</v>
      </c>
      <c r="D148" s="6" t="s">
        <v>122</v>
      </c>
      <c r="E148" s="6">
        <v>29</v>
      </c>
      <c r="F148" s="6">
        <v>96.96</v>
      </c>
    </row>
    <row r="149" spans="1:6" x14ac:dyDescent="0.25">
      <c r="A149" s="1"/>
      <c r="B149" s="2"/>
      <c r="C149" s="6" t="s">
        <v>158</v>
      </c>
      <c r="D149" s="6" t="s">
        <v>122</v>
      </c>
      <c r="E149" s="6">
        <v>39</v>
      </c>
      <c r="F149" s="6">
        <v>747.82</v>
      </c>
    </row>
    <row r="150" spans="1:6" x14ac:dyDescent="0.25">
      <c r="A150" s="1"/>
      <c r="B150" s="2"/>
      <c r="C150" s="6" t="s">
        <v>159</v>
      </c>
      <c r="D150" s="6" t="s">
        <v>122</v>
      </c>
      <c r="E150" s="6">
        <v>42</v>
      </c>
      <c r="F150" s="6">
        <v>907.88</v>
      </c>
    </row>
    <row r="151" spans="1:6" x14ac:dyDescent="0.25">
      <c r="A151" s="1"/>
      <c r="B151" s="2"/>
      <c r="C151" s="6" t="s">
        <v>160</v>
      </c>
      <c r="D151" s="6" t="s">
        <v>122</v>
      </c>
      <c r="E151" s="6">
        <v>35</v>
      </c>
      <c r="F151" s="6">
        <v>729.53</v>
      </c>
    </row>
    <row r="152" spans="1:6" x14ac:dyDescent="0.25">
      <c r="A152" s="1"/>
      <c r="B152" s="2"/>
      <c r="C152" s="6" t="s">
        <v>161</v>
      </c>
      <c r="D152" s="6" t="s">
        <v>122</v>
      </c>
      <c r="E152" s="6">
        <v>25</v>
      </c>
      <c r="F152" s="6">
        <v>508.51</v>
      </c>
    </row>
    <row r="153" spans="1:6" x14ac:dyDescent="0.25">
      <c r="A153" s="1"/>
      <c r="B153" s="2"/>
      <c r="C153" s="6" t="s">
        <v>162</v>
      </c>
      <c r="D153" s="6" t="s">
        <v>122</v>
      </c>
      <c r="E153" s="6">
        <v>44</v>
      </c>
      <c r="F153" s="6">
        <v>853.32</v>
      </c>
    </row>
    <row r="154" spans="1:6" x14ac:dyDescent="0.25">
      <c r="A154" s="1"/>
      <c r="B154" s="2"/>
      <c r="C154" s="6" t="s">
        <v>163</v>
      </c>
      <c r="D154" s="6" t="s">
        <v>122</v>
      </c>
      <c r="E154" s="6">
        <v>29</v>
      </c>
      <c r="F154" s="6">
        <v>530.52</v>
      </c>
    </row>
    <row r="155" spans="1:6" x14ac:dyDescent="0.25">
      <c r="A155" s="1"/>
      <c r="B155" s="2"/>
      <c r="C155" s="6" t="s">
        <v>164</v>
      </c>
      <c r="D155" s="6" t="s">
        <v>122</v>
      </c>
      <c r="E155" s="6">
        <v>23</v>
      </c>
      <c r="F155" s="6">
        <v>474.78</v>
      </c>
    </row>
    <row r="156" spans="1:6" x14ac:dyDescent="0.25">
      <c r="A156" s="1"/>
      <c r="B156" s="2"/>
      <c r="C156" s="6" t="s">
        <v>165</v>
      </c>
      <c r="D156" s="6" t="s">
        <v>122</v>
      </c>
      <c r="E156" s="6">
        <v>45</v>
      </c>
      <c r="F156" s="6">
        <v>963.94</v>
      </c>
    </row>
    <row r="157" spans="1:6" x14ac:dyDescent="0.25">
      <c r="A157" s="1"/>
      <c r="B157" s="2"/>
      <c r="C157" s="6" t="s">
        <v>166</v>
      </c>
      <c r="D157" s="6" t="s">
        <v>122</v>
      </c>
      <c r="E157" s="6">
        <v>8</v>
      </c>
      <c r="F157" s="6">
        <v>132.1</v>
      </c>
    </row>
    <row r="158" spans="1:6" x14ac:dyDescent="0.25">
      <c r="A158" s="1"/>
      <c r="B158" s="2"/>
      <c r="C158" s="6" t="s">
        <v>167</v>
      </c>
      <c r="D158" s="6" t="s">
        <v>122</v>
      </c>
      <c r="E158" s="6">
        <v>10</v>
      </c>
      <c r="F158" s="6">
        <v>202.5</v>
      </c>
    </row>
    <row r="159" spans="1:6" x14ac:dyDescent="0.25">
      <c r="A159" s="1"/>
      <c r="B159" s="2"/>
      <c r="C159" s="6" t="s">
        <v>168</v>
      </c>
      <c r="D159" s="6" t="s">
        <v>122</v>
      </c>
      <c r="E159" s="6">
        <v>111</v>
      </c>
      <c r="F159" s="6">
        <v>2060.1</v>
      </c>
    </row>
    <row r="160" spans="1:6" x14ac:dyDescent="0.25">
      <c r="A160" s="1"/>
      <c r="B160" s="2"/>
      <c r="C160" s="6" t="s">
        <v>169</v>
      </c>
      <c r="D160" s="6" t="s">
        <v>122</v>
      </c>
      <c r="E160" s="6">
        <v>13</v>
      </c>
      <c r="F160" s="6">
        <v>257.6</v>
      </c>
    </row>
    <row r="162" spans="1:7" x14ac:dyDescent="0.25">
      <c r="A162" s="5">
        <v>46289</v>
      </c>
      <c r="B162" s="6" t="s">
        <v>10</v>
      </c>
      <c r="C162" s="6" t="s">
        <v>170</v>
      </c>
      <c r="D162" s="6" t="s">
        <v>12</v>
      </c>
      <c r="E162" s="6">
        <v>82</v>
      </c>
      <c r="F162" s="6">
        <v>1788.88</v>
      </c>
      <c r="G162" s="5">
        <v>46288</v>
      </c>
    </row>
    <row r="163" spans="1:6" x14ac:dyDescent="0.25">
      <c r="A163" s="1"/>
      <c r="B163" s="2"/>
      <c r="C163" s="6" t="s">
        <v>171</v>
      </c>
      <c r="D163" s="6" t="s">
        <v>12</v>
      </c>
      <c r="E163" s="6">
        <v>85</v>
      </c>
      <c r="F163" s="6">
        <v>1783.38</v>
      </c>
    </row>
    <row r="165" spans="1:7" x14ac:dyDescent="0.25">
      <c r="A165" s="5">
        <v>46289</v>
      </c>
      <c r="B165" s="6" t="s">
        <v>172</v>
      </c>
      <c r="C165" s="6" t="s">
        <v>173</v>
      </c>
      <c r="D165" s="6" t="s">
        <v>122</v>
      </c>
      <c r="E165" s="6">
        <v>141</v>
      </c>
      <c r="F165" s="6">
        <v>2922.95</v>
      </c>
      <c r="G165" s="5">
        <v>46288</v>
      </c>
    </row>
    <row r="166" spans="1:6" x14ac:dyDescent="0.25">
      <c r="A166" s="1"/>
      <c r="B166" s="2"/>
      <c r="C166" s="6" t="s">
        <v>174</v>
      </c>
      <c r="D166" s="6" t="s">
        <v>122</v>
      </c>
      <c r="E166" s="6">
        <v>141</v>
      </c>
      <c r="F166" s="6">
        <v>3019.49</v>
      </c>
    </row>
    <row r="167" spans="1:6" x14ac:dyDescent="0.25">
      <c r="A167" s="1"/>
      <c r="B167" s="2"/>
      <c r="C167" s="6" t="s">
        <v>175</v>
      </c>
      <c r="D167" s="6" t="s">
        <v>122</v>
      </c>
      <c r="E167" s="6">
        <v>121</v>
      </c>
      <c r="F167" s="6">
        <v>2289.31</v>
      </c>
    </row>
    <row r="168" spans="1:6" x14ac:dyDescent="0.25">
      <c r="A168" s="1"/>
      <c r="B168" s="2"/>
      <c r="C168" s="6" t="s">
        <v>176</v>
      </c>
      <c r="D168" s="6" t="s">
        <v>122</v>
      </c>
      <c r="E168" s="6">
        <v>141</v>
      </c>
      <c r="F168" s="6">
        <v>2699.38</v>
      </c>
    </row>
    <row r="169" spans="1:6" x14ac:dyDescent="0.25">
      <c r="A169" s="1"/>
      <c r="B169" s="2"/>
      <c r="C169" s="6" t="s">
        <v>177</v>
      </c>
      <c r="D169" s="6" t="s">
        <v>122</v>
      </c>
      <c r="E169" s="6">
        <v>141</v>
      </c>
      <c r="F169" s="6">
        <v>2766.21</v>
      </c>
    </row>
    <row r="170" spans="1:6" x14ac:dyDescent="0.25">
      <c r="A170" s="1"/>
      <c r="B170" s="2"/>
      <c r="C170" s="6" t="s">
        <v>178</v>
      </c>
      <c r="D170" s="6" t="s">
        <v>122</v>
      </c>
      <c r="E170" s="6">
        <v>141</v>
      </c>
      <c r="F170" s="6">
        <v>2924.37</v>
      </c>
    </row>
    <row r="171" spans="1:6" x14ac:dyDescent="0.25">
      <c r="A171" s="1"/>
      <c r="B171" s="2"/>
      <c r="C171" s="6" t="s">
        <v>179</v>
      </c>
      <c r="D171" s="6" t="s">
        <v>122</v>
      </c>
      <c r="E171" s="6">
        <v>85</v>
      </c>
      <c r="F171" s="6">
        <v>491.04</v>
      </c>
    </row>
    <row r="172" spans="1:6" x14ac:dyDescent="0.25">
      <c r="A172" s="1"/>
      <c r="B172" s="2"/>
      <c r="C172" s="6" t="s">
        <v>180</v>
      </c>
      <c r="D172" s="6" t="s">
        <v>122</v>
      </c>
      <c r="E172" s="6">
        <v>75</v>
      </c>
      <c r="F172" s="6">
        <v>401.17</v>
      </c>
    </row>
    <row r="173" spans="1:6" x14ac:dyDescent="0.25">
      <c r="A173" s="1"/>
      <c r="B173" s="2"/>
      <c r="C173" s="6" t="s">
        <v>181</v>
      </c>
      <c r="D173" s="6" t="s">
        <v>122</v>
      </c>
      <c r="E173" s="6">
        <v>141</v>
      </c>
      <c r="F173" s="6">
        <v>2785.15</v>
      </c>
    </row>
    <row r="174" spans="1:6" x14ac:dyDescent="0.25">
      <c r="A174" s="1"/>
      <c r="B174" s="2"/>
      <c r="C174" s="6" t="s">
        <v>182</v>
      </c>
      <c r="D174" s="6" t="s">
        <v>122</v>
      </c>
      <c r="E174" s="6">
        <v>121</v>
      </c>
      <c r="F174" s="6">
        <v>2547.92</v>
      </c>
    </row>
    <row r="175" spans="1:7" x14ac:dyDescent="0.25">
      <c r="A175" s="5">
        <v>46285</v>
      </c>
      <c r="B175" s="6" t="s">
        <v>183</v>
      </c>
      <c r="C175" s="6" t="s">
        <v>184</v>
      </c>
      <c r="D175" s="6" t="s">
        <v>122</v>
      </c>
      <c r="E175" s="6">
        <v>120</v>
      </c>
      <c r="F175" s="6">
        <v>2094.69</v>
      </c>
      <c r="G175" s="5">
        <v>46288</v>
      </c>
    </row>
    <row r="176" spans="1:7" x14ac:dyDescent="0.25">
      <c r="A176" s="5">
        <v>46289</v>
      </c>
      <c r="B176" s="6" t="s">
        <v>172</v>
      </c>
      <c r="C176" s="6" t="s">
        <v>185</v>
      </c>
      <c r="D176" s="6" t="s">
        <v>122</v>
      </c>
      <c r="E176" s="6">
        <v>121</v>
      </c>
      <c r="F176" s="6">
        <v>2567.72</v>
      </c>
      <c r="G176" s="5">
        <v>46288</v>
      </c>
    </row>
    <row r="177" spans="1:6" x14ac:dyDescent="0.25">
      <c r="A177" s="1"/>
      <c r="B177" s="2"/>
      <c r="C177" s="6" t="s">
        <v>186</v>
      </c>
      <c r="D177" s="6" t="s">
        <v>122</v>
      </c>
      <c r="E177" s="6">
        <v>121</v>
      </c>
      <c r="F177" s="6">
        <v>2456.23</v>
      </c>
    </row>
    <row r="178" spans="1:6" x14ac:dyDescent="0.25">
      <c r="A178" s="1"/>
      <c r="B178" s="2"/>
      <c r="C178" s="6" t="s">
        <v>187</v>
      </c>
      <c r="D178" s="6" t="s">
        <v>122</v>
      </c>
      <c r="E178" s="6">
        <v>34</v>
      </c>
      <c r="F178" s="6">
        <v>650.71</v>
      </c>
    </row>
    <row r="179" spans="1:6" x14ac:dyDescent="0.25">
      <c r="A179" s="1"/>
      <c r="B179" s="2"/>
      <c r="C179" s="6" t="s">
        <v>188</v>
      </c>
      <c r="D179" s="6" t="s">
        <v>122</v>
      </c>
      <c r="E179" s="6">
        <v>100</v>
      </c>
      <c r="F179" s="6">
        <v>2084.63</v>
      </c>
    </row>
    <row r="180" spans="1:6" x14ac:dyDescent="0.25">
      <c r="A180" s="1"/>
      <c r="B180" s="2"/>
      <c r="C180" s="6" t="s">
        <v>189</v>
      </c>
      <c r="D180" s="6" t="s">
        <v>122</v>
      </c>
      <c r="E180" s="6">
        <v>48</v>
      </c>
      <c r="F180" s="6">
        <v>1009.62</v>
      </c>
    </row>
    <row r="181" spans="1:6" x14ac:dyDescent="0.25">
      <c r="A181" s="1"/>
      <c r="B181" s="2"/>
      <c r="C181" s="6" t="s">
        <v>190</v>
      </c>
      <c r="D181" s="6" t="s">
        <v>122</v>
      </c>
      <c r="E181" s="6">
        <v>93</v>
      </c>
      <c r="F181" s="6">
        <v>1830.7</v>
      </c>
    </row>
    <row r="182" spans="1:6" x14ac:dyDescent="0.25">
      <c r="A182" s="1"/>
      <c r="B182" s="2"/>
      <c r="C182" s="6" t="s">
        <v>191</v>
      </c>
      <c r="D182" s="6" t="s">
        <v>122</v>
      </c>
      <c r="E182" s="6">
        <v>65</v>
      </c>
      <c r="F182" s="6">
        <v>1282.54</v>
      </c>
    </row>
    <row r="183" spans="1:6" x14ac:dyDescent="0.25">
      <c r="A183" s="1"/>
      <c r="B183" s="2"/>
      <c r="C183" s="6" t="s">
        <v>192</v>
      </c>
      <c r="D183" s="6" t="s">
        <v>122</v>
      </c>
      <c r="E183" s="6">
        <v>37</v>
      </c>
      <c r="F183" s="6">
        <v>729.39</v>
      </c>
    </row>
    <row r="184" spans="1:6" x14ac:dyDescent="0.25">
      <c r="A184" s="1"/>
      <c r="B184" s="2"/>
      <c r="C184" s="6" t="s">
        <v>193</v>
      </c>
      <c r="D184" s="6" t="s">
        <v>122</v>
      </c>
      <c r="E184" s="6">
        <v>47</v>
      </c>
      <c r="F184" s="6">
        <v>983.88</v>
      </c>
    </row>
    <row r="185" spans="1:6" x14ac:dyDescent="0.25">
      <c r="A185" s="1"/>
      <c r="B185" s="2"/>
      <c r="C185" s="6" t="s">
        <v>194</v>
      </c>
      <c r="D185" s="6" t="s">
        <v>122</v>
      </c>
      <c r="E185" s="6">
        <v>10</v>
      </c>
      <c r="F185" s="6">
        <v>176.44</v>
      </c>
    </row>
    <row r="186" spans="1:6" x14ac:dyDescent="0.25">
      <c r="A186" s="1"/>
      <c r="B186" s="2"/>
      <c r="C186" s="6" t="s">
        <v>195</v>
      </c>
      <c r="D186" s="6" t="s">
        <v>122</v>
      </c>
      <c r="E186" s="6">
        <v>45</v>
      </c>
      <c r="F186" s="6">
        <v>873.28</v>
      </c>
    </row>
    <row r="187" spans="1:6" x14ac:dyDescent="0.25">
      <c r="A187" s="1"/>
      <c r="B187" s="2"/>
      <c r="C187" s="6" t="s">
        <v>196</v>
      </c>
      <c r="D187" s="6" t="s">
        <v>122</v>
      </c>
      <c r="E187" s="6">
        <v>102</v>
      </c>
      <c r="F187" s="6">
        <v>2042.37</v>
      </c>
    </row>
    <row r="188" spans="1:6" x14ac:dyDescent="0.25">
      <c r="A188" s="1"/>
      <c r="B188" s="2"/>
      <c r="C188" s="6" t="s">
        <v>197</v>
      </c>
      <c r="D188" s="6" t="s">
        <v>122</v>
      </c>
      <c r="E188" s="6">
        <v>49</v>
      </c>
      <c r="F188" s="6">
        <v>1014.65</v>
      </c>
    </row>
    <row r="189" spans="1:6" x14ac:dyDescent="0.25">
      <c r="A189" s="1"/>
      <c r="B189" s="2"/>
      <c r="C189" s="6" t="s">
        <v>198</v>
      </c>
      <c r="D189" s="6" t="s">
        <v>122</v>
      </c>
      <c r="E189" s="6">
        <v>26</v>
      </c>
      <c r="F189" s="6">
        <v>510.73</v>
      </c>
    </row>
    <row r="190" spans="1:6" x14ac:dyDescent="0.25">
      <c r="A190" s="1"/>
      <c r="B190" s="2"/>
      <c r="C190" s="6" t="s">
        <v>199</v>
      </c>
      <c r="D190" s="6" t="s">
        <v>122</v>
      </c>
      <c r="E190" s="6">
        <v>102</v>
      </c>
      <c r="F190" s="6">
        <v>2062.11</v>
      </c>
    </row>
    <row r="191" spans="1:6" x14ac:dyDescent="0.25">
      <c r="A191" s="1"/>
      <c r="B191" s="2"/>
      <c r="C191" s="6" t="s">
        <v>200</v>
      </c>
      <c r="D191" s="6" t="s">
        <v>122</v>
      </c>
      <c r="E191" s="6">
        <v>60</v>
      </c>
      <c r="F191" s="6">
        <v>1173.11</v>
      </c>
    </row>
    <row r="192" spans="1:6" x14ac:dyDescent="0.25">
      <c r="A192" s="1"/>
      <c r="B192" s="2"/>
      <c r="C192" s="6" t="s">
        <v>201</v>
      </c>
      <c r="D192" s="6" t="s">
        <v>122</v>
      </c>
      <c r="E192" s="6">
        <v>42</v>
      </c>
      <c r="F192" s="6">
        <v>868.6</v>
      </c>
    </row>
    <row r="194" spans="1:7" x14ac:dyDescent="0.25">
      <c r="A194" s="5">
        <v>46288</v>
      </c>
      <c r="B194" s="6" t="s">
        <v>202</v>
      </c>
      <c r="C194" s="6" t="s">
        <v>203</v>
      </c>
      <c r="D194" s="6" t="s">
        <v>204</v>
      </c>
      <c r="E194" s="6">
        <v>141</v>
      </c>
      <c r="F194" s="6">
        <v>2868.99</v>
      </c>
      <c r="G194" s="5">
        <v>46288</v>
      </c>
    </row>
    <row r="196" spans="1:7" x14ac:dyDescent="0.25">
      <c r="A196" s="5">
        <v>46288</v>
      </c>
      <c r="B196" s="6" t="s">
        <v>202</v>
      </c>
      <c r="C196" s="6" t="s">
        <v>205</v>
      </c>
      <c r="D196" s="6" t="s">
        <v>204</v>
      </c>
      <c r="E196" s="6">
        <v>100</v>
      </c>
      <c r="F196" s="6">
        <v>2246.93</v>
      </c>
      <c r="G196" s="5">
        <v>46288</v>
      </c>
    </row>
    <row r="198" spans="1:7" x14ac:dyDescent="0.25">
      <c r="A198" s="5">
        <v>46289</v>
      </c>
      <c r="B198" s="6" t="s">
        <v>206</v>
      </c>
      <c r="C198" s="6" t="s">
        <v>207</v>
      </c>
      <c r="D198" s="6" t="s">
        <v>27</v>
      </c>
      <c r="E198" s="6">
        <v>23</v>
      </c>
      <c r="F198" s="6">
        <v>349.36</v>
      </c>
      <c r="G198" s="5">
        <v>46288</v>
      </c>
    </row>
    <row r="199" spans="1:6" x14ac:dyDescent="0.25">
      <c r="A199" s="1"/>
      <c r="B199" s="2"/>
      <c r="C199" s="6" t="s">
        <v>208</v>
      </c>
      <c r="D199" s="6" t="s">
        <v>27</v>
      </c>
      <c r="E199" s="6">
        <v>52</v>
      </c>
      <c r="F199" s="6">
        <v>1049.31</v>
      </c>
    </row>
    <row r="200" spans="1:6" x14ac:dyDescent="0.25">
      <c r="A200" s="1"/>
      <c r="B200" s="2"/>
      <c r="C200" s="6" t="s">
        <v>209</v>
      </c>
      <c r="D200" s="6" t="s">
        <v>27</v>
      </c>
      <c r="E200" s="6">
        <v>56</v>
      </c>
      <c r="F200" s="6">
        <v>1124.5</v>
      </c>
    </row>
    <row r="201" spans="1:6" x14ac:dyDescent="0.25">
      <c r="A201" s="1"/>
      <c r="B201" s="2"/>
      <c r="C201" s="6" t="s">
        <v>210</v>
      </c>
      <c r="D201" s="6" t="s">
        <v>27</v>
      </c>
      <c r="E201" s="6">
        <v>74</v>
      </c>
      <c r="F201" s="6">
        <v>1464.03</v>
      </c>
    </row>
    <row r="202" spans="1:6" x14ac:dyDescent="0.25">
      <c r="A202" s="1"/>
      <c r="B202" s="2"/>
      <c r="C202" s="6" t="s">
        <v>211</v>
      </c>
      <c r="D202" s="6" t="s">
        <v>27</v>
      </c>
      <c r="E202" s="6">
        <v>41</v>
      </c>
      <c r="F202" s="6">
        <v>801.38</v>
      </c>
    </row>
    <row r="204" spans="1:7" x14ac:dyDescent="0.25">
      <c r="A204" s="5">
        <v>46288</v>
      </c>
      <c r="B204" s="6" t="s">
        <v>212</v>
      </c>
      <c r="C204" s="6" t="s">
        <v>213</v>
      </c>
      <c r="D204" s="6" t="s">
        <v>214</v>
      </c>
      <c r="E204" s="6">
        <v>156</v>
      </c>
      <c r="F204" s="6">
        <v>2738.04</v>
      </c>
      <c r="G204" s="5">
        <v>46287</v>
      </c>
    </row>
    <row r="205" spans="1:6" x14ac:dyDescent="0.25">
      <c r="A205" s="1"/>
      <c r="B205" s="2"/>
      <c r="C205" s="6" t="s">
        <v>215</v>
      </c>
      <c r="D205" s="6" t="s">
        <v>216</v>
      </c>
      <c r="E205" s="6">
        <v>36</v>
      </c>
      <c r="F205" s="6">
        <v>634.15</v>
      </c>
    </row>
    <row r="206" spans="1:6" x14ac:dyDescent="0.25">
      <c r="A206" s="1"/>
      <c r="B206" s="2"/>
      <c r="C206" s="6" t="s">
        <v>217</v>
      </c>
      <c r="D206" s="6" t="s">
        <v>204</v>
      </c>
      <c r="E206" s="6">
        <v>72</v>
      </c>
      <c r="F206" s="6">
        <v>1353.76</v>
      </c>
    </row>
    <row r="207" spans="1:6" x14ac:dyDescent="0.25">
      <c r="A207" s="1"/>
      <c r="B207" s="2"/>
      <c r="C207" s="6" t="s">
        <v>218</v>
      </c>
      <c r="D207" s="6" t="s">
        <v>214</v>
      </c>
      <c r="E207" s="6">
        <v>156</v>
      </c>
      <c r="F207" s="6">
        <v>3152.65</v>
      </c>
    </row>
    <row r="208" spans="1:6" x14ac:dyDescent="0.25">
      <c r="A208" s="1"/>
      <c r="B208" s="2"/>
      <c r="C208" s="6" t="s">
        <v>219</v>
      </c>
      <c r="D208" s="6" t="s">
        <v>214</v>
      </c>
      <c r="E208" s="6">
        <v>156</v>
      </c>
      <c r="F208" s="6">
        <v>3119.87</v>
      </c>
    </row>
    <row r="209" spans="1:6" x14ac:dyDescent="0.25">
      <c r="A209" s="1"/>
      <c r="B209" s="2"/>
      <c r="C209" s="6" t="s">
        <v>220</v>
      </c>
      <c r="D209" s="6" t="s">
        <v>216</v>
      </c>
      <c r="E209" s="6">
        <v>163</v>
      </c>
      <c r="F209" s="6">
        <v>3225.87</v>
      </c>
    </row>
    <row r="210" spans="1:6" x14ac:dyDescent="0.25">
      <c r="A210" s="1"/>
      <c r="B210" s="2"/>
      <c r="C210" s="6" t="s">
        <v>221</v>
      </c>
      <c r="D210" s="6" t="s">
        <v>204</v>
      </c>
      <c r="E210" s="6">
        <v>163</v>
      </c>
      <c r="F210" s="6">
        <v>3102.88</v>
      </c>
    </row>
    <row r="211" spans="1:6" x14ac:dyDescent="0.25">
      <c r="A211" s="1"/>
      <c r="B211" s="2"/>
      <c r="C211" s="6" t="s">
        <v>222</v>
      </c>
      <c r="D211" s="6" t="s">
        <v>204</v>
      </c>
      <c r="E211" s="6">
        <v>163</v>
      </c>
      <c r="F211" s="6">
        <v>2798.82</v>
      </c>
    </row>
    <row r="212" spans="1:6" x14ac:dyDescent="0.25">
      <c r="A212" s="1"/>
      <c r="B212" s="2"/>
      <c r="C212" s="6" t="s">
        <v>223</v>
      </c>
      <c r="D212" s="6" t="s">
        <v>204</v>
      </c>
      <c r="E212" s="6">
        <v>105</v>
      </c>
      <c r="F212" s="6">
        <v>2000.47</v>
      </c>
    </row>
    <row r="213" spans="1:6" x14ac:dyDescent="0.25">
      <c r="A213" s="1"/>
      <c r="B213" s="2"/>
      <c r="C213" s="6" t="s">
        <v>224</v>
      </c>
      <c r="D213" s="6" t="s">
        <v>214</v>
      </c>
      <c r="E213" s="6">
        <v>100</v>
      </c>
      <c r="F213" s="6">
        <v>1916.83</v>
      </c>
    </row>
    <row r="214" spans="1:6" x14ac:dyDescent="0.25">
      <c r="A214" s="1"/>
      <c r="B214" s="2"/>
      <c r="C214" s="6" t="s">
        <v>225</v>
      </c>
      <c r="D214" s="6" t="s">
        <v>214</v>
      </c>
      <c r="E214" s="6">
        <v>56</v>
      </c>
      <c r="F214" s="6">
        <v>1060.33</v>
      </c>
    </row>
    <row r="215" spans="1:6" x14ac:dyDescent="0.25">
      <c r="A215" s="1"/>
      <c r="B215" s="2"/>
      <c r="C215" s="6" t="s">
        <v>226</v>
      </c>
      <c r="D215" s="6" t="s">
        <v>204</v>
      </c>
      <c r="E215" s="6">
        <v>101</v>
      </c>
      <c r="F215" s="6">
        <v>1958.42</v>
      </c>
    </row>
    <row r="216" spans="1:6" x14ac:dyDescent="0.25">
      <c r="A216" s="1"/>
      <c r="B216" s="2"/>
      <c r="C216" s="6" t="s">
        <v>227</v>
      </c>
      <c r="D216" s="6" t="s">
        <v>204</v>
      </c>
      <c r="E216" s="6">
        <v>163</v>
      </c>
      <c r="F216" s="6">
        <v>3121.29</v>
      </c>
    </row>
    <row r="217" spans="1:6" x14ac:dyDescent="0.25">
      <c r="A217" s="1"/>
      <c r="B217" s="2"/>
      <c r="C217" s="6" t="s">
        <v>228</v>
      </c>
      <c r="D217" s="6" t="s">
        <v>204</v>
      </c>
      <c r="E217" s="6">
        <v>163</v>
      </c>
      <c r="F217" s="6">
        <v>3244.87</v>
      </c>
    </row>
    <row r="218" spans="1:6" x14ac:dyDescent="0.25">
      <c r="A218" s="1"/>
      <c r="B218" s="2"/>
      <c r="C218" s="6" t="s">
        <v>229</v>
      </c>
      <c r="D218" s="6" t="s">
        <v>204</v>
      </c>
      <c r="E218" s="6">
        <v>163</v>
      </c>
      <c r="F218" s="6">
        <v>3157.18</v>
      </c>
    </row>
    <row r="219" spans="1:6" x14ac:dyDescent="0.25">
      <c r="A219" s="1"/>
      <c r="B219" s="2"/>
      <c r="C219" s="6" t="s">
        <v>230</v>
      </c>
      <c r="D219" s="6" t="s">
        <v>216</v>
      </c>
      <c r="E219" s="6">
        <v>134</v>
      </c>
      <c r="F219" s="6">
        <v>2704.53</v>
      </c>
    </row>
    <row r="220" spans="1:6" x14ac:dyDescent="0.25">
      <c r="A220" s="1"/>
      <c r="B220" s="2"/>
      <c r="C220" s="6" t="s">
        <v>231</v>
      </c>
      <c r="D220" s="6" t="s">
        <v>216</v>
      </c>
      <c r="E220" s="6">
        <v>134</v>
      </c>
      <c r="F220" s="6">
        <v>2679.21</v>
      </c>
    </row>
    <row r="221" spans="1:6" x14ac:dyDescent="0.25">
      <c r="A221" s="1"/>
      <c r="B221" s="2"/>
      <c r="C221" s="6" t="s">
        <v>232</v>
      </c>
      <c r="D221" s="6" t="s">
        <v>216</v>
      </c>
      <c r="E221" s="6">
        <v>134</v>
      </c>
      <c r="F221" s="6">
        <v>2770.99</v>
      </c>
    </row>
    <row r="222" spans="1:6" x14ac:dyDescent="0.25">
      <c r="A222" s="1"/>
      <c r="B222" s="2"/>
      <c r="C222" s="6" t="s">
        <v>233</v>
      </c>
      <c r="D222" s="6" t="s">
        <v>214</v>
      </c>
      <c r="E222" s="6">
        <v>100</v>
      </c>
      <c r="F222" s="6">
        <v>1981.57</v>
      </c>
    </row>
    <row r="223" spans="1:6" x14ac:dyDescent="0.25">
      <c r="A223" s="1"/>
      <c r="B223" s="2"/>
      <c r="C223" s="6" t="s">
        <v>234</v>
      </c>
      <c r="D223" s="6" t="s">
        <v>214</v>
      </c>
      <c r="E223" s="6">
        <v>56</v>
      </c>
      <c r="F223" s="6">
        <v>930.58</v>
      </c>
    </row>
    <row r="224" spans="1:6" x14ac:dyDescent="0.25">
      <c r="A224" s="1"/>
      <c r="B224" s="2"/>
      <c r="C224" s="6" t="s">
        <v>235</v>
      </c>
      <c r="D224" s="6" t="s">
        <v>236</v>
      </c>
      <c r="E224" s="6">
        <v>80</v>
      </c>
      <c r="F224" s="6">
        <v>1531.34</v>
      </c>
    </row>
    <row r="225" spans="1:6" x14ac:dyDescent="0.25">
      <c r="A225" s="1"/>
      <c r="B225" s="2"/>
      <c r="C225" s="6" t="s">
        <v>237</v>
      </c>
      <c r="D225" s="6" t="s">
        <v>236</v>
      </c>
      <c r="E225" s="6">
        <v>58</v>
      </c>
      <c r="F225" s="6">
        <v>1175.28</v>
      </c>
    </row>
    <row r="226" spans="1:7" x14ac:dyDescent="0.25">
      <c r="A226" s="5">
        <v>46287</v>
      </c>
      <c r="B226" s="6" t="s">
        <v>238</v>
      </c>
      <c r="C226" s="6" t="s">
        <v>239</v>
      </c>
      <c r="D226" s="6" t="s">
        <v>204</v>
      </c>
      <c r="E226" s="6">
        <v>70</v>
      </c>
      <c r="F226" s="6">
        <v>1655.43</v>
      </c>
      <c r="G226" s="5">
        <v>46287</v>
      </c>
    </row>
    <row r="227" spans="1:6" x14ac:dyDescent="0.25">
      <c r="A227" s="1"/>
      <c r="B227" s="2"/>
      <c r="C227" s="6" t="s">
        <v>240</v>
      </c>
      <c r="D227" s="6" t="s">
        <v>204</v>
      </c>
      <c r="E227" s="6">
        <v>89</v>
      </c>
      <c r="F227" s="6">
        <v>1556.91</v>
      </c>
    </row>
    <row r="228" spans="1:6" x14ac:dyDescent="0.25">
      <c r="A228" s="1"/>
      <c r="B228" s="2"/>
      <c r="C228" s="6" t="s">
        <v>241</v>
      </c>
      <c r="D228" s="6" t="s">
        <v>204</v>
      </c>
      <c r="E228" s="6">
        <v>74</v>
      </c>
      <c r="F228" s="6">
        <v>1406.96</v>
      </c>
    </row>
    <row r="229" spans="1:6" x14ac:dyDescent="0.25">
      <c r="A229" s="1"/>
      <c r="B229" s="2"/>
      <c r="C229" s="6" t="s">
        <v>242</v>
      </c>
      <c r="D229" s="6" t="s">
        <v>204</v>
      </c>
      <c r="E229" s="6">
        <v>74</v>
      </c>
      <c r="F229" s="6">
        <v>1436.3</v>
      </c>
    </row>
    <row r="230" spans="1:6" x14ac:dyDescent="0.25">
      <c r="A230" s="1"/>
      <c r="B230" s="2"/>
      <c r="C230" s="6" t="s">
        <v>243</v>
      </c>
      <c r="D230" s="6" t="s">
        <v>204</v>
      </c>
      <c r="E230" s="6">
        <v>163</v>
      </c>
      <c r="F230" s="6">
        <v>3109</v>
      </c>
    </row>
    <row r="231" spans="1:6" x14ac:dyDescent="0.25">
      <c r="A231" s="1"/>
      <c r="B231" s="2"/>
      <c r="C231" s="6" t="s">
        <v>244</v>
      </c>
      <c r="D231" s="6" t="s">
        <v>204</v>
      </c>
      <c r="E231" s="6">
        <v>102</v>
      </c>
      <c r="F231" s="6">
        <v>1990.21</v>
      </c>
    </row>
    <row r="232" spans="1:7" x14ac:dyDescent="0.25">
      <c r="A232" s="5">
        <v>46288</v>
      </c>
      <c r="B232" s="6" t="s">
        <v>212</v>
      </c>
      <c r="C232" s="6" t="s">
        <v>245</v>
      </c>
      <c r="D232" s="6" t="s">
        <v>216</v>
      </c>
      <c r="E232" s="6">
        <v>134</v>
      </c>
      <c r="F232" s="6">
        <v>2774.32</v>
      </c>
      <c r="G232" s="5">
        <v>46287</v>
      </c>
    </row>
    <row r="233" spans="1:6" x14ac:dyDescent="0.25">
      <c r="A233" s="1"/>
      <c r="B233" s="2"/>
      <c r="C233" s="6" t="s">
        <v>246</v>
      </c>
      <c r="D233" s="6" t="s">
        <v>216</v>
      </c>
      <c r="E233" s="6">
        <v>134</v>
      </c>
      <c r="F233" s="6">
        <v>2611.91</v>
      </c>
    </row>
    <row r="234" spans="1:6" x14ac:dyDescent="0.25">
      <c r="A234" s="1"/>
      <c r="B234" s="2"/>
      <c r="C234" s="6" t="s">
        <v>247</v>
      </c>
      <c r="D234" s="6" t="s">
        <v>216</v>
      </c>
      <c r="E234" s="6">
        <v>134</v>
      </c>
      <c r="F234" s="6">
        <v>2731.77</v>
      </c>
    </row>
    <row r="235" spans="1:7" x14ac:dyDescent="0.25">
      <c r="A235" s="5">
        <v>46287</v>
      </c>
      <c r="B235" s="6" t="s">
        <v>238</v>
      </c>
      <c r="C235" s="6" t="s">
        <v>248</v>
      </c>
      <c r="D235" s="6" t="s">
        <v>204</v>
      </c>
      <c r="E235" s="6">
        <v>105</v>
      </c>
      <c r="F235" s="6">
        <v>2134.73</v>
      </c>
      <c r="G235" s="5">
        <v>46287</v>
      </c>
    </row>
    <row r="236" spans="1:6" x14ac:dyDescent="0.25">
      <c r="A236" s="1"/>
      <c r="B236" s="2"/>
      <c r="C236" s="6" t="s">
        <v>249</v>
      </c>
      <c r="D236" s="6" t="s">
        <v>204</v>
      </c>
      <c r="E236" s="6">
        <v>105</v>
      </c>
      <c r="F236" s="6">
        <v>2037.63</v>
      </c>
    </row>
    <row r="238" spans="1:7" x14ac:dyDescent="0.25">
      <c r="A238" s="5">
        <v>46288</v>
      </c>
      <c r="B238" s="6" t="s">
        <v>90</v>
      </c>
      <c r="C238" s="6" t="s">
        <v>250</v>
      </c>
      <c r="D238" s="6" t="s">
        <v>9</v>
      </c>
      <c r="E238" s="6">
        <v>197</v>
      </c>
      <c r="F238" s="6">
        <v>928.37</v>
      </c>
      <c r="G238" s="5">
        <v>46287</v>
      </c>
    </row>
    <row r="239" spans="1:6" x14ac:dyDescent="0.25">
      <c r="A239" s="1"/>
      <c r="B239" s="2"/>
      <c r="C239" s="6" t="s">
        <v>251</v>
      </c>
      <c r="D239" s="6" t="s">
        <v>9</v>
      </c>
      <c r="E239" s="6">
        <v>68</v>
      </c>
      <c r="F239" s="6">
        <v>1291.33</v>
      </c>
    </row>
    <row r="240" spans="1:6" x14ac:dyDescent="0.25">
      <c r="A240" s="1"/>
      <c r="B240" s="2"/>
      <c r="C240" s="6" t="s">
        <v>252</v>
      </c>
      <c r="D240" s="6" t="s">
        <v>9</v>
      </c>
      <c r="E240" s="6">
        <v>53</v>
      </c>
      <c r="F240" s="6">
        <v>1044.08</v>
      </c>
    </row>
    <row r="241" spans="1:6" x14ac:dyDescent="0.25">
      <c r="A241" s="1"/>
      <c r="B241" s="2"/>
      <c r="C241" s="6" t="s">
        <v>253</v>
      </c>
      <c r="D241" s="6" t="s">
        <v>9</v>
      </c>
      <c r="E241" s="6">
        <v>99</v>
      </c>
      <c r="F241" s="6">
        <v>1946.49</v>
      </c>
    </row>
    <row r="242" spans="1:6" x14ac:dyDescent="0.25">
      <c r="A242" s="1"/>
      <c r="B242" s="2"/>
      <c r="C242" s="6" t="s">
        <v>254</v>
      </c>
      <c r="D242" s="6" t="s">
        <v>9</v>
      </c>
      <c r="E242" s="6">
        <v>97</v>
      </c>
      <c r="F242" s="6">
        <v>1849.42</v>
      </c>
    </row>
    <row r="243" spans="1:6" x14ac:dyDescent="0.25">
      <c r="A243" s="1"/>
      <c r="B243" s="2"/>
      <c r="C243" s="6" t="s">
        <v>255</v>
      </c>
      <c r="D243" s="6" t="s">
        <v>9</v>
      </c>
      <c r="E243" s="6">
        <v>123</v>
      </c>
      <c r="F243" s="6">
        <v>2365.65</v>
      </c>
    </row>
    <row r="244" spans="1:6" x14ac:dyDescent="0.25">
      <c r="A244" s="1"/>
      <c r="B244" s="2"/>
      <c r="C244" s="6" t="s">
        <v>256</v>
      </c>
      <c r="D244" s="6" t="s">
        <v>9</v>
      </c>
      <c r="E244" s="6">
        <v>123</v>
      </c>
      <c r="F244" s="6">
        <v>2329.36</v>
      </c>
    </row>
    <row r="245" spans="1:6" x14ac:dyDescent="0.25">
      <c r="A245" s="1"/>
      <c r="B245" s="2"/>
      <c r="C245" s="6" t="s">
        <v>257</v>
      </c>
      <c r="D245" s="6" t="s">
        <v>9</v>
      </c>
      <c r="E245" s="6">
        <v>80</v>
      </c>
      <c r="F245" s="6">
        <v>1627.99</v>
      </c>
    </row>
    <row r="246" spans="1:6" x14ac:dyDescent="0.25">
      <c r="A246" s="1"/>
      <c r="B246" s="2"/>
      <c r="C246" s="6" t="s">
        <v>258</v>
      </c>
      <c r="D246" s="6" t="s">
        <v>9</v>
      </c>
      <c r="E246" s="6">
        <v>123</v>
      </c>
      <c r="F246" s="6">
        <v>2471.11</v>
      </c>
    </row>
    <row r="247" spans="1:6" x14ac:dyDescent="0.25">
      <c r="A247" s="1"/>
      <c r="B247" s="2"/>
      <c r="C247" s="6" t="s">
        <v>259</v>
      </c>
      <c r="D247" s="6" t="s">
        <v>9</v>
      </c>
      <c r="E247" s="6">
        <v>141</v>
      </c>
      <c r="F247" s="6">
        <v>2877.01</v>
      </c>
    </row>
    <row r="248" spans="1:6" x14ac:dyDescent="0.25">
      <c r="A248" s="1"/>
      <c r="B248" s="2"/>
      <c r="C248" s="6" t="s">
        <v>260</v>
      </c>
      <c r="D248" s="6" t="s">
        <v>9</v>
      </c>
      <c r="E248" s="6">
        <v>141</v>
      </c>
      <c r="F248" s="6">
        <v>2965.77</v>
      </c>
    </row>
    <row r="249" spans="1:6" x14ac:dyDescent="0.25">
      <c r="A249" s="1"/>
      <c r="B249" s="2"/>
      <c r="C249" s="6" t="s">
        <v>261</v>
      </c>
      <c r="D249" s="6" t="s">
        <v>9</v>
      </c>
      <c r="E249" s="6">
        <v>123</v>
      </c>
      <c r="F249" s="6">
        <v>2138.43</v>
      </c>
    </row>
    <row r="250" spans="1:6" x14ac:dyDescent="0.25">
      <c r="A250" s="1"/>
      <c r="B250" s="2"/>
      <c r="C250" s="6" t="s">
        <v>262</v>
      </c>
      <c r="D250" s="6" t="s">
        <v>9</v>
      </c>
      <c r="E250" s="6">
        <v>102</v>
      </c>
      <c r="F250" s="6">
        <v>2079.89</v>
      </c>
    </row>
    <row r="251" spans="1:6" x14ac:dyDescent="0.25">
      <c r="A251" s="1"/>
      <c r="B251" s="2"/>
      <c r="C251" s="6" t="s">
        <v>263</v>
      </c>
      <c r="D251" s="6" t="s">
        <v>9</v>
      </c>
      <c r="E251" s="6">
        <v>141</v>
      </c>
      <c r="F251" s="6">
        <v>2711.38</v>
      </c>
    </row>
    <row r="252" spans="1:6" x14ac:dyDescent="0.25">
      <c r="A252" s="1"/>
      <c r="B252" s="2"/>
      <c r="C252" s="6" t="s">
        <v>264</v>
      </c>
      <c r="D252" s="6" t="s">
        <v>9</v>
      </c>
      <c r="E252" s="6">
        <v>59</v>
      </c>
      <c r="F252" s="6">
        <v>1030.63</v>
      </c>
    </row>
    <row r="253" spans="1:6" x14ac:dyDescent="0.25">
      <c r="A253" s="1"/>
      <c r="B253" s="2"/>
      <c r="C253" s="6" t="s">
        <v>265</v>
      </c>
      <c r="D253" s="6" t="s">
        <v>9</v>
      </c>
      <c r="E253" s="6">
        <v>82</v>
      </c>
      <c r="F253" s="6">
        <v>1497.86</v>
      </c>
    </row>
    <row r="254" spans="1:6" x14ac:dyDescent="0.25">
      <c r="A254" s="1"/>
      <c r="B254" s="2"/>
      <c r="C254" s="6" t="s">
        <v>266</v>
      </c>
      <c r="D254" s="6" t="s">
        <v>9</v>
      </c>
      <c r="E254" s="6">
        <v>69</v>
      </c>
      <c r="F254" s="6">
        <v>1312.26</v>
      </c>
    </row>
    <row r="255" spans="1:6" x14ac:dyDescent="0.25">
      <c r="A255" s="1"/>
      <c r="B255" s="2"/>
      <c r="C255" s="6" t="s">
        <v>267</v>
      </c>
      <c r="D255" s="6" t="s">
        <v>9</v>
      </c>
      <c r="E255" s="6">
        <v>19</v>
      </c>
      <c r="F255" s="6">
        <v>411.31</v>
      </c>
    </row>
    <row r="256" spans="1:6" x14ac:dyDescent="0.25">
      <c r="A256" s="1"/>
      <c r="B256" s="2"/>
      <c r="C256" s="6" t="s">
        <v>268</v>
      </c>
      <c r="D256" s="6" t="s">
        <v>9</v>
      </c>
      <c r="E256" s="6">
        <v>18</v>
      </c>
      <c r="F256" s="6">
        <v>373.65</v>
      </c>
    </row>
    <row r="257" spans="1:6" x14ac:dyDescent="0.25">
      <c r="A257" s="1"/>
      <c r="B257" s="2"/>
      <c r="C257" s="6" t="s">
        <v>269</v>
      </c>
      <c r="D257" s="6" t="s">
        <v>9</v>
      </c>
      <c r="E257" s="6">
        <v>35</v>
      </c>
      <c r="F257" s="6">
        <v>742.36</v>
      </c>
    </row>
    <row r="258" spans="1:6" x14ac:dyDescent="0.25">
      <c r="A258" s="1"/>
      <c r="B258" s="2"/>
      <c r="C258" s="6" t="s">
        <v>270</v>
      </c>
      <c r="D258" s="6" t="s">
        <v>9</v>
      </c>
      <c r="E258" s="6">
        <v>10</v>
      </c>
      <c r="F258" s="6">
        <v>191.74</v>
      </c>
    </row>
    <row r="259" spans="1:6" x14ac:dyDescent="0.25">
      <c r="A259" s="1"/>
      <c r="B259" s="2"/>
      <c r="C259" s="6" t="s">
        <v>271</v>
      </c>
      <c r="D259" s="6" t="s">
        <v>9</v>
      </c>
      <c r="E259" s="6">
        <v>5</v>
      </c>
      <c r="F259" s="6">
        <v>79.02</v>
      </c>
    </row>
    <row r="260" spans="1:6" x14ac:dyDescent="0.25">
      <c r="A260" s="1"/>
      <c r="B260" s="2"/>
      <c r="C260" s="6" t="s">
        <v>272</v>
      </c>
      <c r="D260" s="6" t="s">
        <v>9</v>
      </c>
      <c r="E260" s="6">
        <v>13</v>
      </c>
      <c r="F260" s="6">
        <v>247.52</v>
      </c>
    </row>
    <row r="261" spans="1:6" x14ac:dyDescent="0.25">
      <c r="A261" s="1"/>
      <c r="B261" s="2"/>
      <c r="C261" s="6" t="s">
        <v>273</v>
      </c>
      <c r="D261" s="6" t="s">
        <v>9</v>
      </c>
      <c r="E261" s="6">
        <v>25</v>
      </c>
      <c r="F261" s="6">
        <v>396.43</v>
      </c>
    </row>
    <row r="262" spans="1:6" x14ac:dyDescent="0.25">
      <c r="A262" s="1"/>
      <c r="B262" s="2"/>
      <c r="C262" s="6" t="s">
        <v>274</v>
      </c>
      <c r="D262" s="6" t="s">
        <v>9</v>
      </c>
      <c r="E262" s="6">
        <v>18</v>
      </c>
      <c r="F262" s="6">
        <v>315.56</v>
      </c>
    </row>
    <row r="263" spans="1:6" x14ac:dyDescent="0.25">
      <c r="A263" s="1"/>
      <c r="B263" s="2"/>
      <c r="C263" s="6" t="s">
        <v>275</v>
      </c>
      <c r="D263" s="6" t="s">
        <v>9</v>
      </c>
      <c r="E263" s="6">
        <v>141</v>
      </c>
      <c r="F263" s="6">
        <v>2863.54</v>
      </c>
    </row>
    <row r="264" spans="1:6" x14ac:dyDescent="0.25">
      <c r="A264" s="1"/>
      <c r="B264" s="2"/>
      <c r="C264" s="6" t="s">
        <v>276</v>
      </c>
      <c r="D264" s="6" t="s">
        <v>9</v>
      </c>
      <c r="E264" s="6">
        <v>141</v>
      </c>
      <c r="F264" s="6">
        <v>2883.59</v>
      </c>
    </row>
    <row r="265" spans="1:6" x14ac:dyDescent="0.25">
      <c r="A265" s="1"/>
      <c r="B265" s="2"/>
      <c r="C265" s="6" t="s">
        <v>277</v>
      </c>
      <c r="D265" s="6" t="s">
        <v>9</v>
      </c>
      <c r="E265" s="6">
        <v>141</v>
      </c>
      <c r="F265" s="6">
        <v>2769.54</v>
      </c>
    </row>
    <row r="266" spans="1:6" x14ac:dyDescent="0.25">
      <c r="A266" s="1"/>
      <c r="B266" s="2"/>
      <c r="C266" s="6" t="s">
        <v>278</v>
      </c>
      <c r="D266" s="6" t="s">
        <v>9</v>
      </c>
      <c r="E266" s="6">
        <v>22</v>
      </c>
      <c r="F266" s="6">
        <v>452.03</v>
      </c>
    </row>
    <row r="267" spans="1:6" x14ac:dyDescent="0.25">
      <c r="A267" s="1"/>
      <c r="B267" s="2"/>
      <c r="C267" s="6" t="s">
        <v>279</v>
      </c>
      <c r="D267" s="6" t="s">
        <v>9</v>
      </c>
      <c r="E267" s="6">
        <v>80</v>
      </c>
      <c r="F267" s="6">
        <v>1660.29</v>
      </c>
    </row>
    <row r="268" spans="1:6" x14ac:dyDescent="0.25">
      <c r="A268" s="1"/>
      <c r="B268" s="2"/>
      <c r="C268" s="6" t="s">
        <v>280</v>
      </c>
      <c r="D268" s="6" t="s">
        <v>9</v>
      </c>
      <c r="E268" s="6">
        <v>88</v>
      </c>
      <c r="F268" s="6">
        <v>1763.99</v>
      </c>
    </row>
    <row r="269" spans="1:6" x14ac:dyDescent="0.25">
      <c r="A269" s="1"/>
      <c r="B269" s="2"/>
      <c r="C269" s="6" t="s">
        <v>281</v>
      </c>
      <c r="D269" s="6" t="s">
        <v>9</v>
      </c>
      <c r="E269" s="6">
        <v>53</v>
      </c>
      <c r="F269" s="6">
        <v>1070.4</v>
      </c>
    </row>
    <row r="270" spans="1:6" x14ac:dyDescent="0.25">
      <c r="A270" s="1"/>
      <c r="B270" s="2"/>
      <c r="C270" s="6" t="s">
        <v>282</v>
      </c>
      <c r="D270" s="6" t="s">
        <v>9</v>
      </c>
      <c r="E270" s="6">
        <v>141</v>
      </c>
      <c r="F270" s="6">
        <v>2573.03</v>
      </c>
    </row>
    <row r="271" spans="1:6" x14ac:dyDescent="0.25">
      <c r="A271" s="1"/>
      <c r="B271" s="2"/>
      <c r="C271" s="6" t="s">
        <v>283</v>
      </c>
      <c r="D271" s="6" t="s">
        <v>9</v>
      </c>
      <c r="E271" s="6">
        <v>41</v>
      </c>
      <c r="F271" s="6">
        <v>797.89</v>
      </c>
    </row>
    <row r="272" spans="1:6" x14ac:dyDescent="0.25">
      <c r="A272" s="1"/>
      <c r="B272" s="2"/>
      <c r="C272" s="6" t="s">
        <v>284</v>
      </c>
      <c r="D272" s="6" t="s">
        <v>9</v>
      </c>
      <c r="E272" s="6">
        <v>9</v>
      </c>
      <c r="F272" s="6">
        <v>122.15</v>
      </c>
    </row>
    <row r="273" spans="1:6" x14ac:dyDescent="0.25">
      <c r="A273" s="1"/>
      <c r="B273" s="2"/>
      <c r="C273" s="6" t="s">
        <v>285</v>
      </c>
      <c r="D273" s="6" t="s">
        <v>9</v>
      </c>
      <c r="E273" s="6">
        <v>44</v>
      </c>
      <c r="F273" s="6">
        <v>901.16</v>
      </c>
    </row>
    <row r="274" spans="1:6" x14ac:dyDescent="0.25">
      <c r="A274" s="1"/>
      <c r="B274" s="2"/>
      <c r="C274" s="6" t="s">
        <v>286</v>
      </c>
      <c r="D274" s="6" t="s">
        <v>9</v>
      </c>
      <c r="E274" s="6">
        <v>47</v>
      </c>
      <c r="F274" s="6">
        <v>956.1</v>
      </c>
    </row>
    <row r="275" spans="1:6" x14ac:dyDescent="0.25">
      <c r="A275" s="1"/>
      <c r="B275" s="2"/>
      <c r="C275" s="6" t="s">
        <v>287</v>
      </c>
      <c r="D275" s="6" t="s">
        <v>9</v>
      </c>
      <c r="E275" s="6">
        <v>32</v>
      </c>
      <c r="F275" s="6">
        <v>479.97</v>
      </c>
    </row>
    <row r="276" spans="1:6" x14ac:dyDescent="0.25">
      <c r="A276" s="1"/>
      <c r="B276" s="2"/>
      <c r="C276" s="6" t="s">
        <v>288</v>
      </c>
      <c r="D276" s="6" t="s">
        <v>9</v>
      </c>
      <c r="E276" s="6">
        <v>28</v>
      </c>
      <c r="F276" s="6">
        <v>504.51</v>
      </c>
    </row>
    <row r="277" spans="1:6" x14ac:dyDescent="0.25">
      <c r="A277" s="1"/>
      <c r="B277" s="2"/>
      <c r="C277" s="6" t="s">
        <v>289</v>
      </c>
      <c r="D277" s="6" t="s">
        <v>9</v>
      </c>
      <c r="E277" s="6">
        <v>27</v>
      </c>
      <c r="F277" s="6">
        <v>541.39</v>
      </c>
    </row>
    <row r="278" spans="1:6" x14ac:dyDescent="0.25">
      <c r="A278" s="1"/>
      <c r="B278" s="2"/>
      <c r="C278" s="6" t="s">
        <v>290</v>
      </c>
      <c r="D278" s="6" t="s">
        <v>9</v>
      </c>
      <c r="E278" s="6">
        <v>14</v>
      </c>
      <c r="F278" s="6">
        <v>309.92</v>
      </c>
    </row>
    <row r="279" spans="1:6" x14ac:dyDescent="0.25">
      <c r="A279" s="1"/>
      <c r="B279" s="2"/>
      <c r="C279" s="6" t="s">
        <v>291</v>
      </c>
      <c r="D279" s="6" t="s">
        <v>9</v>
      </c>
      <c r="E279" s="6">
        <v>10</v>
      </c>
      <c r="F279" s="6">
        <v>215.73</v>
      </c>
    </row>
    <row r="280" spans="1:6" x14ac:dyDescent="0.25">
      <c r="A280" s="1"/>
      <c r="B280" s="2"/>
      <c r="C280" s="6" t="s">
        <v>292</v>
      </c>
      <c r="D280" s="6" t="s">
        <v>9</v>
      </c>
      <c r="E280" s="6">
        <v>32</v>
      </c>
      <c r="F280" s="6">
        <v>563.24</v>
      </c>
    </row>
    <row r="282" spans="1:7" x14ac:dyDescent="0.25">
      <c r="A282" s="5">
        <v>46288</v>
      </c>
      <c r="B282" s="6" t="s">
        <v>212</v>
      </c>
      <c r="C282" s="6" t="s">
        <v>293</v>
      </c>
      <c r="D282" s="6" t="s">
        <v>216</v>
      </c>
      <c r="E282" s="6">
        <v>129</v>
      </c>
      <c r="F282" s="6">
        <v>2371.83</v>
      </c>
      <c r="G282" s="5">
        <v>46287</v>
      </c>
    </row>
    <row r="283" spans="1:6" x14ac:dyDescent="0.25">
      <c r="A283" s="1"/>
      <c r="B283" s="2"/>
      <c r="C283" s="6" t="s">
        <v>294</v>
      </c>
      <c r="D283" s="6" t="s">
        <v>216</v>
      </c>
      <c r="E283" s="6">
        <v>31</v>
      </c>
      <c r="F283" s="6">
        <v>394.99</v>
      </c>
    </row>
    <row r="284" spans="1:6" x14ac:dyDescent="0.25">
      <c r="A284" s="1"/>
      <c r="B284" s="2"/>
      <c r="C284" s="6" t="s">
        <v>295</v>
      </c>
      <c r="D284" s="6" t="s">
        <v>216</v>
      </c>
      <c r="E284" s="6">
        <v>156</v>
      </c>
      <c r="F284" s="6">
        <v>2758.91</v>
      </c>
    </row>
    <row r="285" spans="1:6" x14ac:dyDescent="0.25">
      <c r="A285" s="1"/>
      <c r="B285" s="2"/>
      <c r="C285" s="6" t="s">
        <v>296</v>
      </c>
      <c r="D285" s="6" t="s">
        <v>297</v>
      </c>
      <c r="E285" s="6">
        <v>105</v>
      </c>
      <c r="F285" s="6">
        <v>2032.73</v>
      </c>
    </row>
    <row r="287" spans="1:7" x14ac:dyDescent="0.25">
      <c r="A287" s="5">
        <v>46288</v>
      </c>
      <c r="B287" s="6" t="s">
        <v>10</v>
      </c>
      <c r="C287" s="6" t="s">
        <v>298</v>
      </c>
      <c r="D287" s="6" t="s">
        <v>12</v>
      </c>
      <c r="E287" s="6">
        <v>99</v>
      </c>
      <c r="F287" s="6">
        <v>1849.94</v>
      </c>
      <c r="G287" s="5">
        <v>46287</v>
      </c>
    </row>
    <row r="288" spans="1:6" x14ac:dyDescent="0.25">
      <c r="A288" s="1"/>
      <c r="B288" s="2"/>
      <c r="C288" s="6" t="s">
        <v>299</v>
      </c>
      <c r="D288" s="6" t="s">
        <v>12</v>
      </c>
      <c r="E288" s="6">
        <v>99</v>
      </c>
      <c r="F288" s="6">
        <v>1951.98</v>
      </c>
    </row>
    <row r="290" spans="1:7" x14ac:dyDescent="0.25">
      <c r="A290" s="5">
        <v>46288</v>
      </c>
      <c r="B290" s="6" t="s">
        <v>120</v>
      </c>
      <c r="C290" s="6" t="s">
        <v>300</v>
      </c>
      <c r="D290" s="6" t="s">
        <v>42</v>
      </c>
      <c r="E290" s="6">
        <v>49</v>
      </c>
      <c r="F290" s="6">
        <v>1138.75</v>
      </c>
      <c r="G290" s="5">
        <v>46287</v>
      </c>
    </row>
    <row r="291" spans="1:6" x14ac:dyDescent="0.25">
      <c r="A291" s="1"/>
      <c r="B291" s="2"/>
      <c r="C291" s="6" t="s">
        <v>301</v>
      </c>
      <c r="D291" s="6" t="s">
        <v>42</v>
      </c>
      <c r="E291" s="6">
        <v>67</v>
      </c>
      <c r="F291" s="6">
        <v>1387.09</v>
      </c>
    </row>
    <row r="292" spans="1:6" x14ac:dyDescent="0.25">
      <c r="A292" s="1"/>
      <c r="B292" s="2"/>
      <c r="C292" s="6" t="s">
        <v>302</v>
      </c>
      <c r="D292" s="6" t="s">
        <v>42</v>
      </c>
      <c r="E292" s="6">
        <v>123</v>
      </c>
      <c r="F292" s="6">
        <v>2308.07</v>
      </c>
    </row>
    <row r="293" spans="1:6" x14ac:dyDescent="0.25">
      <c r="A293" s="1"/>
      <c r="B293" s="2"/>
      <c r="C293" s="6" t="s">
        <v>303</v>
      </c>
      <c r="D293" s="6" t="s">
        <v>42</v>
      </c>
      <c r="E293" s="6">
        <v>18</v>
      </c>
      <c r="F293" s="6">
        <v>361.74</v>
      </c>
    </row>
    <row r="294" spans="1:6" x14ac:dyDescent="0.25">
      <c r="A294" s="1"/>
      <c r="B294" s="2"/>
      <c r="C294" s="6" t="s">
        <v>304</v>
      </c>
      <c r="D294" s="6" t="s">
        <v>42</v>
      </c>
      <c r="E294" s="6">
        <v>123</v>
      </c>
      <c r="F294" s="6">
        <v>2456.55</v>
      </c>
    </row>
    <row r="295" spans="1:6" x14ac:dyDescent="0.25">
      <c r="A295" s="1"/>
      <c r="B295" s="2"/>
      <c r="C295" s="6" t="s">
        <v>305</v>
      </c>
      <c r="D295" s="6" t="s">
        <v>42</v>
      </c>
      <c r="E295" s="6">
        <v>100</v>
      </c>
      <c r="F295" s="6">
        <v>1983.97</v>
      </c>
    </row>
    <row r="296" spans="1:6" x14ac:dyDescent="0.25">
      <c r="A296" s="1"/>
      <c r="B296" s="2"/>
      <c r="C296" s="6" t="s">
        <v>306</v>
      </c>
      <c r="D296" s="6" t="s">
        <v>42</v>
      </c>
      <c r="E296" s="6">
        <v>41</v>
      </c>
      <c r="F296" s="6">
        <v>799.92</v>
      </c>
    </row>
    <row r="297" spans="1:6" x14ac:dyDescent="0.25">
      <c r="A297" s="1"/>
      <c r="B297" s="2"/>
      <c r="C297" s="6" t="s">
        <v>307</v>
      </c>
      <c r="D297" s="6" t="s">
        <v>42</v>
      </c>
      <c r="E297" s="6">
        <v>60</v>
      </c>
      <c r="F297" s="6">
        <v>294.35</v>
      </c>
    </row>
    <row r="298" spans="1:6" x14ac:dyDescent="0.25">
      <c r="A298" s="1"/>
      <c r="B298" s="2"/>
      <c r="C298" s="6" t="s">
        <v>308</v>
      </c>
      <c r="D298" s="6" t="s">
        <v>42</v>
      </c>
      <c r="E298" s="6">
        <v>83</v>
      </c>
      <c r="F298" s="6">
        <v>1564.06</v>
      </c>
    </row>
    <row r="299" spans="1:6" x14ac:dyDescent="0.25">
      <c r="A299" s="1"/>
      <c r="B299" s="2"/>
      <c r="C299" s="6" t="s">
        <v>309</v>
      </c>
      <c r="D299" s="6" t="s">
        <v>42</v>
      </c>
      <c r="E299" s="6">
        <v>50</v>
      </c>
      <c r="F299" s="6">
        <v>1041.2</v>
      </c>
    </row>
    <row r="300" spans="1:6" x14ac:dyDescent="0.25">
      <c r="A300" s="1"/>
      <c r="B300" s="2"/>
      <c r="C300" s="6" t="s">
        <v>310</v>
      </c>
      <c r="D300" s="6" t="s">
        <v>42</v>
      </c>
      <c r="E300" s="6">
        <v>36</v>
      </c>
      <c r="F300" s="6">
        <v>753.5</v>
      </c>
    </row>
    <row r="301" spans="1:6" x14ac:dyDescent="0.25">
      <c r="A301" s="1"/>
      <c r="B301" s="2"/>
      <c r="C301" s="6" t="s">
        <v>311</v>
      </c>
      <c r="D301" s="6" t="s">
        <v>42</v>
      </c>
      <c r="E301" s="6">
        <v>17</v>
      </c>
      <c r="F301" s="6">
        <v>326.1</v>
      </c>
    </row>
    <row r="302" spans="1:6" x14ac:dyDescent="0.25">
      <c r="A302" s="1"/>
      <c r="B302" s="2"/>
      <c r="C302" s="6" t="s">
        <v>312</v>
      </c>
      <c r="D302" s="6" t="s">
        <v>42</v>
      </c>
      <c r="E302" s="6">
        <v>50</v>
      </c>
      <c r="F302" s="6">
        <v>1014.16</v>
      </c>
    </row>
    <row r="303" spans="1:6" x14ac:dyDescent="0.25">
      <c r="A303" s="1"/>
      <c r="B303" s="2"/>
      <c r="C303" s="6" t="s">
        <v>313</v>
      </c>
      <c r="D303" s="6" t="s">
        <v>42</v>
      </c>
      <c r="E303" s="6">
        <v>38</v>
      </c>
      <c r="F303" s="6">
        <v>747.14</v>
      </c>
    </row>
    <row r="304" spans="1:6" x14ac:dyDescent="0.25">
      <c r="A304" s="1"/>
      <c r="B304" s="2"/>
      <c r="C304" s="6" t="s">
        <v>314</v>
      </c>
      <c r="D304" s="6" t="s">
        <v>42</v>
      </c>
      <c r="E304" s="6">
        <v>40</v>
      </c>
      <c r="F304" s="6">
        <v>816.1</v>
      </c>
    </row>
    <row r="305" spans="1:6" x14ac:dyDescent="0.25">
      <c r="A305" s="1"/>
      <c r="B305" s="2"/>
      <c r="C305" s="6" t="s">
        <v>315</v>
      </c>
      <c r="D305" s="6" t="s">
        <v>42</v>
      </c>
      <c r="E305" s="6">
        <v>82</v>
      </c>
      <c r="F305" s="6">
        <v>1659.16</v>
      </c>
    </row>
    <row r="306" spans="1:6" x14ac:dyDescent="0.25">
      <c r="A306" s="1"/>
      <c r="B306" s="2"/>
      <c r="C306" s="6" t="s">
        <v>316</v>
      </c>
      <c r="D306" s="6" t="s">
        <v>42</v>
      </c>
      <c r="E306" s="6">
        <v>16</v>
      </c>
      <c r="F306" s="6">
        <v>254.4</v>
      </c>
    </row>
    <row r="307" spans="1:6" x14ac:dyDescent="0.25">
      <c r="A307" s="1"/>
      <c r="B307" s="2"/>
      <c r="C307" s="6" t="s">
        <v>317</v>
      </c>
      <c r="D307" s="6" t="s">
        <v>42</v>
      </c>
      <c r="E307" s="6">
        <v>10</v>
      </c>
      <c r="F307" s="6">
        <v>175.81</v>
      </c>
    </row>
    <row r="308" spans="1:6" x14ac:dyDescent="0.25">
      <c r="A308" s="1"/>
      <c r="B308" s="2"/>
      <c r="C308" s="6" t="s">
        <v>318</v>
      </c>
      <c r="D308" s="6" t="s">
        <v>42</v>
      </c>
      <c r="E308" s="6">
        <v>115</v>
      </c>
      <c r="F308" s="6">
        <v>2147.58</v>
      </c>
    </row>
    <row r="309" spans="1:6" x14ac:dyDescent="0.25">
      <c r="A309" s="1"/>
      <c r="B309" s="2"/>
      <c r="C309" s="6" t="s">
        <v>319</v>
      </c>
      <c r="D309" s="6" t="s">
        <v>42</v>
      </c>
      <c r="E309" s="6">
        <v>60</v>
      </c>
      <c r="F309" s="6">
        <v>311.87</v>
      </c>
    </row>
    <row r="310" spans="1:6" x14ac:dyDescent="0.25">
      <c r="A310" s="1"/>
      <c r="B310" s="2"/>
      <c r="C310" s="6" t="s">
        <v>320</v>
      </c>
      <c r="D310" s="6" t="s">
        <v>42</v>
      </c>
      <c r="E310" s="6">
        <v>72</v>
      </c>
      <c r="F310" s="6">
        <v>1412.58</v>
      </c>
    </row>
    <row r="311" spans="1:6" x14ac:dyDescent="0.25">
      <c r="A311" s="1"/>
      <c r="B311" s="2"/>
      <c r="C311" s="6" t="s">
        <v>321</v>
      </c>
      <c r="D311" s="6" t="s">
        <v>42</v>
      </c>
      <c r="E311" s="6">
        <v>25</v>
      </c>
      <c r="F311" s="6">
        <v>540.97</v>
      </c>
    </row>
    <row r="312" spans="1:6" x14ac:dyDescent="0.25">
      <c r="A312" s="1"/>
      <c r="B312" s="2"/>
      <c r="C312" s="6" t="s">
        <v>322</v>
      </c>
      <c r="D312" s="6" t="s">
        <v>42</v>
      </c>
      <c r="E312" s="6">
        <v>26</v>
      </c>
      <c r="F312" s="6">
        <v>505.9</v>
      </c>
    </row>
    <row r="313" spans="1:6" x14ac:dyDescent="0.25">
      <c r="A313" s="1"/>
      <c r="B313" s="2"/>
      <c r="C313" s="6" t="s">
        <v>323</v>
      </c>
      <c r="D313" s="6" t="s">
        <v>42</v>
      </c>
      <c r="E313" s="6">
        <v>74</v>
      </c>
      <c r="F313" s="6">
        <v>1597.62</v>
      </c>
    </row>
    <row r="315" spans="1:7" x14ac:dyDescent="0.25">
      <c r="A315" s="5">
        <v>46288</v>
      </c>
      <c r="B315" s="6" t="s">
        <v>324</v>
      </c>
      <c r="C315" s="6" t="s">
        <v>325</v>
      </c>
      <c r="D315" s="6" t="s">
        <v>27</v>
      </c>
      <c r="E315" s="6">
        <v>88</v>
      </c>
      <c r="F315" s="6">
        <v>1419.42</v>
      </c>
      <c r="G315" s="5">
        <v>46287</v>
      </c>
    </row>
    <row r="316" spans="1:6" x14ac:dyDescent="0.25">
      <c r="A316" s="1"/>
      <c r="B316" s="2"/>
      <c r="C316" s="6" t="s">
        <v>326</v>
      </c>
      <c r="D316" s="6" t="s">
        <v>27</v>
      </c>
      <c r="E316" s="6">
        <v>33</v>
      </c>
      <c r="F316" s="6">
        <v>561.29</v>
      </c>
    </row>
    <row r="317" spans="1:6" x14ac:dyDescent="0.25">
      <c r="A317" s="1"/>
      <c r="B317" s="2"/>
      <c r="C317" s="6" t="s">
        <v>327</v>
      </c>
      <c r="D317" s="6" t="s">
        <v>27</v>
      </c>
      <c r="E317" s="6">
        <v>67</v>
      </c>
      <c r="F317" s="6">
        <v>1253.6</v>
      </c>
    </row>
    <row r="318" spans="1:6" x14ac:dyDescent="0.25">
      <c r="A318" s="1"/>
      <c r="B318" s="2"/>
      <c r="C318" s="6" t="s">
        <v>328</v>
      </c>
      <c r="D318" s="6" t="s">
        <v>27</v>
      </c>
      <c r="E318" s="6">
        <v>118</v>
      </c>
      <c r="F318" s="6">
        <v>2308.05</v>
      </c>
    </row>
    <row r="319" spans="1:6" x14ac:dyDescent="0.25">
      <c r="A319" s="1"/>
      <c r="B319" s="2"/>
      <c r="C319" s="6" t="s">
        <v>329</v>
      </c>
      <c r="D319" s="6" t="s">
        <v>27</v>
      </c>
      <c r="E319" s="6">
        <v>89</v>
      </c>
      <c r="F319" s="6">
        <v>1289.88</v>
      </c>
    </row>
    <row r="320" spans="1:6" x14ac:dyDescent="0.25">
      <c r="A320" s="1"/>
      <c r="B320" s="2"/>
      <c r="C320" s="6" t="s">
        <v>330</v>
      </c>
      <c r="D320" s="6" t="s">
        <v>27</v>
      </c>
      <c r="E320" s="6">
        <v>12</v>
      </c>
      <c r="F320" s="6">
        <v>180.92</v>
      </c>
    </row>
    <row r="321" spans="1:6" x14ac:dyDescent="0.25">
      <c r="A321" s="1"/>
      <c r="B321" s="2"/>
      <c r="C321" s="6" t="s">
        <v>331</v>
      </c>
      <c r="D321" s="6" t="s">
        <v>27</v>
      </c>
      <c r="E321" s="6">
        <v>75</v>
      </c>
      <c r="F321" s="6">
        <v>1509.12</v>
      </c>
    </row>
    <row r="322" spans="1:6" x14ac:dyDescent="0.25">
      <c r="A322" s="1"/>
      <c r="B322" s="2"/>
      <c r="C322" s="6" t="s">
        <v>332</v>
      </c>
      <c r="D322" s="6" t="s">
        <v>27</v>
      </c>
      <c r="E322" s="6">
        <v>14</v>
      </c>
      <c r="F322" s="6">
        <v>270.96</v>
      </c>
    </row>
    <row r="323" spans="1:6" x14ac:dyDescent="0.25">
      <c r="A323" s="1"/>
      <c r="B323" s="2"/>
      <c r="C323" s="6" t="s">
        <v>333</v>
      </c>
      <c r="D323" s="6" t="s">
        <v>27</v>
      </c>
      <c r="E323" s="6">
        <v>9</v>
      </c>
      <c r="F323" s="6">
        <v>190.35</v>
      </c>
    </row>
    <row r="324" spans="1:6" x14ac:dyDescent="0.25">
      <c r="A324" s="1"/>
      <c r="B324" s="2"/>
      <c r="C324" s="6" t="s">
        <v>334</v>
      </c>
      <c r="D324" s="6" t="s">
        <v>27</v>
      </c>
      <c r="E324" s="6">
        <v>7</v>
      </c>
      <c r="F324" s="6">
        <v>137.6</v>
      </c>
    </row>
    <row r="326" spans="1:7" x14ac:dyDescent="0.25">
      <c r="A326" s="5">
        <v>46288</v>
      </c>
      <c r="B326" s="6" t="s">
        <v>335</v>
      </c>
      <c r="C326" s="6" t="s">
        <v>336</v>
      </c>
      <c r="D326" s="6" t="s">
        <v>20</v>
      </c>
      <c r="E326" s="6">
        <v>149</v>
      </c>
      <c r="F326" s="6">
        <v>2931.35</v>
      </c>
      <c r="G326" s="5">
        <v>46287</v>
      </c>
    </row>
    <row r="327" spans="1:6" x14ac:dyDescent="0.25">
      <c r="A327" s="1"/>
      <c r="B327" s="2"/>
      <c r="C327" s="6" t="s">
        <v>337</v>
      </c>
      <c r="D327" s="6" t="s">
        <v>20</v>
      </c>
      <c r="E327" s="6">
        <v>149</v>
      </c>
      <c r="F327" s="6">
        <v>2926.15</v>
      </c>
    </row>
    <row r="329" spans="1:7" x14ac:dyDescent="0.25">
      <c r="A329" s="5">
        <v>46287</v>
      </c>
      <c r="B329" s="6" t="s">
        <v>338</v>
      </c>
      <c r="C329" s="6" t="s">
        <v>339</v>
      </c>
      <c r="D329" s="6" t="s">
        <v>9</v>
      </c>
      <c r="E329" s="6">
        <v>98</v>
      </c>
      <c r="F329" s="6">
        <v>1776.17</v>
      </c>
      <c r="G329" s="5">
        <v>46287</v>
      </c>
    </row>
    <row r="330" spans="1:6" x14ac:dyDescent="0.25">
      <c r="A330" s="1"/>
      <c r="B330" s="2"/>
      <c r="C330" s="6" t="s">
        <v>340</v>
      </c>
      <c r="D330" s="6" t="s">
        <v>9</v>
      </c>
      <c r="E330" s="6">
        <v>99</v>
      </c>
      <c r="F330" s="6">
        <v>1693.36</v>
      </c>
    </row>
    <row r="332" spans="1:7" x14ac:dyDescent="0.25">
      <c r="A332" s="5">
        <v>46287</v>
      </c>
      <c r="B332" s="6" t="s">
        <v>238</v>
      </c>
      <c r="C332" s="6" t="s">
        <v>341</v>
      </c>
      <c r="D332" s="6" t="s">
        <v>342</v>
      </c>
      <c r="E332" s="6">
        <v>156</v>
      </c>
      <c r="F332" s="6">
        <v>3053.63</v>
      </c>
      <c r="G332" s="5">
        <v>46287</v>
      </c>
    </row>
    <row r="334" spans="1:7" x14ac:dyDescent="0.25">
      <c r="A334" s="5">
        <v>46287</v>
      </c>
      <c r="B334" s="6" t="s">
        <v>238</v>
      </c>
      <c r="C334" s="6" t="s">
        <v>343</v>
      </c>
      <c r="D334" s="6" t="s">
        <v>342</v>
      </c>
      <c r="E334" s="6">
        <v>156</v>
      </c>
      <c r="F334" s="6">
        <v>3247.07</v>
      </c>
      <c r="G334" s="5">
        <v>46287</v>
      </c>
    </row>
    <row r="336" spans="1:7" x14ac:dyDescent="0.25">
      <c r="A336" s="5">
        <v>46287</v>
      </c>
      <c r="B336" s="6" t="s">
        <v>238</v>
      </c>
      <c r="C336" s="6" t="s">
        <v>344</v>
      </c>
      <c r="D336" s="6" t="s">
        <v>297</v>
      </c>
      <c r="E336" s="6">
        <v>156</v>
      </c>
      <c r="F336" s="6">
        <v>3076.21</v>
      </c>
      <c r="G336" s="5">
        <v>46287</v>
      </c>
    </row>
    <row r="337" spans="1:6" x14ac:dyDescent="0.25">
      <c r="A337" s="1"/>
      <c r="B337" s="2"/>
      <c r="C337" s="6" t="s">
        <v>345</v>
      </c>
      <c r="D337" s="6" t="s">
        <v>297</v>
      </c>
      <c r="E337" s="6">
        <v>127</v>
      </c>
      <c r="F337" s="6">
        <v>2384.83</v>
      </c>
    </row>
    <row r="339" spans="1:7" x14ac:dyDescent="0.25">
      <c r="A339" s="5">
        <v>46287</v>
      </c>
      <c r="B339" s="6" t="s">
        <v>238</v>
      </c>
      <c r="C339" s="6" t="s">
        <v>346</v>
      </c>
      <c r="D339" s="6" t="s">
        <v>347</v>
      </c>
      <c r="E339" s="6">
        <v>56</v>
      </c>
      <c r="F339" s="6">
        <v>1051.12</v>
      </c>
      <c r="G339" s="5">
        <v>46287</v>
      </c>
    </row>
    <row r="340" spans="1:6" x14ac:dyDescent="0.25">
      <c r="A340" s="1"/>
      <c r="B340" s="2"/>
      <c r="C340" s="6" t="s">
        <v>348</v>
      </c>
      <c r="D340" s="6" t="s">
        <v>347</v>
      </c>
      <c r="E340" s="6">
        <v>100</v>
      </c>
      <c r="F340" s="6">
        <v>1965.44</v>
      </c>
    </row>
    <row r="341" spans="1:6" x14ac:dyDescent="0.25">
      <c r="A341" s="1"/>
      <c r="B341" s="2"/>
      <c r="C341" s="6" t="s">
        <v>349</v>
      </c>
      <c r="D341" s="6" t="s">
        <v>214</v>
      </c>
      <c r="E341" s="6">
        <v>156</v>
      </c>
      <c r="F341" s="6">
        <v>2966.14</v>
      </c>
    </row>
    <row r="342" spans="1:6" x14ac:dyDescent="0.25">
      <c r="A342" s="1"/>
      <c r="B342" s="2"/>
      <c r="C342" s="6" t="s">
        <v>350</v>
      </c>
      <c r="D342" s="6" t="s">
        <v>214</v>
      </c>
      <c r="E342" s="6">
        <v>156</v>
      </c>
      <c r="F342" s="6">
        <v>3049.22</v>
      </c>
    </row>
    <row r="343" spans="1:6" x14ac:dyDescent="0.25">
      <c r="A343" s="1"/>
      <c r="B343" s="2"/>
      <c r="C343" s="6" t="s">
        <v>351</v>
      </c>
      <c r="D343" s="6" t="s">
        <v>204</v>
      </c>
      <c r="E343" s="6">
        <v>105</v>
      </c>
      <c r="F343" s="6">
        <v>1962.5</v>
      </c>
    </row>
    <row r="344" spans="1:6" x14ac:dyDescent="0.25">
      <c r="A344" s="1"/>
      <c r="B344" s="2"/>
      <c r="C344" s="6" t="s">
        <v>352</v>
      </c>
      <c r="D344" s="6" t="s">
        <v>214</v>
      </c>
      <c r="E344" s="6">
        <v>156</v>
      </c>
      <c r="F344" s="6">
        <v>3087.33</v>
      </c>
    </row>
    <row r="345" spans="1:6" x14ac:dyDescent="0.25">
      <c r="A345" s="1"/>
      <c r="B345" s="2"/>
      <c r="C345" s="6" t="s">
        <v>353</v>
      </c>
      <c r="D345" s="6" t="s">
        <v>204</v>
      </c>
      <c r="E345" s="6">
        <v>67</v>
      </c>
      <c r="F345" s="6">
        <v>1296.84</v>
      </c>
    </row>
    <row r="346" spans="1:6" x14ac:dyDescent="0.25">
      <c r="A346" s="1"/>
      <c r="B346" s="2"/>
      <c r="C346" s="6" t="s">
        <v>354</v>
      </c>
      <c r="D346" s="6" t="s">
        <v>236</v>
      </c>
      <c r="E346" s="6">
        <v>36</v>
      </c>
      <c r="F346" s="6">
        <v>675.72</v>
      </c>
    </row>
    <row r="347" spans="1:6" x14ac:dyDescent="0.25">
      <c r="A347" s="1"/>
      <c r="B347" s="2"/>
      <c r="C347" s="6" t="s">
        <v>244</v>
      </c>
      <c r="D347" s="6" t="s">
        <v>204</v>
      </c>
      <c r="E347" s="6">
        <v>102</v>
      </c>
      <c r="F347" s="6">
        <v>1990.21</v>
      </c>
    </row>
    <row r="348" spans="1:6" x14ac:dyDescent="0.25">
      <c r="A348" s="1"/>
      <c r="B348" s="2"/>
      <c r="C348" s="6" t="s">
        <v>355</v>
      </c>
      <c r="D348" s="6" t="s">
        <v>204</v>
      </c>
      <c r="E348" s="6">
        <v>67</v>
      </c>
      <c r="F348" s="6">
        <v>1325.32</v>
      </c>
    </row>
    <row r="349" spans="1:6" x14ac:dyDescent="0.25">
      <c r="A349" s="1"/>
      <c r="B349" s="2"/>
      <c r="C349" s="6" t="s">
        <v>356</v>
      </c>
      <c r="D349" s="6" t="s">
        <v>236</v>
      </c>
      <c r="E349" s="6">
        <v>60</v>
      </c>
      <c r="F349" s="6">
        <v>1070.07</v>
      </c>
    </row>
    <row r="350" spans="1:6" x14ac:dyDescent="0.25">
      <c r="A350" s="1"/>
      <c r="B350" s="2"/>
      <c r="C350" s="6" t="s">
        <v>357</v>
      </c>
      <c r="D350" s="6" t="s">
        <v>236</v>
      </c>
      <c r="E350" s="6">
        <v>60</v>
      </c>
      <c r="F350" s="6">
        <v>1070.85</v>
      </c>
    </row>
    <row r="351" spans="1:6" x14ac:dyDescent="0.25">
      <c r="A351" s="1"/>
      <c r="B351" s="2"/>
      <c r="C351" s="6" t="s">
        <v>358</v>
      </c>
      <c r="D351" s="6" t="s">
        <v>204</v>
      </c>
      <c r="E351" s="6">
        <v>105</v>
      </c>
      <c r="F351" s="6">
        <v>1909.82</v>
      </c>
    </row>
    <row r="352" spans="1:6" x14ac:dyDescent="0.25">
      <c r="A352" s="1"/>
      <c r="B352" s="2"/>
      <c r="C352" s="6" t="s">
        <v>248</v>
      </c>
      <c r="D352" s="6" t="s">
        <v>204</v>
      </c>
      <c r="E352" s="6">
        <v>105</v>
      </c>
      <c r="F352" s="6">
        <v>2134.73</v>
      </c>
    </row>
    <row r="353" spans="1:6" x14ac:dyDescent="0.25">
      <c r="A353" s="1"/>
      <c r="B353" s="2"/>
      <c r="C353" s="6" t="s">
        <v>249</v>
      </c>
      <c r="D353" s="6" t="s">
        <v>204</v>
      </c>
      <c r="E353" s="6">
        <v>105</v>
      </c>
      <c r="F353" s="6">
        <v>2037.63</v>
      </c>
    </row>
    <row r="354" spans="1:6" x14ac:dyDescent="0.25">
      <c r="A354" s="1"/>
      <c r="B354" s="2"/>
      <c r="C354" s="6" t="s">
        <v>359</v>
      </c>
      <c r="D354" s="6" t="s">
        <v>204</v>
      </c>
      <c r="E354" s="6">
        <v>105</v>
      </c>
      <c r="F354" s="6">
        <v>2036.1</v>
      </c>
    </row>
    <row r="355" spans="1:6" x14ac:dyDescent="0.25">
      <c r="A355" s="1"/>
      <c r="B355" s="2"/>
      <c r="C355" s="6" t="s">
        <v>360</v>
      </c>
      <c r="D355" s="6" t="s">
        <v>204</v>
      </c>
      <c r="E355" s="6">
        <v>105</v>
      </c>
      <c r="F355" s="6">
        <v>2086.66</v>
      </c>
    </row>
    <row r="356" spans="1:6" x14ac:dyDescent="0.25">
      <c r="A356" s="1"/>
      <c r="B356" s="2"/>
      <c r="C356" s="6" t="s">
        <v>361</v>
      </c>
      <c r="D356" s="6" t="s">
        <v>236</v>
      </c>
      <c r="E356" s="6">
        <v>80</v>
      </c>
      <c r="F356" s="6">
        <v>1581.58</v>
      </c>
    </row>
    <row r="357" spans="1:6" x14ac:dyDescent="0.25">
      <c r="A357" s="1"/>
      <c r="B357" s="2"/>
      <c r="C357" s="6" t="s">
        <v>362</v>
      </c>
      <c r="D357" s="6" t="s">
        <v>236</v>
      </c>
      <c r="E357" s="6">
        <v>58</v>
      </c>
      <c r="F357" s="6">
        <v>1152.25</v>
      </c>
    </row>
    <row r="358" spans="1:6" x14ac:dyDescent="0.25">
      <c r="A358" s="1"/>
      <c r="B358" s="2"/>
      <c r="C358" s="6" t="s">
        <v>363</v>
      </c>
      <c r="D358" s="6" t="s">
        <v>236</v>
      </c>
      <c r="E358" s="6">
        <v>18</v>
      </c>
      <c r="F358" s="6">
        <v>358.26</v>
      </c>
    </row>
    <row r="359" spans="1:6" x14ac:dyDescent="0.25">
      <c r="A359" s="1"/>
      <c r="B359" s="2"/>
      <c r="C359" s="6" t="s">
        <v>364</v>
      </c>
      <c r="D359" s="6" t="s">
        <v>204</v>
      </c>
      <c r="E359" s="6">
        <v>163</v>
      </c>
      <c r="F359" s="6">
        <v>3192.18</v>
      </c>
    </row>
    <row r="360" spans="1:6" x14ac:dyDescent="0.25">
      <c r="A360" s="1"/>
      <c r="B360" s="2"/>
      <c r="C360" s="6" t="s">
        <v>365</v>
      </c>
      <c r="D360" s="6" t="s">
        <v>204</v>
      </c>
      <c r="E360" s="6">
        <v>163</v>
      </c>
      <c r="F360" s="6">
        <v>3120.2</v>
      </c>
    </row>
    <row r="361" spans="1:6" x14ac:dyDescent="0.25">
      <c r="A361" s="1"/>
      <c r="B361" s="2"/>
      <c r="C361" s="6" t="s">
        <v>366</v>
      </c>
      <c r="D361" s="6" t="s">
        <v>204</v>
      </c>
      <c r="E361" s="6">
        <v>134</v>
      </c>
      <c r="F361" s="6">
        <v>2579.04</v>
      </c>
    </row>
    <row r="362" spans="1:6" x14ac:dyDescent="0.25">
      <c r="A362" s="1"/>
      <c r="B362" s="2"/>
      <c r="C362" s="6" t="s">
        <v>367</v>
      </c>
      <c r="D362" s="6" t="s">
        <v>204</v>
      </c>
      <c r="E362" s="6">
        <v>163</v>
      </c>
      <c r="F362" s="6">
        <v>3154.31</v>
      </c>
    </row>
    <row r="363" spans="1:6" x14ac:dyDescent="0.25">
      <c r="A363" s="1"/>
      <c r="B363" s="2"/>
      <c r="C363" s="6" t="s">
        <v>368</v>
      </c>
      <c r="D363" s="6" t="s">
        <v>204</v>
      </c>
      <c r="E363" s="6">
        <v>163</v>
      </c>
      <c r="F363" s="6">
        <v>3069.28</v>
      </c>
    </row>
    <row r="364" spans="1:6" x14ac:dyDescent="0.25">
      <c r="A364" s="1"/>
      <c r="B364" s="2"/>
      <c r="C364" s="6" t="s">
        <v>369</v>
      </c>
      <c r="D364" s="6" t="s">
        <v>204</v>
      </c>
      <c r="E364" s="6">
        <v>163</v>
      </c>
      <c r="F364" s="6">
        <v>2888.83</v>
      </c>
    </row>
    <row r="365" spans="1:6" x14ac:dyDescent="0.25">
      <c r="A365" s="1"/>
      <c r="B365" s="2"/>
      <c r="C365" s="6" t="s">
        <v>370</v>
      </c>
      <c r="D365" s="6" t="s">
        <v>204</v>
      </c>
      <c r="E365" s="6">
        <v>163</v>
      </c>
      <c r="F365" s="6">
        <v>3155.6</v>
      </c>
    </row>
    <row r="366" spans="1:6" x14ac:dyDescent="0.25">
      <c r="A366" s="1"/>
      <c r="B366" s="2"/>
      <c r="C366" s="6" t="s">
        <v>371</v>
      </c>
      <c r="D366" s="6" t="s">
        <v>204</v>
      </c>
      <c r="E366" s="6">
        <v>134</v>
      </c>
      <c r="F366" s="6">
        <v>2496.48</v>
      </c>
    </row>
    <row r="367" spans="1:6" x14ac:dyDescent="0.25">
      <c r="A367" s="1"/>
      <c r="B367" s="2"/>
      <c r="C367" s="6" t="s">
        <v>372</v>
      </c>
      <c r="D367" s="6" t="s">
        <v>204</v>
      </c>
      <c r="E367" s="6">
        <v>163</v>
      </c>
      <c r="F367" s="6">
        <v>3127.11</v>
      </c>
    </row>
    <row r="368" spans="1:6" x14ac:dyDescent="0.25">
      <c r="A368" s="1"/>
      <c r="B368" s="2"/>
      <c r="C368" s="6" t="s">
        <v>373</v>
      </c>
      <c r="D368" s="6" t="s">
        <v>204</v>
      </c>
      <c r="E368" s="6">
        <v>134</v>
      </c>
      <c r="F368" s="6">
        <v>2744.04</v>
      </c>
    </row>
    <row r="369" spans="1:6" x14ac:dyDescent="0.25">
      <c r="A369" s="1"/>
      <c r="B369" s="2"/>
      <c r="C369" s="6" t="s">
        <v>374</v>
      </c>
      <c r="D369" s="6" t="s">
        <v>204</v>
      </c>
      <c r="E369" s="6">
        <v>134</v>
      </c>
      <c r="F369" s="6">
        <v>2672.64</v>
      </c>
    </row>
    <row r="370" spans="1:7" x14ac:dyDescent="0.25">
      <c r="A370" s="5">
        <v>46286</v>
      </c>
      <c r="B370" s="6" t="s">
        <v>375</v>
      </c>
      <c r="C370" s="6" t="s">
        <v>376</v>
      </c>
      <c r="D370" s="6" t="s">
        <v>204</v>
      </c>
      <c r="E370" s="6">
        <v>163</v>
      </c>
      <c r="F370" s="6">
        <v>3258.42</v>
      </c>
      <c r="G370" s="5">
        <v>46287</v>
      </c>
    </row>
    <row r="371" spans="1:6" x14ac:dyDescent="0.25">
      <c r="A371" s="1"/>
      <c r="B371" s="2"/>
      <c r="C371" s="6" t="s">
        <v>377</v>
      </c>
      <c r="D371" s="6" t="s">
        <v>204</v>
      </c>
      <c r="E371" s="6">
        <v>163</v>
      </c>
      <c r="F371" s="6">
        <v>3115.89</v>
      </c>
    </row>
    <row r="372" spans="1:6" x14ac:dyDescent="0.25">
      <c r="A372" s="1"/>
      <c r="B372" s="2"/>
      <c r="C372" s="6" t="s">
        <v>378</v>
      </c>
      <c r="D372" s="6" t="s">
        <v>204</v>
      </c>
      <c r="E372" s="6">
        <v>105</v>
      </c>
      <c r="F372" s="6">
        <v>1826.54</v>
      </c>
    </row>
    <row r="373" spans="1:6" x14ac:dyDescent="0.25">
      <c r="A373" s="1"/>
      <c r="B373" s="2"/>
      <c r="C373" s="6" t="s">
        <v>379</v>
      </c>
      <c r="D373" s="6" t="s">
        <v>204</v>
      </c>
      <c r="E373" s="6">
        <v>105</v>
      </c>
      <c r="F373" s="6">
        <v>2146.8</v>
      </c>
    </row>
    <row r="375" spans="1:7" x14ac:dyDescent="0.25">
      <c r="A375" s="5">
        <v>46288</v>
      </c>
      <c r="B375" s="6" t="s">
        <v>380</v>
      </c>
      <c r="C375" s="6" t="s">
        <v>381</v>
      </c>
      <c r="D375" s="6" t="s">
        <v>20</v>
      </c>
      <c r="E375" s="6">
        <v>244</v>
      </c>
      <c r="F375" s="6">
        <v>4765.4</v>
      </c>
      <c r="G375" s="5">
        <v>46287</v>
      </c>
    </row>
    <row r="376" spans="1:6" x14ac:dyDescent="0.25">
      <c r="A376" s="1"/>
      <c r="B376" s="2"/>
      <c r="C376" s="6" t="s">
        <v>382</v>
      </c>
      <c r="D376" s="6" t="s">
        <v>20</v>
      </c>
      <c r="E376" s="6">
        <v>244</v>
      </c>
      <c r="F376" s="6">
        <v>4770.28</v>
      </c>
    </row>
    <row r="377" spans="1:6" x14ac:dyDescent="0.25">
      <c r="A377" s="1"/>
      <c r="B377" s="2"/>
      <c r="C377" s="6" t="s">
        <v>383</v>
      </c>
      <c r="D377" s="6" t="s">
        <v>20</v>
      </c>
      <c r="E377" s="6">
        <v>142</v>
      </c>
      <c r="F377" s="6">
        <v>2759.44</v>
      </c>
    </row>
    <row r="378" spans="1:6" x14ac:dyDescent="0.25">
      <c r="A378" s="1"/>
      <c r="B378" s="2"/>
      <c r="C378" s="6" t="s">
        <v>384</v>
      </c>
      <c r="D378" s="6" t="s">
        <v>20</v>
      </c>
      <c r="E378" s="6">
        <v>139</v>
      </c>
      <c r="F378" s="6">
        <v>2509.16</v>
      </c>
    </row>
    <row r="379" spans="1:6" x14ac:dyDescent="0.25">
      <c r="A379" s="1"/>
      <c r="B379" s="2"/>
      <c r="C379" s="6" t="s">
        <v>385</v>
      </c>
      <c r="D379" s="6" t="s">
        <v>20</v>
      </c>
      <c r="E379" s="6">
        <v>142</v>
      </c>
      <c r="F379" s="6">
        <v>2823</v>
      </c>
    </row>
    <row r="380" spans="1:6" x14ac:dyDescent="0.25">
      <c r="A380" s="1"/>
      <c r="B380" s="2"/>
      <c r="C380" s="6" t="s">
        <v>386</v>
      </c>
      <c r="D380" s="6" t="s">
        <v>20</v>
      </c>
      <c r="E380" s="6">
        <v>95</v>
      </c>
      <c r="F380" s="6">
        <v>1907.36</v>
      </c>
    </row>
    <row r="382" spans="1:7" x14ac:dyDescent="0.25">
      <c r="A382" s="5">
        <v>46287</v>
      </c>
      <c r="B382" s="6" t="s">
        <v>387</v>
      </c>
      <c r="C382" s="6" t="s">
        <v>388</v>
      </c>
      <c r="D382" s="6" t="s">
        <v>20</v>
      </c>
      <c r="E382" s="6">
        <v>142</v>
      </c>
      <c r="F382" s="6">
        <v>2742.16</v>
      </c>
      <c r="G382" s="5">
        <v>46287</v>
      </c>
    </row>
    <row r="383" spans="1:6" x14ac:dyDescent="0.25">
      <c r="A383" s="1"/>
      <c r="B383" s="2"/>
      <c r="C383" s="6" t="s">
        <v>389</v>
      </c>
      <c r="D383" s="6" t="s">
        <v>20</v>
      </c>
      <c r="E383" s="6">
        <v>102</v>
      </c>
      <c r="F383" s="6">
        <v>1944.53</v>
      </c>
    </row>
    <row r="384" spans="1:6" x14ac:dyDescent="0.25">
      <c r="A384" s="1"/>
      <c r="B384" s="2"/>
      <c r="C384" s="6" t="s">
        <v>390</v>
      </c>
      <c r="D384" s="6" t="s">
        <v>20</v>
      </c>
      <c r="E384" s="6">
        <v>130</v>
      </c>
      <c r="F384" s="6">
        <v>2478.83</v>
      </c>
    </row>
    <row r="385" spans="1:6" x14ac:dyDescent="0.25">
      <c r="A385" s="1"/>
      <c r="B385" s="2"/>
      <c r="C385" s="6" t="s">
        <v>391</v>
      </c>
      <c r="D385" s="6" t="s">
        <v>20</v>
      </c>
      <c r="E385" s="6">
        <v>100</v>
      </c>
      <c r="F385" s="6">
        <v>2006.03</v>
      </c>
    </row>
    <row r="386" spans="1:6" x14ac:dyDescent="0.25">
      <c r="A386" s="1"/>
      <c r="B386" s="2"/>
      <c r="C386" s="6" t="s">
        <v>392</v>
      </c>
      <c r="D386" s="6" t="s">
        <v>20</v>
      </c>
      <c r="E386" s="6">
        <v>142</v>
      </c>
      <c r="F386" s="6">
        <v>2867.45</v>
      </c>
    </row>
    <row r="387" spans="1:6" x14ac:dyDescent="0.25">
      <c r="A387" s="1"/>
      <c r="B387" s="2"/>
      <c r="C387" s="6" t="s">
        <v>393</v>
      </c>
      <c r="D387" s="6" t="s">
        <v>20</v>
      </c>
      <c r="E387" s="6">
        <v>102</v>
      </c>
      <c r="F387" s="6">
        <v>1917.88</v>
      </c>
    </row>
    <row r="388" spans="1:6" x14ac:dyDescent="0.25">
      <c r="A388" s="1"/>
      <c r="B388" s="2"/>
      <c r="C388" s="6" t="s">
        <v>394</v>
      </c>
      <c r="D388" s="6" t="s">
        <v>20</v>
      </c>
      <c r="E388" s="6">
        <v>102</v>
      </c>
      <c r="F388" s="6">
        <v>1924.34</v>
      </c>
    </row>
    <row r="389" spans="1:6" x14ac:dyDescent="0.25">
      <c r="A389" s="1"/>
      <c r="B389" s="2"/>
      <c r="C389" s="6" t="s">
        <v>395</v>
      </c>
      <c r="D389" s="6" t="s">
        <v>20</v>
      </c>
      <c r="E389" s="6">
        <v>142</v>
      </c>
      <c r="F389" s="6">
        <v>2862.96</v>
      </c>
    </row>
    <row r="391" spans="1:7" x14ac:dyDescent="0.25">
      <c r="A391" s="5">
        <v>46287</v>
      </c>
      <c r="B391" s="6" t="s">
        <v>10</v>
      </c>
      <c r="C391" s="6" t="s">
        <v>396</v>
      </c>
      <c r="D391" s="6" t="s">
        <v>12</v>
      </c>
      <c r="E391" s="6">
        <v>98</v>
      </c>
      <c r="F391" s="6">
        <v>2013.09</v>
      </c>
      <c r="G391" s="5">
        <v>46287</v>
      </c>
    </row>
    <row r="392" spans="1:6" x14ac:dyDescent="0.25">
      <c r="A392" s="1"/>
      <c r="B392" s="2"/>
      <c r="C392" s="6" t="s">
        <v>397</v>
      </c>
      <c r="D392" s="6" t="s">
        <v>12</v>
      </c>
      <c r="E392" s="6">
        <v>96</v>
      </c>
      <c r="F392" s="6">
        <v>2054.64</v>
      </c>
    </row>
    <row r="394" spans="1:7" x14ac:dyDescent="0.25">
      <c r="A394" s="7">
        <v>46285</v>
      </c>
      <c r="B394" s="8" t="s">
        <v>398</v>
      </c>
      <c r="C394" s="8" t="s">
        <v>399</v>
      </c>
      <c r="D394" s="8" t="s">
        <v>12</v>
      </c>
      <c r="E394" s="8">
        <v>145</v>
      </c>
      <c r="F394" s="8">
        <v>3053.37</v>
      </c>
      <c r="G394" s="7">
        <v>46284</v>
      </c>
    </row>
    <row r="395" spans="1:6" x14ac:dyDescent="0.25">
      <c r="A395" s="1"/>
      <c r="B395" s="2"/>
      <c r="C395" s="8" t="s">
        <v>400</v>
      </c>
      <c r="D395" s="8" t="s">
        <v>12</v>
      </c>
      <c r="E395" s="8">
        <v>147</v>
      </c>
      <c r="F395" s="8">
        <v>3070.87</v>
      </c>
    </row>
    <row r="396" spans="1:6" x14ac:dyDescent="0.25">
      <c r="A396" s="1"/>
      <c r="B396" s="2"/>
      <c r="C396" s="8" t="s">
        <v>401</v>
      </c>
      <c r="D396" s="8" t="s">
        <v>12</v>
      </c>
      <c r="E396" s="8">
        <v>89</v>
      </c>
      <c r="F396" s="8">
        <v>1884.56</v>
      </c>
    </row>
    <row r="398" spans="1:7" x14ac:dyDescent="0.25">
      <c r="A398" s="7">
        <v>46285</v>
      </c>
      <c r="B398" s="8" t="s">
        <v>183</v>
      </c>
      <c r="C398" s="8" t="s">
        <v>402</v>
      </c>
      <c r="D398" s="8" t="s">
        <v>122</v>
      </c>
      <c r="E398" s="8">
        <v>102</v>
      </c>
      <c r="F398" s="8">
        <v>2143.38</v>
      </c>
      <c r="G398" s="7">
        <v>46284</v>
      </c>
    </row>
    <row r="399" spans="1:6" x14ac:dyDescent="0.25">
      <c r="A399" s="1"/>
      <c r="B399" s="2"/>
      <c r="C399" s="8" t="s">
        <v>403</v>
      </c>
      <c r="D399" s="8" t="s">
        <v>122</v>
      </c>
      <c r="E399" s="8">
        <v>102</v>
      </c>
      <c r="F399" s="8">
        <v>2099.48</v>
      </c>
    </row>
    <row r="400" spans="1:6" x14ac:dyDescent="0.25">
      <c r="A400" s="1"/>
      <c r="B400" s="2"/>
      <c r="C400" s="8" t="s">
        <v>404</v>
      </c>
      <c r="D400" s="8" t="s">
        <v>122</v>
      </c>
      <c r="E400" s="8">
        <v>102</v>
      </c>
      <c r="F400" s="8">
        <v>2118.69</v>
      </c>
    </row>
    <row r="401" spans="1:6" x14ac:dyDescent="0.25">
      <c r="A401" s="1"/>
      <c r="B401" s="2"/>
      <c r="C401" s="8" t="s">
        <v>405</v>
      </c>
      <c r="D401" s="8" t="s">
        <v>122</v>
      </c>
      <c r="E401" s="8">
        <v>75</v>
      </c>
      <c r="F401" s="8">
        <v>1580.17</v>
      </c>
    </row>
    <row r="402" spans="1:6" x14ac:dyDescent="0.25">
      <c r="A402" s="1"/>
      <c r="B402" s="2"/>
      <c r="C402" s="8" t="s">
        <v>406</v>
      </c>
      <c r="D402" s="8" t="s">
        <v>122</v>
      </c>
      <c r="E402" s="8">
        <v>102</v>
      </c>
      <c r="F402" s="8">
        <v>2021.42</v>
      </c>
    </row>
    <row r="403" spans="1:6" x14ac:dyDescent="0.25">
      <c r="A403" s="1"/>
      <c r="B403" s="2"/>
      <c r="C403" s="8" t="s">
        <v>407</v>
      </c>
      <c r="D403" s="8" t="s">
        <v>122</v>
      </c>
      <c r="E403" s="8">
        <v>121</v>
      </c>
      <c r="F403" s="8">
        <v>2448.06</v>
      </c>
    </row>
    <row r="404" spans="1:6" x14ac:dyDescent="0.25">
      <c r="A404" s="1"/>
      <c r="B404" s="2"/>
      <c r="C404" s="8" t="s">
        <v>408</v>
      </c>
      <c r="D404" s="8" t="s">
        <v>122</v>
      </c>
      <c r="E404" s="8">
        <v>121</v>
      </c>
      <c r="F404" s="8">
        <v>2554.93</v>
      </c>
    </row>
    <row r="405" spans="1:6" x14ac:dyDescent="0.25">
      <c r="A405" s="1"/>
      <c r="B405" s="2"/>
      <c r="C405" s="8" t="s">
        <v>409</v>
      </c>
      <c r="D405" s="8" t="s">
        <v>122</v>
      </c>
      <c r="E405" s="8">
        <v>121</v>
      </c>
      <c r="F405" s="8">
        <v>2538.88</v>
      </c>
    </row>
    <row r="406" spans="1:6" x14ac:dyDescent="0.25">
      <c r="A406" s="1"/>
      <c r="B406" s="2"/>
      <c r="C406" s="8" t="s">
        <v>410</v>
      </c>
      <c r="D406" s="8" t="s">
        <v>122</v>
      </c>
      <c r="E406" s="8">
        <v>121</v>
      </c>
      <c r="F406" s="8">
        <v>2454.57</v>
      </c>
    </row>
    <row r="407" spans="1:6" x14ac:dyDescent="0.25">
      <c r="A407" s="1"/>
      <c r="B407" s="2"/>
      <c r="C407" s="8" t="s">
        <v>411</v>
      </c>
      <c r="D407" s="8" t="s">
        <v>122</v>
      </c>
      <c r="E407" s="8">
        <v>38</v>
      </c>
      <c r="F407" s="8">
        <v>804.54</v>
      </c>
    </row>
    <row r="408" spans="1:6" x14ac:dyDescent="0.25">
      <c r="A408" s="1"/>
      <c r="B408" s="2"/>
      <c r="C408" s="8" t="s">
        <v>412</v>
      </c>
      <c r="D408" s="8" t="s">
        <v>122</v>
      </c>
      <c r="E408" s="8">
        <v>46</v>
      </c>
      <c r="F408" s="8">
        <v>972.51</v>
      </c>
    </row>
    <row r="409" spans="1:6" x14ac:dyDescent="0.25">
      <c r="A409" s="1"/>
      <c r="B409" s="2"/>
      <c r="C409" s="8" t="s">
        <v>413</v>
      </c>
      <c r="D409" s="8" t="s">
        <v>122</v>
      </c>
      <c r="E409" s="8">
        <v>57</v>
      </c>
      <c r="F409" s="8">
        <v>1169.41</v>
      </c>
    </row>
    <row r="410" spans="1:6" x14ac:dyDescent="0.25">
      <c r="A410" s="1"/>
      <c r="B410" s="2"/>
      <c r="C410" s="8" t="s">
        <v>414</v>
      </c>
      <c r="D410" s="8" t="s">
        <v>122</v>
      </c>
      <c r="E410" s="8">
        <v>190</v>
      </c>
      <c r="F410" s="8">
        <v>945.59</v>
      </c>
    </row>
    <row r="411" spans="1:6" x14ac:dyDescent="0.25">
      <c r="A411" s="1"/>
      <c r="B411" s="2"/>
      <c r="C411" s="8" t="s">
        <v>415</v>
      </c>
      <c r="D411" s="8" t="s">
        <v>122</v>
      </c>
      <c r="E411" s="8">
        <v>102</v>
      </c>
      <c r="F411" s="8">
        <v>2061.56</v>
      </c>
    </row>
    <row r="412" spans="1:6" x14ac:dyDescent="0.25">
      <c r="A412" s="1"/>
      <c r="B412" s="2"/>
      <c r="C412" s="8" t="s">
        <v>416</v>
      </c>
      <c r="D412" s="8" t="s">
        <v>122</v>
      </c>
      <c r="E412" s="8">
        <v>71</v>
      </c>
      <c r="F412" s="8">
        <v>1505.59</v>
      </c>
    </row>
    <row r="413" spans="1:6" x14ac:dyDescent="0.25">
      <c r="A413" s="1"/>
      <c r="B413" s="2"/>
      <c r="C413" s="8" t="s">
        <v>417</v>
      </c>
      <c r="D413" s="8" t="s">
        <v>122</v>
      </c>
      <c r="E413" s="8">
        <v>63</v>
      </c>
      <c r="F413" s="8">
        <v>1241.33</v>
      </c>
    </row>
    <row r="414" spans="1:6" x14ac:dyDescent="0.25">
      <c r="A414" s="1"/>
      <c r="B414" s="2"/>
      <c r="C414" s="8" t="s">
        <v>418</v>
      </c>
      <c r="D414" s="8" t="s">
        <v>122</v>
      </c>
      <c r="E414" s="8">
        <v>141</v>
      </c>
      <c r="F414" s="8">
        <v>2948.06</v>
      </c>
    </row>
    <row r="415" spans="1:6" x14ac:dyDescent="0.25">
      <c r="A415" s="1"/>
      <c r="B415" s="2"/>
      <c r="C415" s="8" t="s">
        <v>419</v>
      </c>
      <c r="D415" s="8" t="s">
        <v>122</v>
      </c>
      <c r="E415" s="8">
        <v>114</v>
      </c>
      <c r="F415" s="8">
        <v>2324.44</v>
      </c>
    </row>
    <row r="416" spans="1:6" x14ac:dyDescent="0.25">
      <c r="A416" s="1"/>
      <c r="B416" s="2"/>
      <c r="C416" s="8" t="s">
        <v>420</v>
      </c>
      <c r="D416" s="8" t="s">
        <v>122</v>
      </c>
      <c r="E416" s="8">
        <v>27</v>
      </c>
      <c r="F416" s="8">
        <v>567.28</v>
      </c>
    </row>
    <row r="417" spans="1:6" x14ac:dyDescent="0.25">
      <c r="A417" s="1"/>
      <c r="B417" s="2"/>
      <c r="C417" s="8" t="s">
        <v>421</v>
      </c>
      <c r="D417" s="8" t="s">
        <v>122</v>
      </c>
      <c r="E417" s="8">
        <v>117</v>
      </c>
      <c r="F417" s="8">
        <v>2321.66</v>
      </c>
    </row>
    <row r="418" spans="1:6" x14ac:dyDescent="0.25">
      <c r="A418" s="1"/>
      <c r="B418" s="2"/>
      <c r="C418" s="8" t="s">
        <v>422</v>
      </c>
      <c r="D418" s="8" t="s">
        <v>122</v>
      </c>
      <c r="E418" s="8">
        <v>24</v>
      </c>
      <c r="F418" s="8">
        <v>472.86</v>
      </c>
    </row>
    <row r="419" spans="1:6" x14ac:dyDescent="0.25">
      <c r="A419" s="1"/>
      <c r="B419" s="2"/>
      <c r="C419" s="8" t="s">
        <v>423</v>
      </c>
      <c r="D419" s="8" t="s">
        <v>122</v>
      </c>
      <c r="E419" s="8">
        <v>1</v>
      </c>
      <c r="F419" s="8">
        <v>7.65</v>
      </c>
    </row>
    <row r="420" spans="1:6" x14ac:dyDescent="0.25">
      <c r="A420" s="1"/>
      <c r="B420" s="2"/>
      <c r="C420" s="8" t="s">
        <v>424</v>
      </c>
      <c r="D420" s="8" t="s">
        <v>122</v>
      </c>
      <c r="E420" s="8">
        <v>1</v>
      </c>
      <c r="F420" s="8">
        <v>32.56</v>
      </c>
    </row>
    <row r="421" spans="1:6" x14ac:dyDescent="0.25">
      <c r="A421" s="1"/>
      <c r="B421" s="2"/>
      <c r="C421" s="8" t="s">
        <v>425</v>
      </c>
      <c r="D421" s="8" t="s">
        <v>122</v>
      </c>
      <c r="E421" s="8">
        <v>58</v>
      </c>
      <c r="F421" s="8">
        <v>1113.92</v>
      </c>
    </row>
    <row r="422" spans="1:6" x14ac:dyDescent="0.25">
      <c r="A422" s="1"/>
      <c r="B422" s="2"/>
      <c r="C422" s="8" t="s">
        <v>426</v>
      </c>
      <c r="D422" s="8" t="s">
        <v>122</v>
      </c>
      <c r="E422" s="8">
        <v>10</v>
      </c>
      <c r="F422" s="8">
        <v>192.34</v>
      </c>
    </row>
    <row r="423" spans="1:6" x14ac:dyDescent="0.25">
      <c r="A423" s="1"/>
      <c r="B423" s="2"/>
      <c r="C423" s="8" t="s">
        <v>427</v>
      </c>
      <c r="D423" s="8" t="s">
        <v>122</v>
      </c>
      <c r="E423" s="8">
        <v>89</v>
      </c>
      <c r="F423" s="8">
        <v>1867.44</v>
      </c>
    </row>
    <row r="424" spans="1:6" x14ac:dyDescent="0.25">
      <c r="A424" s="1"/>
      <c r="B424" s="2"/>
      <c r="C424" s="8" t="s">
        <v>428</v>
      </c>
      <c r="D424" s="8" t="s">
        <v>122</v>
      </c>
      <c r="E424" s="8">
        <v>42</v>
      </c>
      <c r="F424" s="8">
        <v>808.1</v>
      </c>
    </row>
    <row r="425" spans="1:6" x14ac:dyDescent="0.25">
      <c r="A425" s="1"/>
      <c r="B425" s="2"/>
      <c r="C425" s="8" t="s">
        <v>429</v>
      </c>
      <c r="D425" s="8" t="s">
        <v>122</v>
      </c>
      <c r="E425" s="8">
        <v>141</v>
      </c>
      <c r="F425" s="8">
        <v>2746.29</v>
      </c>
    </row>
    <row r="426" spans="1:6" x14ac:dyDescent="0.25">
      <c r="A426" s="1"/>
      <c r="B426" s="2"/>
      <c r="C426" s="8" t="s">
        <v>430</v>
      </c>
      <c r="D426" s="8" t="s">
        <v>122</v>
      </c>
      <c r="E426" s="8">
        <v>109</v>
      </c>
      <c r="F426" s="8">
        <v>2219.2</v>
      </c>
    </row>
    <row r="427" spans="1:6" x14ac:dyDescent="0.25">
      <c r="A427" s="1"/>
      <c r="B427" s="2"/>
      <c r="C427" s="8" t="s">
        <v>431</v>
      </c>
      <c r="D427" s="8" t="s">
        <v>122</v>
      </c>
      <c r="E427" s="8">
        <v>32</v>
      </c>
      <c r="F427" s="8">
        <v>606.69</v>
      </c>
    </row>
    <row r="428" spans="1:6" x14ac:dyDescent="0.25">
      <c r="A428" s="1"/>
      <c r="B428" s="2"/>
      <c r="C428" s="8" t="s">
        <v>432</v>
      </c>
      <c r="D428" s="8" t="s">
        <v>122</v>
      </c>
      <c r="E428" s="8">
        <v>141</v>
      </c>
      <c r="F428" s="8">
        <v>2853.3</v>
      </c>
    </row>
    <row r="429" spans="1:6" x14ac:dyDescent="0.25">
      <c r="A429" s="1"/>
      <c r="B429" s="2"/>
      <c r="C429" s="8" t="s">
        <v>433</v>
      </c>
      <c r="D429" s="8" t="s">
        <v>122</v>
      </c>
      <c r="E429" s="8">
        <v>42</v>
      </c>
      <c r="F429" s="8">
        <v>813.33</v>
      </c>
    </row>
    <row r="430" spans="1:6" x14ac:dyDescent="0.25">
      <c r="A430" s="1"/>
      <c r="B430" s="2"/>
      <c r="C430" s="8" t="s">
        <v>434</v>
      </c>
      <c r="D430" s="8" t="s">
        <v>122</v>
      </c>
      <c r="E430" s="8">
        <v>58</v>
      </c>
      <c r="F430" s="8">
        <v>1171.65</v>
      </c>
    </row>
    <row r="431" spans="1:6" x14ac:dyDescent="0.25">
      <c r="A431" s="1"/>
      <c r="B431" s="2"/>
      <c r="C431" s="8" t="s">
        <v>435</v>
      </c>
      <c r="D431" s="8" t="s">
        <v>122</v>
      </c>
      <c r="E431" s="8">
        <v>19</v>
      </c>
      <c r="F431" s="8">
        <v>384</v>
      </c>
    </row>
    <row r="432" spans="1:6" x14ac:dyDescent="0.25">
      <c r="A432" s="1"/>
      <c r="B432" s="2"/>
      <c r="C432" s="8" t="s">
        <v>436</v>
      </c>
      <c r="D432" s="8" t="s">
        <v>122</v>
      </c>
      <c r="E432" s="8">
        <v>22</v>
      </c>
      <c r="F432" s="8">
        <v>440.21</v>
      </c>
    </row>
    <row r="433" spans="1:6" x14ac:dyDescent="0.25">
      <c r="A433" s="1"/>
      <c r="B433" s="2"/>
      <c r="C433" s="8" t="s">
        <v>437</v>
      </c>
      <c r="D433" s="8" t="s">
        <v>122</v>
      </c>
      <c r="E433" s="8">
        <v>127</v>
      </c>
      <c r="F433" s="8">
        <v>2777.64</v>
      </c>
    </row>
    <row r="434" spans="1:6" x14ac:dyDescent="0.25">
      <c r="A434" s="1"/>
      <c r="B434" s="2"/>
      <c r="C434" s="8" t="s">
        <v>184</v>
      </c>
      <c r="D434" s="8" t="s">
        <v>122</v>
      </c>
      <c r="E434" s="8">
        <v>120</v>
      </c>
      <c r="F434" s="8">
        <v>2094.69</v>
      </c>
    </row>
    <row r="436" spans="1:7" x14ac:dyDescent="0.25">
      <c r="A436" s="7">
        <v>46285</v>
      </c>
      <c r="B436" s="8" t="s">
        <v>438</v>
      </c>
      <c r="C436" s="8" t="s">
        <v>439</v>
      </c>
      <c r="D436" s="8" t="s">
        <v>42</v>
      </c>
      <c r="E436" s="8">
        <v>52</v>
      </c>
      <c r="F436" s="8">
        <v>1126.95</v>
      </c>
      <c r="G436" s="7">
        <v>46284</v>
      </c>
    </row>
    <row r="437" spans="1:6" x14ac:dyDescent="0.25">
      <c r="A437" s="1"/>
      <c r="B437" s="2"/>
      <c r="C437" s="8" t="s">
        <v>440</v>
      </c>
      <c r="D437" s="8" t="s">
        <v>42</v>
      </c>
      <c r="E437" s="8">
        <v>92</v>
      </c>
      <c r="F437" s="8">
        <v>1864.43</v>
      </c>
    </row>
    <row r="439" spans="1:7" x14ac:dyDescent="0.25">
      <c r="A439" s="7">
        <v>46285</v>
      </c>
      <c r="B439" s="8" t="s">
        <v>441</v>
      </c>
      <c r="C439" s="8" t="s">
        <v>442</v>
      </c>
      <c r="D439" s="8" t="s">
        <v>20</v>
      </c>
      <c r="E439" s="8">
        <v>142</v>
      </c>
      <c r="F439" s="8">
        <v>2767.32</v>
      </c>
      <c r="G439" s="7">
        <v>46284</v>
      </c>
    </row>
    <row r="440" spans="1:6" x14ac:dyDescent="0.25">
      <c r="A440" s="1"/>
      <c r="B440" s="2"/>
      <c r="C440" s="8" t="s">
        <v>443</v>
      </c>
      <c r="D440" s="8" t="s">
        <v>20</v>
      </c>
      <c r="E440" s="8">
        <v>142</v>
      </c>
      <c r="F440" s="8">
        <v>2761.35</v>
      </c>
    </row>
    <row r="441" spans="1:6" x14ac:dyDescent="0.25">
      <c r="A441" s="1"/>
      <c r="B441" s="2"/>
      <c r="C441" s="8" t="s">
        <v>444</v>
      </c>
      <c r="D441" s="8" t="s">
        <v>20</v>
      </c>
      <c r="E441" s="8">
        <v>142</v>
      </c>
      <c r="F441" s="8">
        <v>2688.48</v>
      </c>
    </row>
    <row r="442" spans="1:6" x14ac:dyDescent="0.25">
      <c r="A442" s="1"/>
      <c r="B442" s="2"/>
      <c r="C442" s="8" t="s">
        <v>445</v>
      </c>
      <c r="D442" s="8" t="s">
        <v>20</v>
      </c>
      <c r="E442" s="8">
        <v>102</v>
      </c>
      <c r="F442" s="8">
        <v>2065.1</v>
      </c>
    </row>
    <row r="443" spans="1:6" x14ac:dyDescent="0.25">
      <c r="A443" s="1"/>
      <c r="B443" s="2"/>
      <c r="C443" s="8" t="s">
        <v>446</v>
      </c>
      <c r="D443" s="8" t="s">
        <v>20</v>
      </c>
      <c r="E443" s="8">
        <v>142</v>
      </c>
      <c r="F443" s="8">
        <v>2768.97</v>
      </c>
    </row>
    <row r="444" spans="1:6" x14ac:dyDescent="0.25">
      <c r="A444" s="1"/>
      <c r="B444" s="2"/>
      <c r="C444" s="8" t="s">
        <v>447</v>
      </c>
      <c r="D444" s="8" t="s">
        <v>20</v>
      </c>
      <c r="E444" s="8">
        <v>74</v>
      </c>
      <c r="F444" s="8">
        <v>1429.46</v>
      </c>
    </row>
    <row r="445" spans="1:6" x14ac:dyDescent="0.25">
      <c r="A445" s="1"/>
      <c r="B445" s="2"/>
      <c r="C445" s="8" t="s">
        <v>448</v>
      </c>
      <c r="D445" s="8" t="s">
        <v>20</v>
      </c>
      <c r="E445" s="8">
        <v>142</v>
      </c>
      <c r="F445" s="8">
        <v>2859.02</v>
      </c>
    </row>
    <row r="446" spans="1:6" x14ac:dyDescent="0.25">
      <c r="A446" s="1"/>
      <c r="B446" s="2"/>
      <c r="C446" s="8" t="s">
        <v>449</v>
      </c>
      <c r="D446" s="8" t="s">
        <v>20</v>
      </c>
      <c r="E446" s="8">
        <v>228</v>
      </c>
      <c r="F446" s="8">
        <v>4658.2</v>
      </c>
    </row>
    <row r="447" spans="1:6" x14ac:dyDescent="0.25">
      <c r="A447" s="1"/>
      <c r="B447" s="2"/>
      <c r="C447" s="8" t="s">
        <v>450</v>
      </c>
      <c r="D447" s="8" t="s">
        <v>20</v>
      </c>
      <c r="E447" s="8">
        <v>87</v>
      </c>
      <c r="F447" s="8">
        <v>1672.06</v>
      </c>
    </row>
    <row r="448" spans="1:6" x14ac:dyDescent="0.25">
      <c r="A448" s="1"/>
      <c r="B448" s="2"/>
      <c r="C448" s="8" t="s">
        <v>451</v>
      </c>
      <c r="D448" s="8" t="s">
        <v>20</v>
      </c>
      <c r="E448" s="8">
        <v>102</v>
      </c>
      <c r="F448" s="8">
        <v>2002.85</v>
      </c>
    </row>
    <row r="449" spans="1:6" x14ac:dyDescent="0.25">
      <c r="A449" s="1"/>
      <c r="B449" s="2"/>
      <c r="C449" s="8" t="s">
        <v>452</v>
      </c>
      <c r="D449" s="8" t="s">
        <v>20</v>
      </c>
      <c r="E449" s="8">
        <v>54</v>
      </c>
      <c r="F449" s="8">
        <v>1273.52</v>
      </c>
    </row>
    <row r="450" spans="1:6" x14ac:dyDescent="0.25">
      <c r="A450" s="1"/>
      <c r="B450" s="2"/>
      <c r="C450" s="8"/>
      <c r="D450" s="8"/>
      <c r="E450" s="8"/>
      <c r="F450" s="8"/>
    </row>
    <row r="451" spans="1:7" x14ac:dyDescent="0.25">
      <c r="A451" s="7">
        <v>46284</v>
      </c>
      <c r="B451" s="8" t="s">
        <v>453</v>
      </c>
      <c r="C451" s="8" t="s">
        <v>454</v>
      </c>
      <c r="D451" s="8" t="s">
        <v>216</v>
      </c>
      <c r="E451" s="8">
        <v>148</v>
      </c>
      <c r="F451" s="8">
        <v>2604</v>
      </c>
      <c r="G451" s="7">
        <v>46283</v>
      </c>
    </row>
    <row r="452" spans="1:6" x14ac:dyDescent="0.25">
      <c r="A452" s="1"/>
      <c r="B452" s="2"/>
      <c r="C452" s="8" t="s">
        <v>455</v>
      </c>
      <c r="D452" s="8" t="s">
        <v>216</v>
      </c>
      <c r="E452" s="8">
        <v>104</v>
      </c>
      <c r="F452" s="8">
        <v>1841</v>
      </c>
    </row>
    <row r="453" spans="1:6" x14ac:dyDescent="0.25">
      <c r="A453" s="1"/>
      <c r="B453" s="2"/>
      <c r="C453" s="8" t="s">
        <v>456</v>
      </c>
      <c r="D453" s="8" t="s">
        <v>297</v>
      </c>
      <c r="E453" s="8">
        <v>105</v>
      </c>
      <c r="F453" s="8">
        <v>2128</v>
      </c>
    </row>
    <row r="454" spans="1:6" x14ac:dyDescent="0.25">
      <c r="A454" s="1"/>
      <c r="B454" s="2"/>
      <c r="C454" s="8" t="s">
        <v>457</v>
      </c>
      <c r="D454" s="8" t="s">
        <v>297</v>
      </c>
      <c r="E454" s="8">
        <v>156</v>
      </c>
      <c r="F454" s="8">
        <v>3083</v>
      </c>
    </row>
    <row r="455" spans="1:6" x14ac:dyDescent="0.25">
      <c r="A455" s="1"/>
      <c r="B455" s="2"/>
      <c r="C455" s="8" t="s">
        <v>458</v>
      </c>
      <c r="D455" s="8" t="s">
        <v>216</v>
      </c>
      <c r="E455" s="8">
        <v>12</v>
      </c>
      <c r="F455" s="8">
        <v>243</v>
      </c>
    </row>
    <row r="456" spans="1:6" x14ac:dyDescent="0.25">
      <c r="A456" s="1"/>
      <c r="B456" s="2"/>
      <c r="C456" s="8" t="s">
        <v>459</v>
      </c>
      <c r="D456" s="8" t="s">
        <v>216</v>
      </c>
      <c r="E456" s="8">
        <v>54</v>
      </c>
      <c r="F456" s="8">
        <v>801</v>
      </c>
    </row>
    <row r="457" spans="1:6" x14ac:dyDescent="0.25">
      <c r="A457" s="1"/>
      <c r="B457" s="2"/>
      <c r="C457" s="8" t="s">
        <v>460</v>
      </c>
      <c r="D457" s="8" t="s">
        <v>216</v>
      </c>
      <c r="E457" s="8">
        <v>93</v>
      </c>
      <c r="F457" s="8">
        <v>1731</v>
      </c>
    </row>
    <row r="459" spans="1:7" x14ac:dyDescent="0.25">
      <c r="A459" s="7">
        <v>46284</v>
      </c>
      <c r="B459" s="8" t="s">
        <v>453</v>
      </c>
      <c r="C459" s="8" t="s">
        <v>461</v>
      </c>
      <c r="D459" s="8" t="s">
        <v>204</v>
      </c>
      <c r="E459" s="8">
        <v>61</v>
      </c>
      <c r="F459" s="8">
        <v>1483.05</v>
      </c>
      <c r="G459" s="7">
        <v>46283</v>
      </c>
    </row>
    <row r="460" spans="1:6" x14ac:dyDescent="0.25">
      <c r="A460" s="1"/>
      <c r="B460" s="2"/>
      <c r="C460" s="8" t="s">
        <v>462</v>
      </c>
      <c r="D460" s="8" t="s">
        <v>216</v>
      </c>
      <c r="E460" s="8">
        <v>69</v>
      </c>
      <c r="F460" s="8">
        <v>1293.4</v>
      </c>
    </row>
    <row r="461" spans="1:6" x14ac:dyDescent="0.25">
      <c r="A461" s="1"/>
      <c r="B461" s="2"/>
      <c r="C461" s="8" t="s">
        <v>463</v>
      </c>
      <c r="D461" s="8" t="s">
        <v>204</v>
      </c>
      <c r="E461" s="8">
        <v>134</v>
      </c>
      <c r="F461" s="8">
        <v>2682.48</v>
      </c>
    </row>
    <row r="462" spans="1:6" x14ac:dyDescent="0.25">
      <c r="A462" s="1"/>
      <c r="B462" s="2"/>
      <c r="C462" s="8" t="s">
        <v>464</v>
      </c>
      <c r="D462" s="8" t="s">
        <v>204</v>
      </c>
      <c r="E462" s="8">
        <v>105</v>
      </c>
      <c r="F462" s="8">
        <v>2016.09</v>
      </c>
    </row>
    <row r="463" spans="1:6" x14ac:dyDescent="0.25">
      <c r="A463" s="1"/>
      <c r="B463" s="2"/>
      <c r="C463" s="8" t="s">
        <v>465</v>
      </c>
      <c r="D463" s="8" t="s">
        <v>214</v>
      </c>
      <c r="E463" s="8">
        <v>156</v>
      </c>
      <c r="F463" s="8">
        <v>3225.86</v>
      </c>
    </row>
    <row r="464" spans="1:6" x14ac:dyDescent="0.25">
      <c r="A464" s="1"/>
      <c r="B464" s="2"/>
      <c r="C464" s="8" t="s">
        <v>466</v>
      </c>
      <c r="D464" s="8" t="s">
        <v>214</v>
      </c>
      <c r="E464" s="8">
        <v>156</v>
      </c>
      <c r="F464" s="8">
        <v>2891.45</v>
      </c>
    </row>
    <row r="465" spans="1:6" x14ac:dyDescent="0.25">
      <c r="A465" s="1"/>
      <c r="B465" s="2"/>
      <c r="C465" s="8" t="s">
        <v>467</v>
      </c>
      <c r="D465" s="8" t="s">
        <v>214</v>
      </c>
      <c r="E465" s="8">
        <v>156</v>
      </c>
      <c r="F465" s="8">
        <v>3188.54</v>
      </c>
    </row>
    <row r="466" spans="1:6" x14ac:dyDescent="0.25">
      <c r="A466" s="1"/>
      <c r="B466" s="2"/>
      <c r="C466" s="8" t="s">
        <v>468</v>
      </c>
      <c r="D466" s="8" t="s">
        <v>204</v>
      </c>
      <c r="E466" s="8">
        <v>89</v>
      </c>
      <c r="F466" s="8">
        <v>1512.99</v>
      </c>
    </row>
    <row r="467" spans="1:6" x14ac:dyDescent="0.25">
      <c r="A467" s="1"/>
      <c r="B467" s="2"/>
      <c r="C467" s="8" t="s">
        <v>469</v>
      </c>
      <c r="D467" s="8" t="s">
        <v>214</v>
      </c>
      <c r="E467" s="8">
        <v>100</v>
      </c>
      <c r="F467" s="8">
        <v>1907.11</v>
      </c>
    </row>
    <row r="468" spans="1:6" x14ac:dyDescent="0.25">
      <c r="A468" s="1"/>
      <c r="B468" s="2"/>
      <c r="C468" s="8" t="s">
        <v>470</v>
      </c>
      <c r="D468" s="8" t="s">
        <v>214</v>
      </c>
      <c r="E468" s="8">
        <v>56</v>
      </c>
      <c r="F468" s="8">
        <v>1136.49</v>
      </c>
    </row>
    <row r="469" spans="1:6" x14ac:dyDescent="0.25">
      <c r="A469" s="1"/>
      <c r="B469" s="2"/>
      <c r="C469" s="8" t="s">
        <v>471</v>
      </c>
      <c r="D469" s="8" t="s">
        <v>216</v>
      </c>
      <c r="E469" s="8">
        <v>134</v>
      </c>
      <c r="F469" s="8">
        <v>2779.77</v>
      </c>
    </row>
    <row r="470" spans="1:6" x14ac:dyDescent="0.25">
      <c r="A470" s="1"/>
      <c r="B470" s="2"/>
      <c r="C470" s="8" t="s">
        <v>472</v>
      </c>
      <c r="D470" s="8" t="s">
        <v>204</v>
      </c>
      <c r="E470" s="8">
        <v>121</v>
      </c>
      <c r="F470" s="8">
        <v>1438.53</v>
      </c>
    </row>
    <row r="471" spans="1:6" x14ac:dyDescent="0.25">
      <c r="A471" s="1"/>
      <c r="B471" s="2"/>
      <c r="C471" s="8" t="s">
        <v>473</v>
      </c>
      <c r="D471" s="8" t="s">
        <v>347</v>
      </c>
      <c r="E471" s="8">
        <v>56</v>
      </c>
      <c r="F471" s="8">
        <v>1028.11</v>
      </c>
    </row>
    <row r="472" spans="1:6" x14ac:dyDescent="0.25">
      <c r="A472" s="1"/>
      <c r="B472" s="2"/>
      <c r="C472" s="8" t="s">
        <v>474</v>
      </c>
      <c r="D472" s="8" t="s">
        <v>347</v>
      </c>
      <c r="E472" s="8">
        <v>100</v>
      </c>
      <c r="F472" s="8">
        <v>1937.19</v>
      </c>
    </row>
    <row r="473" spans="1:6" x14ac:dyDescent="0.25">
      <c r="A473" s="1"/>
      <c r="B473" s="2"/>
      <c r="C473" s="8" t="s">
        <v>475</v>
      </c>
      <c r="D473" s="8" t="s">
        <v>347</v>
      </c>
      <c r="E473" s="8">
        <v>56</v>
      </c>
      <c r="F473" s="8">
        <v>1048.29</v>
      </c>
    </row>
    <row r="474" spans="1:6" x14ac:dyDescent="0.25">
      <c r="A474" s="1"/>
      <c r="B474" s="2"/>
      <c r="C474" s="8" t="s">
        <v>476</v>
      </c>
      <c r="D474" s="8" t="s">
        <v>347</v>
      </c>
      <c r="E474" s="8">
        <v>100</v>
      </c>
      <c r="F474" s="8">
        <v>1931.49</v>
      </c>
    </row>
    <row r="475" spans="1:6" x14ac:dyDescent="0.25">
      <c r="A475" s="1"/>
      <c r="B475" s="2"/>
      <c r="C475" s="8" t="s">
        <v>477</v>
      </c>
      <c r="D475" s="8" t="s">
        <v>236</v>
      </c>
      <c r="E475" s="8">
        <v>36</v>
      </c>
      <c r="F475" s="8">
        <v>609.19</v>
      </c>
    </row>
    <row r="476" spans="1:6" x14ac:dyDescent="0.25">
      <c r="A476" s="1"/>
      <c r="B476" s="2"/>
      <c r="C476" s="8" t="s">
        <v>478</v>
      </c>
      <c r="D476" s="8" t="s">
        <v>236</v>
      </c>
      <c r="E476" s="8">
        <v>60</v>
      </c>
      <c r="F476" s="8">
        <v>1130.03</v>
      </c>
    </row>
    <row r="477" spans="1:6" x14ac:dyDescent="0.25">
      <c r="A477" s="1"/>
      <c r="B477" s="2"/>
      <c r="C477" s="8" t="s">
        <v>479</v>
      </c>
      <c r="D477" s="8" t="s">
        <v>236</v>
      </c>
      <c r="E477" s="8">
        <v>60</v>
      </c>
      <c r="F477" s="8">
        <v>1134.94</v>
      </c>
    </row>
    <row r="478" spans="1:6" x14ac:dyDescent="0.25">
      <c r="A478" s="1"/>
      <c r="B478" s="2"/>
      <c r="C478" s="8" t="s">
        <v>480</v>
      </c>
      <c r="D478" s="8" t="s">
        <v>214</v>
      </c>
      <c r="E478" s="8">
        <v>100</v>
      </c>
      <c r="F478" s="8">
        <v>1986.18</v>
      </c>
    </row>
    <row r="479" spans="1:6" x14ac:dyDescent="0.25">
      <c r="A479" s="1"/>
      <c r="B479" s="2"/>
      <c r="C479" s="8" t="s">
        <v>481</v>
      </c>
      <c r="D479" s="8" t="s">
        <v>214</v>
      </c>
      <c r="E479" s="8">
        <v>56</v>
      </c>
      <c r="F479" s="8">
        <v>1098.49</v>
      </c>
    </row>
    <row r="480" spans="1:6" x14ac:dyDescent="0.25">
      <c r="A480" s="1"/>
      <c r="B480" s="2"/>
      <c r="C480" s="8" t="s">
        <v>482</v>
      </c>
      <c r="D480" s="8" t="s">
        <v>236</v>
      </c>
      <c r="E480" s="8">
        <v>73</v>
      </c>
      <c r="F480" s="8">
        <v>1451.57</v>
      </c>
    </row>
    <row r="481" spans="1:6" x14ac:dyDescent="0.25">
      <c r="A481" s="1"/>
      <c r="B481" s="2"/>
      <c r="C481" s="8" t="s">
        <v>483</v>
      </c>
      <c r="D481" s="8" t="s">
        <v>236</v>
      </c>
      <c r="E481" s="8">
        <v>76</v>
      </c>
      <c r="F481" s="8">
        <v>1485.54</v>
      </c>
    </row>
    <row r="482" spans="1:6" x14ac:dyDescent="0.25">
      <c r="A482" s="1"/>
      <c r="B482" s="2"/>
      <c r="C482" s="8" t="s">
        <v>484</v>
      </c>
      <c r="D482" s="8" t="s">
        <v>216</v>
      </c>
      <c r="E482" s="8">
        <v>134</v>
      </c>
      <c r="F482" s="8">
        <v>2839.53</v>
      </c>
    </row>
    <row r="483" spans="1:6" x14ac:dyDescent="0.25">
      <c r="A483" s="1"/>
      <c r="B483" s="2"/>
      <c r="C483" s="8" t="s">
        <v>485</v>
      </c>
      <c r="D483" s="8" t="s">
        <v>216</v>
      </c>
      <c r="E483" s="8">
        <v>134</v>
      </c>
      <c r="F483" s="8">
        <v>2773.49</v>
      </c>
    </row>
    <row r="484" spans="1:6" x14ac:dyDescent="0.25">
      <c r="A484" s="1"/>
      <c r="B484" s="2"/>
      <c r="C484" s="8" t="s">
        <v>486</v>
      </c>
      <c r="D484" s="8" t="s">
        <v>204</v>
      </c>
      <c r="E484" s="8">
        <v>94</v>
      </c>
      <c r="F484" s="8">
        <v>1890.06</v>
      </c>
    </row>
    <row r="485" spans="1:6" x14ac:dyDescent="0.25">
      <c r="A485" s="1"/>
      <c r="B485" s="2"/>
      <c r="C485" s="8" t="s">
        <v>487</v>
      </c>
      <c r="D485" s="8" t="s">
        <v>204</v>
      </c>
      <c r="E485" s="8">
        <v>105</v>
      </c>
      <c r="F485" s="8">
        <v>2035.27</v>
      </c>
    </row>
    <row r="486" spans="1:6" x14ac:dyDescent="0.25">
      <c r="A486" s="1"/>
      <c r="B486" s="2"/>
      <c r="C486" s="8" t="s">
        <v>488</v>
      </c>
      <c r="D486" s="8" t="s">
        <v>236</v>
      </c>
      <c r="E486" s="8">
        <v>60</v>
      </c>
      <c r="F486" s="8">
        <v>1143.4</v>
      </c>
    </row>
    <row r="487" spans="1:6" x14ac:dyDescent="0.25">
      <c r="A487" s="1"/>
      <c r="B487" s="2"/>
      <c r="C487" s="8" t="s">
        <v>489</v>
      </c>
      <c r="D487" s="8" t="s">
        <v>236</v>
      </c>
      <c r="E487" s="8">
        <v>60</v>
      </c>
      <c r="F487" s="8">
        <v>1139.19</v>
      </c>
    </row>
    <row r="488" spans="1:6" x14ac:dyDescent="0.25">
      <c r="A488" s="1"/>
      <c r="B488" s="2"/>
      <c r="C488" s="8" t="s">
        <v>490</v>
      </c>
      <c r="D488" s="8" t="s">
        <v>236</v>
      </c>
      <c r="E488" s="8">
        <v>36</v>
      </c>
      <c r="F488" s="8">
        <v>673.55</v>
      </c>
    </row>
    <row r="489" spans="1:6" x14ac:dyDescent="0.25">
      <c r="A489" s="1"/>
      <c r="B489" s="2"/>
      <c r="C489" s="8" t="s">
        <v>491</v>
      </c>
      <c r="D489" s="8" t="s">
        <v>204</v>
      </c>
      <c r="E489" s="8">
        <v>163</v>
      </c>
      <c r="F489" s="8">
        <v>3116.45</v>
      </c>
    </row>
    <row r="490" spans="1:6" x14ac:dyDescent="0.25">
      <c r="A490" s="1"/>
      <c r="B490" s="2"/>
      <c r="C490" s="8" t="s">
        <v>492</v>
      </c>
      <c r="D490" s="8" t="s">
        <v>204</v>
      </c>
      <c r="E490" s="8">
        <v>105</v>
      </c>
      <c r="F490" s="8">
        <v>2122.08</v>
      </c>
    </row>
    <row r="491" spans="1:6" x14ac:dyDescent="0.25">
      <c r="A491" s="1"/>
      <c r="B491" s="2"/>
      <c r="C491" s="8" t="s">
        <v>493</v>
      </c>
      <c r="D491" s="8" t="s">
        <v>204</v>
      </c>
      <c r="E491" s="8">
        <v>105</v>
      </c>
      <c r="F491" s="8">
        <v>2087.1</v>
      </c>
    </row>
    <row r="492" spans="1:6" x14ac:dyDescent="0.25">
      <c r="A492" s="1"/>
      <c r="B492" s="2"/>
      <c r="C492" s="8" t="s">
        <v>494</v>
      </c>
      <c r="D492" s="8" t="s">
        <v>204</v>
      </c>
      <c r="E492" s="8">
        <v>105</v>
      </c>
      <c r="F492" s="8">
        <v>2124.96</v>
      </c>
    </row>
    <row r="493" spans="1:6" x14ac:dyDescent="0.25">
      <c r="A493" s="1"/>
      <c r="B493" s="2"/>
      <c r="C493" s="8" t="s">
        <v>495</v>
      </c>
      <c r="D493" s="8" t="s">
        <v>216</v>
      </c>
      <c r="E493" s="8">
        <v>156</v>
      </c>
      <c r="F493" s="8">
        <v>3237.51</v>
      </c>
    </row>
    <row r="494" spans="1:6" x14ac:dyDescent="0.25">
      <c r="A494" s="1"/>
      <c r="B494" s="2"/>
      <c r="C494" s="8" t="s">
        <v>496</v>
      </c>
      <c r="D494" s="8" t="s">
        <v>216</v>
      </c>
      <c r="E494" s="8">
        <v>95</v>
      </c>
      <c r="F494" s="8">
        <v>1974.5</v>
      </c>
    </row>
    <row r="495" spans="1:7" x14ac:dyDescent="0.25">
      <c r="A495" s="7">
        <v>46281</v>
      </c>
      <c r="B495" s="8" t="s">
        <v>212</v>
      </c>
      <c r="C495" s="8" t="s">
        <v>497</v>
      </c>
      <c r="D495" s="8" t="s">
        <v>216</v>
      </c>
      <c r="E495" s="8">
        <v>28</v>
      </c>
      <c r="F495" s="8">
        <v>550.64</v>
      </c>
      <c r="G495" s="7">
        <v>46283</v>
      </c>
    </row>
    <row r="496" spans="1:6" x14ac:dyDescent="0.25">
      <c r="A496" s="1"/>
      <c r="B496" s="2"/>
      <c r="C496" s="8" t="s">
        <v>498</v>
      </c>
      <c r="D496" s="8" t="s">
        <v>204</v>
      </c>
      <c r="E496" s="8">
        <v>79</v>
      </c>
      <c r="F496" s="8">
        <v>1166.26</v>
      </c>
    </row>
    <row r="498" spans="1:7" x14ac:dyDescent="0.25">
      <c r="A498" s="7">
        <v>46284</v>
      </c>
      <c r="B498" s="8" t="s">
        <v>10</v>
      </c>
      <c r="C498" s="8" t="s">
        <v>499</v>
      </c>
      <c r="D498" s="8" t="s">
        <v>12</v>
      </c>
      <c r="E498" s="8">
        <v>90</v>
      </c>
      <c r="F498" s="8">
        <v>1882</v>
      </c>
      <c r="G498" s="7">
        <v>46283</v>
      </c>
    </row>
    <row r="499" spans="1:6" x14ac:dyDescent="0.25">
      <c r="A499" s="1"/>
      <c r="B499" s="2"/>
      <c r="C499" s="8" t="s">
        <v>500</v>
      </c>
      <c r="D499" s="8" t="s">
        <v>12</v>
      </c>
      <c r="E499" s="8">
        <v>81</v>
      </c>
      <c r="F499" s="8">
        <v>1804.56</v>
      </c>
    </row>
    <row r="501" spans="1:7" x14ac:dyDescent="0.25">
      <c r="A501" s="7">
        <v>46284</v>
      </c>
      <c r="B501" s="8" t="s">
        <v>501</v>
      </c>
      <c r="C501" s="8" t="s">
        <v>502</v>
      </c>
      <c r="D501" s="8" t="s">
        <v>9</v>
      </c>
      <c r="E501" s="8">
        <v>100</v>
      </c>
      <c r="F501" s="8">
        <v>2012.4</v>
      </c>
      <c r="G501" s="7">
        <v>46283</v>
      </c>
    </row>
    <row r="503" spans="1:7" x14ac:dyDescent="0.25">
      <c r="A503" s="7">
        <v>46284</v>
      </c>
      <c r="B503" s="8" t="s">
        <v>503</v>
      </c>
      <c r="C503" s="8" t="s">
        <v>504</v>
      </c>
      <c r="D503" s="8" t="s">
        <v>42</v>
      </c>
      <c r="E503" s="8">
        <v>93</v>
      </c>
      <c r="F503" s="8">
        <v>1691.92</v>
      </c>
      <c r="G503" s="7">
        <v>46283</v>
      </c>
    </row>
    <row r="505" spans="1:7" x14ac:dyDescent="0.25">
      <c r="A505" s="7">
        <v>46284</v>
      </c>
      <c r="B505" s="8" t="s">
        <v>380</v>
      </c>
      <c r="C505" s="8" t="s">
        <v>505</v>
      </c>
      <c r="D505" s="8" t="s">
        <v>20</v>
      </c>
      <c r="E505" s="8">
        <v>142</v>
      </c>
      <c r="F505" s="8">
        <v>2834.29</v>
      </c>
      <c r="G505" s="7">
        <v>46283</v>
      </c>
    </row>
    <row r="506" spans="1:6" x14ac:dyDescent="0.25">
      <c r="A506" s="1"/>
      <c r="B506" s="2"/>
      <c r="C506" s="8" t="s">
        <v>506</v>
      </c>
      <c r="D506" s="8" t="s">
        <v>20</v>
      </c>
      <c r="E506" s="8">
        <v>102</v>
      </c>
      <c r="F506" s="8">
        <v>1948.38</v>
      </c>
    </row>
    <row r="507" spans="1:6" x14ac:dyDescent="0.25">
      <c r="A507" s="1"/>
      <c r="B507" s="2"/>
      <c r="C507" s="8" t="s">
        <v>507</v>
      </c>
      <c r="D507" s="8" t="s">
        <v>20</v>
      </c>
      <c r="E507" s="8">
        <v>142</v>
      </c>
      <c r="F507" s="8">
        <v>2817.11</v>
      </c>
    </row>
    <row r="508" spans="1:6" x14ac:dyDescent="0.25">
      <c r="A508" s="1"/>
      <c r="B508" s="2"/>
      <c r="C508" s="8" t="s">
        <v>508</v>
      </c>
      <c r="D508" s="8" t="s">
        <v>20</v>
      </c>
      <c r="E508" s="8">
        <v>102</v>
      </c>
      <c r="F508" s="8">
        <v>2096.23</v>
      </c>
    </row>
    <row r="509" spans="1:6" x14ac:dyDescent="0.25">
      <c r="A509" s="1"/>
      <c r="B509" s="2"/>
      <c r="C509" s="8" t="s">
        <v>509</v>
      </c>
      <c r="D509" s="8" t="s">
        <v>20</v>
      </c>
      <c r="E509" s="8">
        <v>90</v>
      </c>
      <c r="F509" s="8">
        <v>1823.77</v>
      </c>
    </row>
    <row r="510" spans="1:6" x14ac:dyDescent="0.25">
      <c r="A510" s="1"/>
      <c r="B510" s="2"/>
      <c r="C510" s="8" t="s">
        <v>510</v>
      </c>
      <c r="D510" s="8" t="s">
        <v>20</v>
      </c>
      <c r="E510" s="8">
        <v>142</v>
      </c>
      <c r="F510" s="8">
        <v>2602.18</v>
      </c>
    </row>
    <row r="511" spans="1:6" x14ac:dyDescent="0.25">
      <c r="A511" s="1"/>
      <c r="B511" s="2"/>
      <c r="C511" s="8" t="s">
        <v>511</v>
      </c>
      <c r="D511" s="8" t="s">
        <v>20</v>
      </c>
      <c r="E511" s="8">
        <v>142</v>
      </c>
      <c r="F511" s="8">
        <v>2779.49</v>
      </c>
    </row>
    <row r="512" spans="1:6" x14ac:dyDescent="0.25">
      <c r="A512" s="1"/>
      <c r="B512" s="2"/>
      <c r="C512" s="8" t="s">
        <v>512</v>
      </c>
      <c r="D512" s="8" t="s">
        <v>20</v>
      </c>
      <c r="E512" s="8">
        <v>142</v>
      </c>
      <c r="F512" s="8">
        <v>2756.57</v>
      </c>
    </row>
    <row r="514" spans="1:7" x14ac:dyDescent="0.25">
      <c r="A514" s="7">
        <v>46283</v>
      </c>
      <c r="B514" s="8" t="s">
        <v>18</v>
      </c>
      <c r="C514" s="8" t="s">
        <v>513</v>
      </c>
      <c r="D514" s="8" t="s">
        <v>20</v>
      </c>
      <c r="E514" s="8">
        <v>128</v>
      </c>
      <c r="F514" s="8">
        <v>2404.99</v>
      </c>
      <c r="G514" s="7">
        <v>46282</v>
      </c>
    </row>
    <row r="515" spans="1:6" x14ac:dyDescent="0.25">
      <c r="A515" s="1"/>
      <c r="B515" s="2"/>
      <c r="C515" s="8" t="s">
        <v>514</v>
      </c>
      <c r="D515" s="8" t="s">
        <v>20</v>
      </c>
      <c r="E515" s="8">
        <v>102</v>
      </c>
      <c r="F515" s="8">
        <v>2037.73</v>
      </c>
    </row>
    <row r="516" spans="1:6" x14ac:dyDescent="0.25">
      <c r="A516" s="1"/>
      <c r="B516" s="2"/>
      <c r="C516" s="8" t="s">
        <v>515</v>
      </c>
      <c r="D516" s="8" t="s">
        <v>20</v>
      </c>
      <c r="E516" s="8">
        <v>80</v>
      </c>
      <c r="F516" s="8">
        <v>1544.59</v>
      </c>
    </row>
    <row r="517" spans="1:6" x14ac:dyDescent="0.25">
      <c r="A517" s="1"/>
      <c r="B517" s="2"/>
      <c r="C517" s="8" t="s">
        <v>516</v>
      </c>
      <c r="D517" s="8" t="s">
        <v>20</v>
      </c>
      <c r="E517" s="8">
        <v>142</v>
      </c>
      <c r="F517" s="8">
        <v>2769.54</v>
      </c>
    </row>
    <row r="518" spans="1:6" x14ac:dyDescent="0.25">
      <c r="A518" s="1"/>
      <c r="B518" s="2"/>
      <c r="C518" s="8" t="s">
        <v>517</v>
      </c>
      <c r="D518" s="8" t="s">
        <v>20</v>
      </c>
      <c r="E518" s="8">
        <v>142</v>
      </c>
      <c r="F518" s="8">
        <v>2829.25</v>
      </c>
    </row>
    <row r="520" spans="1:7" x14ac:dyDescent="0.25">
      <c r="A520" s="7">
        <v>46283</v>
      </c>
      <c r="B520" s="8" t="s">
        <v>32</v>
      </c>
      <c r="C520" s="8" t="s">
        <v>518</v>
      </c>
      <c r="D520" s="8" t="s">
        <v>20</v>
      </c>
      <c r="E520" s="8">
        <v>156</v>
      </c>
      <c r="F520" s="8">
        <v>2924.41</v>
      </c>
      <c r="G520" s="7">
        <v>46282</v>
      </c>
    </row>
    <row r="521" spans="1:6" x14ac:dyDescent="0.25">
      <c r="A521" s="1"/>
      <c r="B521" s="2"/>
      <c r="C521" s="8" t="s">
        <v>519</v>
      </c>
      <c r="D521" s="8" t="s">
        <v>20</v>
      </c>
      <c r="E521" s="8">
        <v>156</v>
      </c>
      <c r="F521" s="8">
        <v>3163.85</v>
      </c>
    </row>
    <row r="522" spans="1:6" x14ac:dyDescent="0.25">
      <c r="A522" s="1"/>
      <c r="B522" s="2"/>
      <c r="C522" s="8" t="s">
        <v>520</v>
      </c>
      <c r="D522" s="8" t="s">
        <v>20</v>
      </c>
      <c r="E522" s="8">
        <v>155</v>
      </c>
      <c r="F522" s="8">
        <v>3147.31</v>
      </c>
    </row>
    <row r="523" spans="1:6" x14ac:dyDescent="0.25">
      <c r="A523" s="1"/>
      <c r="B523" s="2"/>
      <c r="C523" s="8" t="s">
        <v>521</v>
      </c>
      <c r="D523" s="8" t="s">
        <v>20</v>
      </c>
      <c r="E523" s="8">
        <v>96</v>
      </c>
      <c r="F523" s="8">
        <v>1946.22</v>
      </c>
    </row>
    <row r="524" spans="1:6" x14ac:dyDescent="0.25">
      <c r="A524" s="1"/>
      <c r="B524" s="2"/>
      <c r="C524" s="8" t="s">
        <v>522</v>
      </c>
      <c r="D524" s="8" t="s">
        <v>20</v>
      </c>
      <c r="E524" s="8">
        <v>105</v>
      </c>
      <c r="F524" s="8">
        <v>2047.72</v>
      </c>
    </row>
    <row r="525" spans="1:6" x14ac:dyDescent="0.25">
      <c r="A525" s="1"/>
      <c r="B525" s="2"/>
      <c r="C525" s="8" t="s">
        <v>523</v>
      </c>
      <c r="D525" s="8" t="s">
        <v>20</v>
      </c>
      <c r="E525" s="8">
        <v>156</v>
      </c>
      <c r="F525" s="8">
        <v>3000.35</v>
      </c>
    </row>
    <row r="526" spans="1:6" x14ac:dyDescent="0.25">
      <c r="A526" s="1"/>
      <c r="B526" s="2"/>
      <c r="C526" s="8" t="s">
        <v>524</v>
      </c>
      <c r="D526" s="8" t="s">
        <v>20</v>
      </c>
      <c r="E526" s="8">
        <v>156</v>
      </c>
      <c r="F526" s="8">
        <v>3097.57</v>
      </c>
    </row>
    <row r="527" spans="1:6" x14ac:dyDescent="0.25">
      <c r="A527" s="1"/>
      <c r="B527" s="2"/>
      <c r="C527" s="8" t="s">
        <v>525</v>
      </c>
      <c r="D527" s="8" t="s">
        <v>20</v>
      </c>
      <c r="E527" s="8">
        <v>68</v>
      </c>
      <c r="F527" s="8">
        <v>1397.7</v>
      </c>
    </row>
    <row r="528" spans="1:6" x14ac:dyDescent="0.25">
      <c r="A528" s="1"/>
      <c r="B528" s="2"/>
      <c r="C528" s="8" t="s">
        <v>526</v>
      </c>
      <c r="D528" s="8" t="s">
        <v>20</v>
      </c>
      <c r="E528" s="8">
        <v>59</v>
      </c>
      <c r="F528" s="8">
        <v>1199.87</v>
      </c>
    </row>
    <row r="529" spans="1:6" x14ac:dyDescent="0.25">
      <c r="A529" s="1"/>
      <c r="B529" s="2"/>
      <c r="C529" s="8" t="s">
        <v>527</v>
      </c>
      <c r="D529" s="8" t="s">
        <v>20</v>
      </c>
      <c r="E529" s="8">
        <v>65</v>
      </c>
      <c r="F529" s="8">
        <v>1331.78</v>
      </c>
    </row>
    <row r="530" spans="1:6" x14ac:dyDescent="0.25">
      <c r="A530" s="1"/>
      <c r="B530" s="2"/>
      <c r="C530" s="8" t="s">
        <v>528</v>
      </c>
      <c r="D530" s="8" t="s">
        <v>20</v>
      </c>
      <c r="E530" s="8">
        <v>155</v>
      </c>
      <c r="F530" s="8">
        <v>2832.85</v>
      </c>
    </row>
    <row r="532" spans="1:7" x14ac:dyDescent="0.25">
      <c r="A532" s="7">
        <v>46283</v>
      </c>
      <c r="B532" s="8" t="s">
        <v>25</v>
      </c>
      <c r="C532" s="8" t="s">
        <v>529</v>
      </c>
      <c r="D532" s="8" t="s">
        <v>27</v>
      </c>
      <c r="E532" s="8">
        <v>77</v>
      </c>
      <c r="F532" s="8">
        <v>1217.43</v>
      </c>
      <c r="G532" s="7">
        <v>46282</v>
      </c>
    </row>
    <row r="533" spans="1:6" x14ac:dyDescent="0.25">
      <c r="A533" s="1"/>
      <c r="B533" s="2"/>
      <c r="C533" s="8" t="s">
        <v>530</v>
      </c>
      <c r="D533" s="8" t="s">
        <v>27</v>
      </c>
      <c r="E533" s="8">
        <v>23</v>
      </c>
      <c r="F533" s="8">
        <v>445.48</v>
      </c>
    </row>
    <row r="534" spans="1:6" x14ac:dyDescent="0.25">
      <c r="A534" s="1"/>
      <c r="B534" s="2"/>
      <c r="C534" s="8" t="s">
        <v>531</v>
      </c>
      <c r="D534" s="8" t="s">
        <v>27</v>
      </c>
      <c r="E534" s="8">
        <v>28</v>
      </c>
      <c r="F534" s="8">
        <v>447.41</v>
      </c>
    </row>
    <row r="535" spans="1:6" x14ac:dyDescent="0.25">
      <c r="A535" s="1"/>
      <c r="B535" s="2"/>
      <c r="C535" s="8" t="s">
        <v>532</v>
      </c>
      <c r="D535" s="8" t="s">
        <v>27</v>
      </c>
      <c r="E535" s="8">
        <v>63</v>
      </c>
      <c r="F535" s="8">
        <v>1214.28</v>
      </c>
    </row>
    <row r="536" spans="1:6" x14ac:dyDescent="0.25">
      <c r="A536" s="1"/>
      <c r="B536" s="2"/>
      <c r="C536" s="8" t="s">
        <v>533</v>
      </c>
      <c r="D536" s="8" t="s">
        <v>27</v>
      </c>
      <c r="E536" s="8">
        <v>63</v>
      </c>
      <c r="F536" s="8">
        <v>1151.52</v>
      </c>
    </row>
    <row r="537" spans="1:6" x14ac:dyDescent="0.25">
      <c r="A537" s="1"/>
      <c r="B537" s="2"/>
      <c r="C537" s="8" t="s">
        <v>534</v>
      </c>
      <c r="D537" s="8" t="s">
        <v>27</v>
      </c>
      <c r="E537" s="8">
        <v>30</v>
      </c>
      <c r="F537" s="8">
        <v>544.24</v>
      </c>
    </row>
    <row r="539" spans="1:7" x14ac:dyDescent="0.25">
      <c r="A539" s="7">
        <v>46283</v>
      </c>
      <c r="B539" s="8" t="s">
        <v>120</v>
      </c>
      <c r="C539" s="8" t="s">
        <v>535</v>
      </c>
      <c r="D539" s="8" t="s">
        <v>122</v>
      </c>
      <c r="E539" s="8">
        <v>62</v>
      </c>
      <c r="F539" s="8">
        <v>1277.36</v>
      </c>
      <c r="G539" s="7">
        <v>46282</v>
      </c>
    </row>
    <row r="540" spans="1:6" x14ac:dyDescent="0.25">
      <c r="A540" s="1"/>
      <c r="B540" s="2"/>
      <c r="C540" s="8" t="s">
        <v>536</v>
      </c>
      <c r="D540" s="8" t="s">
        <v>122</v>
      </c>
      <c r="E540" s="8">
        <v>13</v>
      </c>
      <c r="F540" s="8">
        <v>264.79</v>
      </c>
    </row>
    <row r="541" spans="1:6" x14ac:dyDescent="0.25">
      <c r="A541" s="1"/>
      <c r="B541" s="2"/>
      <c r="C541" s="8" t="s">
        <v>537</v>
      </c>
      <c r="D541" s="8" t="s">
        <v>122</v>
      </c>
      <c r="E541" s="8">
        <v>68</v>
      </c>
      <c r="F541" s="8">
        <v>1348.07</v>
      </c>
    </row>
    <row r="542" spans="1:6" x14ac:dyDescent="0.25">
      <c r="A542" s="1"/>
      <c r="B542" s="2"/>
      <c r="C542" s="8" t="s">
        <v>538</v>
      </c>
      <c r="D542" s="8" t="s">
        <v>122</v>
      </c>
      <c r="E542" s="8">
        <v>34</v>
      </c>
      <c r="F542" s="8">
        <v>667.26</v>
      </c>
    </row>
    <row r="543" spans="1:6" x14ac:dyDescent="0.25">
      <c r="A543" s="1"/>
      <c r="B543" s="2"/>
      <c r="C543" s="8" t="s">
        <v>539</v>
      </c>
      <c r="D543" s="8" t="s">
        <v>122</v>
      </c>
      <c r="E543" s="8">
        <v>100</v>
      </c>
      <c r="F543" s="8">
        <v>1484.32</v>
      </c>
    </row>
    <row r="544" spans="1:6" x14ac:dyDescent="0.25">
      <c r="A544" s="1"/>
      <c r="B544" s="2"/>
      <c r="C544" s="8" t="s">
        <v>540</v>
      </c>
      <c r="D544" s="8" t="s">
        <v>122</v>
      </c>
      <c r="E544" s="8">
        <v>101</v>
      </c>
      <c r="F544" s="8">
        <v>2401.82</v>
      </c>
    </row>
    <row r="545" spans="1:6" x14ac:dyDescent="0.25">
      <c r="A545" s="1"/>
      <c r="B545" s="2"/>
      <c r="C545" s="8" t="s">
        <v>541</v>
      </c>
      <c r="D545" s="8" t="s">
        <v>122</v>
      </c>
      <c r="E545" s="8">
        <v>114</v>
      </c>
      <c r="F545" s="8">
        <v>2553.16</v>
      </c>
    </row>
    <row r="546" spans="1:6" x14ac:dyDescent="0.25">
      <c r="A546" s="1"/>
      <c r="B546" s="2"/>
      <c r="C546" s="8" t="s">
        <v>542</v>
      </c>
      <c r="D546" s="8" t="s">
        <v>122</v>
      </c>
      <c r="E546" s="8">
        <v>100</v>
      </c>
      <c r="F546" s="8">
        <v>2007.95</v>
      </c>
    </row>
    <row r="547" spans="1:6" x14ac:dyDescent="0.25">
      <c r="A547" s="1"/>
      <c r="B547" s="2"/>
      <c r="C547" s="8" t="s">
        <v>543</v>
      </c>
      <c r="D547" s="8" t="s">
        <v>122</v>
      </c>
      <c r="E547" s="8">
        <v>21</v>
      </c>
      <c r="F547" s="8">
        <v>415.65</v>
      </c>
    </row>
    <row r="548" spans="1:6" x14ac:dyDescent="0.25">
      <c r="A548" s="1"/>
      <c r="B548" s="2"/>
      <c r="C548" s="8" t="s">
        <v>544</v>
      </c>
      <c r="D548" s="8" t="s">
        <v>122</v>
      </c>
      <c r="E548" s="8">
        <v>49</v>
      </c>
      <c r="F548" s="8">
        <v>692.18</v>
      </c>
    </row>
    <row r="549" spans="1:6" x14ac:dyDescent="0.25">
      <c r="A549" s="1"/>
      <c r="B549" s="2"/>
      <c r="C549" s="8" t="s">
        <v>545</v>
      </c>
      <c r="D549" s="8" t="s">
        <v>122</v>
      </c>
      <c r="E549" s="8">
        <v>31</v>
      </c>
      <c r="F549" s="8">
        <v>168.05</v>
      </c>
    </row>
    <row r="550" spans="1:6" x14ac:dyDescent="0.25">
      <c r="A550" s="1"/>
      <c r="B550" s="2"/>
      <c r="C550" s="8" t="s">
        <v>545</v>
      </c>
      <c r="D550" s="8" t="s">
        <v>122</v>
      </c>
      <c r="E550" s="8">
        <v>23</v>
      </c>
      <c r="F550" s="8">
        <v>99.1</v>
      </c>
    </row>
    <row r="551" spans="1:6" x14ac:dyDescent="0.25">
      <c r="A551" s="1"/>
      <c r="B551" s="2"/>
      <c r="C551" s="8" t="s">
        <v>546</v>
      </c>
      <c r="D551" s="8" t="s">
        <v>122</v>
      </c>
      <c r="E551" s="8">
        <v>49</v>
      </c>
      <c r="F551" s="8">
        <v>323.49</v>
      </c>
    </row>
    <row r="552" spans="1:6" x14ac:dyDescent="0.25">
      <c r="A552" s="1"/>
      <c r="B552" s="2"/>
      <c r="C552" s="8" t="s">
        <v>547</v>
      </c>
      <c r="D552" s="8" t="s">
        <v>122</v>
      </c>
      <c r="E552" s="8">
        <v>60</v>
      </c>
      <c r="F552" s="8">
        <v>1154.72</v>
      </c>
    </row>
    <row r="553" spans="1:6" x14ac:dyDescent="0.25">
      <c r="A553" s="1"/>
      <c r="B553" s="2"/>
      <c r="C553" s="8" t="s">
        <v>548</v>
      </c>
      <c r="D553" s="8" t="s">
        <v>122</v>
      </c>
      <c r="E553" s="8">
        <v>61</v>
      </c>
      <c r="F553" s="8">
        <v>1276.96</v>
      </c>
    </row>
    <row r="554" spans="1:6" x14ac:dyDescent="0.25">
      <c r="A554" s="1"/>
      <c r="B554" s="2"/>
      <c r="C554" s="8" t="s">
        <v>549</v>
      </c>
      <c r="D554" s="8" t="s">
        <v>122</v>
      </c>
      <c r="E554" s="8">
        <v>4</v>
      </c>
      <c r="F554" s="8">
        <v>58.54</v>
      </c>
    </row>
    <row r="555" spans="1:6" x14ac:dyDescent="0.25">
      <c r="A555" s="1"/>
      <c r="B555" s="2"/>
      <c r="C555" s="8" t="s">
        <v>550</v>
      </c>
      <c r="D555" s="8" t="s">
        <v>122</v>
      </c>
      <c r="E555" s="8">
        <v>51</v>
      </c>
      <c r="F555" s="8">
        <v>1018.27</v>
      </c>
    </row>
    <row r="556" spans="1:6" x14ac:dyDescent="0.25">
      <c r="A556" s="1"/>
      <c r="B556" s="2"/>
      <c r="C556" s="8" t="s">
        <v>551</v>
      </c>
      <c r="D556" s="8" t="s">
        <v>122</v>
      </c>
      <c r="E556" s="8">
        <v>63</v>
      </c>
      <c r="F556" s="8">
        <v>1214.01</v>
      </c>
    </row>
    <row r="557" spans="1:6" x14ac:dyDescent="0.25">
      <c r="A557" s="1"/>
      <c r="B557" s="2"/>
      <c r="C557" s="8" t="s">
        <v>552</v>
      </c>
      <c r="D557" s="8" t="s">
        <v>122</v>
      </c>
      <c r="E557" s="8">
        <v>23</v>
      </c>
      <c r="F557" s="8">
        <v>459.46</v>
      </c>
    </row>
    <row r="558" spans="1:6" x14ac:dyDescent="0.25">
      <c r="A558" s="1"/>
      <c r="B558" s="2"/>
      <c r="C558" s="8" t="s">
        <v>553</v>
      </c>
      <c r="D558" s="8" t="s">
        <v>122</v>
      </c>
      <c r="E558" s="8">
        <v>47</v>
      </c>
      <c r="F558" s="8">
        <v>279.64</v>
      </c>
    </row>
    <row r="559" spans="1:6" x14ac:dyDescent="0.25">
      <c r="A559" s="1"/>
      <c r="B559" s="2"/>
      <c r="C559" s="8" t="s">
        <v>554</v>
      </c>
      <c r="D559" s="8" t="s">
        <v>122</v>
      </c>
      <c r="E559" s="8">
        <v>47</v>
      </c>
      <c r="F559" s="8">
        <v>912.78</v>
      </c>
    </row>
    <row r="560" spans="1:6" x14ac:dyDescent="0.25">
      <c r="A560" s="1"/>
      <c r="B560" s="2"/>
      <c r="C560" s="8" t="s">
        <v>555</v>
      </c>
      <c r="D560" s="8" t="s">
        <v>122</v>
      </c>
      <c r="E560" s="8">
        <v>13</v>
      </c>
      <c r="F560" s="8">
        <v>268.02</v>
      </c>
    </row>
    <row r="561" spans="1:6" x14ac:dyDescent="0.25">
      <c r="A561" s="1"/>
      <c r="B561" s="2"/>
      <c r="C561" s="8" t="s">
        <v>556</v>
      </c>
      <c r="D561" s="8" t="s">
        <v>122</v>
      </c>
      <c r="E561" s="8">
        <v>61</v>
      </c>
      <c r="F561" s="8">
        <v>1214.11</v>
      </c>
    </row>
    <row r="562" spans="1:6" x14ac:dyDescent="0.25">
      <c r="A562" s="1"/>
      <c r="B562" s="2"/>
      <c r="C562" s="8" t="s">
        <v>557</v>
      </c>
      <c r="D562" s="8" t="s">
        <v>122</v>
      </c>
      <c r="E562" s="8">
        <v>14</v>
      </c>
      <c r="F562" s="8">
        <v>284.11</v>
      </c>
    </row>
    <row r="563" spans="1:6" x14ac:dyDescent="0.25">
      <c r="A563" s="1"/>
      <c r="B563" s="2"/>
      <c r="C563" s="8" t="s">
        <v>558</v>
      </c>
      <c r="D563" s="8" t="s">
        <v>122</v>
      </c>
      <c r="E563" s="8">
        <v>16</v>
      </c>
      <c r="F563" s="8">
        <v>335</v>
      </c>
    </row>
    <row r="564" spans="1:6" x14ac:dyDescent="0.25">
      <c r="A564" s="1"/>
      <c r="B564" s="2"/>
      <c r="C564" s="8" t="s">
        <v>559</v>
      </c>
      <c r="D564" s="8" t="s">
        <v>122</v>
      </c>
      <c r="E564" s="8">
        <v>98</v>
      </c>
      <c r="F564" s="8">
        <v>1938.7</v>
      </c>
    </row>
    <row r="565" spans="1:6" x14ac:dyDescent="0.25">
      <c r="A565" s="1"/>
      <c r="B565" s="2"/>
      <c r="C565" s="8" t="s">
        <v>560</v>
      </c>
      <c r="D565" s="8" t="s">
        <v>122</v>
      </c>
      <c r="E565" s="8">
        <v>6</v>
      </c>
      <c r="F565" s="8">
        <v>118.5</v>
      </c>
    </row>
    <row r="566" spans="1:6" x14ac:dyDescent="0.25">
      <c r="A566" s="1"/>
      <c r="B566" s="2"/>
      <c r="C566" s="8" t="s">
        <v>561</v>
      </c>
      <c r="D566" s="8" t="s">
        <v>122</v>
      </c>
      <c r="E566" s="8">
        <v>7</v>
      </c>
      <c r="F566" s="8">
        <v>151.1</v>
      </c>
    </row>
    <row r="567" spans="1:6" x14ac:dyDescent="0.25">
      <c r="A567" s="1"/>
      <c r="B567" s="2"/>
      <c r="C567" s="8" t="s">
        <v>562</v>
      </c>
      <c r="D567" s="8" t="s">
        <v>122</v>
      </c>
      <c r="E567" s="8">
        <v>35</v>
      </c>
      <c r="F567" s="8">
        <v>645.17</v>
      </c>
    </row>
    <row r="568" spans="1:6" x14ac:dyDescent="0.25">
      <c r="A568" s="1"/>
      <c r="B568" s="2"/>
      <c r="C568" s="8" t="s">
        <v>563</v>
      </c>
      <c r="D568" s="8" t="s">
        <v>122</v>
      </c>
      <c r="E568" s="8">
        <v>21</v>
      </c>
      <c r="F568" s="8">
        <v>404.77</v>
      </c>
    </row>
    <row r="569" spans="1:6" x14ac:dyDescent="0.25">
      <c r="A569" s="1"/>
      <c r="B569" s="2"/>
      <c r="C569" s="8" t="s">
        <v>564</v>
      </c>
      <c r="D569" s="8" t="s">
        <v>122</v>
      </c>
      <c r="E569" s="8">
        <v>25</v>
      </c>
      <c r="F569" s="8">
        <v>494.77</v>
      </c>
    </row>
    <row r="570" spans="1:6" x14ac:dyDescent="0.25">
      <c r="A570" s="1"/>
      <c r="B570" s="2"/>
      <c r="C570" s="8" t="s">
        <v>565</v>
      </c>
      <c r="D570" s="8" t="s">
        <v>122</v>
      </c>
      <c r="E570" s="8">
        <v>40</v>
      </c>
      <c r="F570" s="8">
        <v>774.57</v>
      </c>
    </row>
    <row r="571" spans="1:6" x14ac:dyDescent="0.25">
      <c r="A571" s="1"/>
      <c r="B571" s="2"/>
      <c r="C571" s="8" t="s">
        <v>566</v>
      </c>
      <c r="D571" s="8" t="s">
        <v>122</v>
      </c>
      <c r="E571" s="8">
        <v>141</v>
      </c>
      <c r="F571" s="8">
        <v>2895.39</v>
      </c>
    </row>
    <row r="572" spans="1:6" x14ac:dyDescent="0.25">
      <c r="A572" s="1"/>
      <c r="B572" s="2"/>
      <c r="C572" s="8" t="s">
        <v>567</v>
      </c>
      <c r="D572" s="8" t="s">
        <v>122</v>
      </c>
      <c r="E572" s="8">
        <v>36</v>
      </c>
      <c r="F572" s="8">
        <v>718.04</v>
      </c>
    </row>
    <row r="573" spans="1:6" x14ac:dyDescent="0.25">
      <c r="A573" s="1"/>
      <c r="B573" s="2"/>
      <c r="C573" s="8" t="s">
        <v>568</v>
      </c>
      <c r="D573" s="8" t="s">
        <v>122</v>
      </c>
      <c r="E573" s="8">
        <v>105</v>
      </c>
      <c r="F573" s="8">
        <v>2092.59</v>
      </c>
    </row>
    <row r="574" spans="1:6" x14ac:dyDescent="0.25">
      <c r="A574" s="1"/>
      <c r="B574" s="2"/>
      <c r="C574" s="8" t="s">
        <v>569</v>
      </c>
      <c r="D574" s="8" t="s">
        <v>122</v>
      </c>
      <c r="E574" s="8">
        <v>46</v>
      </c>
      <c r="F574" s="8">
        <v>907.34</v>
      </c>
    </row>
    <row r="575" spans="1:6" x14ac:dyDescent="0.25">
      <c r="A575" s="1"/>
      <c r="B575" s="2"/>
      <c r="C575" s="8" t="s">
        <v>570</v>
      </c>
      <c r="D575" s="8" t="s">
        <v>122</v>
      </c>
      <c r="E575" s="8">
        <v>35</v>
      </c>
      <c r="F575" s="8">
        <v>671.82</v>
      </c>
    </row>
    <row r="576" spans="1:6" x14ac:dyDescent="0.25">
      <c r="A576" s="1"/>
      <c r="B576" s="2"/>
      <c r="C576" s="8" t="s">
        <v>571</v>
      </c>
      <c r="D576" s="8" t="s">
        <v>122</v>
      </c>
      <c r="E576" s="8">
        <v>21</v>
      </c>
      <c r="F576" s="8">
        <v>420.61</v>
      </c>
    </row>
    <row r="577" spans="1:6" x14ac:dyDescent="0.25">
      <c r="A577" s="1"/>
      <c r="B577" s="2"/>
      <c r="C577" s="8" t="s">
        <v>572</v>
      </c>
      <c r="D577" s="8" t="s">
        <v>122</v>
      </c>
      <c r="E577" s="8">
        <v>55</v>
      </c>
      <c r="F577" s="8">
        <v>1190.19</v>
      </c>
    </row>
    <row r="578" spans="1:6" x14ac:dyDescent="0.25">
      <c r="A578" s="1"/>
      <c r="B578" s="2"/>
      <c r="C578" s="8" t="s">
        <v>573</v>
      </c>
      <c r="D578" s="8" t="s">
        <v>122</v>
      </c>
      <c r="E578" s="8">
        <v>27</v>
      </c>
      <c r="F578" s="8">
        <v>544.8</v>
      </c>
    </row>
    <row r="579" spans="1:6" x14ac:dyDescent="0.25">
      <c r="A579" s="1"/>
      <c r="B579" s="2"/>
      <c r="C579" s="8" t="s">
        <v>574</v>
      </c>
      <c r="D579" s="8" t="s">
        <v>122</v>
      </c>
      <c r="E579" s="8">
        <v>59</v>
      </c>
      <c r="F579" s="8">
        <v>1257.72</v>
      </c>
    </row>
    <row r="580" spans="1:6" x14ac:dyDescent="0.25">
      <c r="A580" s="1"/>
      <c r="B580" s="2"/>
      <c r="C580" s="8" t="s">
        <v>575</v>
      </c>
      <c r="D580" s="8" t="s">
        <v>122</v>
      </c>
      <c r="E580" s="8">
        <v>82</v>
      </c>
      <c r="F580" s="8">
        <v>1636.7</v>
      </c>
    </row>
    <row r="581" spans="1:6" x14ac:dyDescent="0.25">
      <c r="A581" s="1"/>
      <c r="B581" s="2"/>
      <c r="C581" s="8" t="s">
        <v>576</v>
      </c>
      <c r="D581" s="8" t="s">
        <v>122</v>
      </c>
      <c r="E581" s="8">
        <v>59</v>
      </c>
      <c r="F581" s="8">
        <v>1188.09</v>
      </c>
    </row>
    <row r="582" spans="1:6" x14ac:dyDescent="0.25">
      <c r="A582" s="1"/>
      <c r="B582" s="2"/>
      <c r="C582" s="8" t="s">
        <v>577</v>
      </c>
      <c r="D582" s="8" t="s">
        <v>122</v>
      </c>
      <c r="E582" s="8">
        <v>84</v>
      </c>
      <c r="F582" s="8">
        <v>1668.95</v>
      </c>
    </row>
    <row r="583" spans="1:6" x14ac:dyDescent="0.25">
      <c r="A583" s="1"/>
      <c r="B583" s="2"/>
      <c r="C583" s="8" t="s">
        <v>578</v>
      </c>
      <c r="D583" s="8" t="s">
        <v>122</v>
      </c>
      <c r="E583" s="8">
        <v>16</v>
      </c>
      <c r="F583" s="8">
        <v>325.53</v>
      </c>
    </row>
    <row r="584" spans="1:6" x14ac:dyDescent="0.25">
      <c r="A584" s="1"/>
      <c r="B584" s="2"/>
      <c r="C584" s="8" t="s">
        <v>579</v>
      </c>
      <c r="D584" s="8" t="s">
        <v>122</v>
      </c>
      <c r="E584" s="8">
        <v>41</v>
      </c>
      <c r="F584" s="8">
        <v>758.44</v>
      </c>
    </row>
    <row r="585" spans="1:6" x14ac:dyDescent="0.25">
      <c r="A585" s="1"/>
      <c r="B585" s="2"/>
      <c r="C585" s="8" t="s">
        <v>580</v>
      </c>
      <c r="D585" s="8" t="s">
        <v>122</v>
      </c>
      <c r="E585" s="8">
        <v>10</v>
      </c>
      <c r="F585" s="8">
        <v>209.08</v>
      </c>
    </row>
    <row r="586" spans="1:6" x14ac:dyDescent="0.25">
      <c r="A586" s="1"/>
      <c r="B586" s="2"/>
      <c r="C586" s="8" t="s">
        <v>581</v>
      </c>
      <c r="D586" s="8" t="s">
        <v>122</v>
      </c>
      <c r="E586" s="8">
        <v>116</v>
      </c>
      <c r="F586" s="8">
        <v>2296.33</v>
      </c>
    </row>
    <row r="587" spans="1:6" x14ac:dyDescent="0.25">
      <c r="A587" s="1"/>
      <c r="B587" s="2"/>
      <c r="C587" s="8" t="s">
        <v>582</v>
      </c>
      <c r="D587" s="8" t="s">
        <v>122</v>
      </c>
      <c r="E587" s="8">
        <v>91</v>
      </c>
      <c r="F587" s="8">
        <v>1806.52</v>
      </c>
    </row>
    <row r="588" spans="1:6" x14ac:dyDescent="0.25">
      <c r="A588" s="1"/>
      <c r="B588" s="2"/>
      <c r="C588" s="8" t="s">
        <v>583</v>
      </c>
      <c r="D588" s="8" t="s">
        <v>122</v>
      </c>
      <c r="E588" s="8">
        <v>6</v>
      </c>
      <c r="F588" s="8">
        <v>111.48</v>
      </c>
    </row>
    <row r="589" spans="1:6" x14ac:dyDescent="0.25">
      <c r="A589" s="1"/>
      <c r="B589" s="2"/>
      <c r="C589" s="8" t="s">
        <v>584</v>
      </c>
      <c r="D589" s="8" t="s">
        <v>122</v>
      </c>
      <c r="E589" s="8">
        <v>19</v>
      </c>
      <c r="F589" s="8">
        <v>372.54</v>
      </c>
    </row>
    <row r="590" spans="1:6" x14ac:dyDescent="0.25">
      <c r="A590" s="1"/>
      <c r="B590" s="2"/>
      <c r="C590" s="8" t="s">
        <v>585</v>
      </c>
      <c r="D590" s="8" t="s">
        <v>122</v>
      </c>
      <c r="E590" s="8">
        <v>86</v>
      </c>
      <c r="F590" s="8">
        <v>1745.26</v>
      </c>
    </row>
    <row r="591" spans="1:6" x14ac:dyDescent="0.25">
      <c r="A591" s="1"/>
      <c r="B591" s="2"/>
      <c r="C591" s="8" t="s">
        <v>586</v>
      </c>
      <c r="D591" s="8" t="s">
        <v>122</v>
      </c>
      <c r="E591" s="8">
        <v>40</v>
      </c>
      <c r="F591" s="8">
        <v>824.99</v>
      </c>
    </row>
    <row r="592" spans="1:6" x14ac:dyDescent="0.25">
      <c r="A592" s="1"/>
      <c r="B592" s="2"/>
      <c r="C592" s="8" t="s">
        <v>587</v>
      </c>
      <c r="D592" s="8" t="s">
        <v>122</v>
      </c>
      <c r="E592" s="8">
        <v>15</v>
      </c>
      <c r="F592" s="8">
        <v>290.05</v>
      </c>
    </row>
    <row r="593" spans="1:6" x14ac:dyDescent="0.25">
      <c r="A593" s="1"/>
      <c r="B593" s="2"/>
      <c r="C593" s="8" t="s">
        <v>588</v>
      </c>
      <c r="D593" s="8" t="s">
        <v>122</v>
      </c>
      <c r="E593" s="8">
        <v>25</v>
      </c>
      <c r="F593" s="8">
        <v>85.23</v>
      </c>
    </row>
    <row r="594" spans="1:6" x14ac:dyDescent="0.25">
      <c r="A594" s="1"/>
      <c r="B594" s="2"/>
      <c r="C594" s="8" t="s">
        <v>589</v>
      </c>
      <c r="D594" s="8" t="s">
        <v>122</v>
      </c>
      <c r="E594" s="8">
        <v>15</v>
      </c>
      <c r="F594" s="8">
        <v>53.3</v>
      </c>
    </row>
    <row r="596" spans="1:7" x14ac:dyDescent="0.25">
      <c r="A596" s="7">
        <v>46283</v>
      </c>
      <c r="B596" s="8" t="s">
        <v>10</v>
      </c>
      <c r="C596" s="8" t="s">
        <v>590</v>
      </c>
      <c r="D596" s="8" t="s">
        <v>12</v>
      </c>
      <c r="E596" s="8">
        <v>83</v>
      </c>
      <c r="F596" s="8">
        <v>1754.54</v>
      </c>
      <c r="G596" s="7">
        <v>46282</v>
      </c>
    </row>
    <row r="597" spans="1:6" x14ac:dyDescent="0.25">
      <c r="A597" s="1"/>
      <c r="B597" s="2"/>
      <c r="C597" s="8" t="s">
        <v>591</v>
      </c>
      <c r="D597" s="8" t="s">
        <v>12</v>
      </c>
      <c r="E597" s="8">
        <v>88</v>
      </c>
      <c r="F597" s="8">
        <v>1842.75</v>
      </c>
    </row>
    <row r="599" spans="1:7" x14ac:dyDescent="0.25">
      <c r="A599" s="7">
        <v>46283</v>
      </c>
      <c r="B599" s="8" t="s">
        <v>14</v>
      </c>
      <c r="C599" s="8" t="s">
        <v>592</v>
      </c>
      <c r="D599" s="8" t="s">
        <v>12</v>
      </c>
      <c r="E599" s="8">
        <v>150</v>
      </c>
      <c r="F599" s="8">
        <v>3196.12</v>
      </c>
      <c r="G599" s="7">
        <v>46282</v>
      </c>
    </row>
    <row r="600" spans="1:6" x14ac:dyDescent="0.25">
      <c r="A600" s="1"/>
      <c r="B600" s="2"/>
      <c r="C600" s="8" t="s">
        <v>593</v>
      </c>
      <c r="D600" s="8" t="s">
        <v>12</v>
      </c>
      <c r="E600" s="8">
        <v>150</v>
      </c>
      <c r="F600" s="8">
        <v>3078.89</v>
      </c>
    </row>
    <row r="601" spans="1:6" x14ac:dyDescent="0.25">
      <c r="A601" s="1"/>
      <c r="B601" s="2"/>
      <c r="C601" s="8" t="s">
        <v>594</v>
      </c>
      <c r="D601" s="8" t="s">
        <v>12</v>
      </c>
      <c r="E601" s="8">
        <v>70</v>
      </c>
      <c r="F601" s="8">
        <v>1437.12</v>
      </c>
    </row>
    <row r="603" spans="1:7" x14ac:dyDescent="0.25">
      <c r="A603" s="7">
        <v>46283</v>
      </c>
      <c r="B603" s="8" t="s">
        <v>40</v>
      </c>
      <c r="C603" s="8" t="s">
        <v>595</v>
      </c>
      <c r="D603" s="8" t="s">
        <v>42</v>
      </c>
      <c r="E603" s="8">
        <v>123</v>
      </c>
      <c r="F603" s="8">
        <v>2335.35</v>
      </c>
      <c r="G603" s="7">
        <v>46282</v>
      </c>
    </row>
    <row r="604" spans="1:6" x14ac:dyDescent="0.25">
      <c r="A604" s="1"/>
      <c r="B604" s="2"/>
      <c r="C604" s="8" t="s">
        <v>596</v>
      </c>
      <c r="D604" s="8" t="s">
        <v>42</v>
      </c>
      <c r="E604" s="8">
        <v>123</v>
      </c>
      <c r="F604" s="8">
        <v>2376.39</v>
      </c>
    </row>
    <row r="605" spans="1:6" x14ac:dyDescent="0.25">
      <c r="A605" s="1"/>
      <c r="B605" s="2"/>
      <c r="C605" s="8" t="s">
        <v>597</v>
      </c>
      <c r="D605" s="8" t="s">
        <v>42</v>
      </c>
      <c r="E605" s="8">
        <v>110</v>
      </c>
      <c r="F605" s="8">
        <v>2036.4</v>
      </c>
    </row>
    <row r="606" spans="1:6" x14ac:dyDescent="0.25">
      <c r="A606" s="1"/>
      <c r="B606" s="2"/>
      <c r="C606" s="8" t="s">
        <v>598</v>
      </c>
      <c r="D606" s="8" t="s">
        <v>42</v>
      </c>
      <c r="E606" s="8">
        <v>123</v>
      </c>
      <c r="F606" s="8">
        <v>2412.16</v>
      </c>
    </row>
    <row r="607" spans="1:6" x14ac:dyDescent="0.25">
      <c r="A607" s="1"/>
      <c r="B607" s="2"/>
      <c r="C607" s="8" t="s">
        <v>599</v>
      </c>
      <c r="D607" s="8" t="s">
        <v>42</v>
      </c>
      <c r="E607" s="8">
        <v>40</v>
      </c>
      <c r="F607" s="8">
        <v>203.35</v>
      </c>
    </row>
    <row r="608" spans="1:6" x14ac:dyDescent="0.25">
      <c r="A608" s="1"/>
      <c r="B608" s="2"/>
      <c r="C608" s="8" t="s">
        <v>600</v>
      </c>
      <c r="D608" s="8" t="s">
        <v>42</v>
      </c>
      <c r="E608" s="8">
        <v>141</v>
      </c>
      <c r="F608" s="8">
        <v>3265.34</v>
      </c>
    </row>
    <row r="609" spans="1:6" x14ac:dyDescent="0.25">
      <c r="A609" s="1"/>
      <c r="B609" s="2"/>
      <c r="C609" s="8" t="s">
        <v>601</v>
      </c>
      <c r="D609" s="8" t="s">
        <v>42</v>
      </c>
      <c r="E609" s="8">
        <v>141</v>
      </c>
      <c r="F609" s="8">
        <v>2880.29</v>
      </c>
    </row>
    <row r="610" spans="1:6" x14ac:dyDescent="0.25">
      <c r="A610" s="1"/>
      <c r="B610" s="2"/>
      <c r="C610" s="8" t="s">
        <v>602</v>
      </c>
      <c r="D610" s="8" t="s">
        <v>42</v>
      </c>
      <c r="E610" s="8">
        <v>141</v>
      </c>
      <c r="F610" s="8">
        <v>3208.53</v>
      </c>
    </row>
    <row r="611" spans="1:6" x14ac:dyDescent="0.25">
      <c r="A611" s="1"/>
      <c r="B611" s="2"/>
      <c r="C611" s="8" t="s">
        <v>603</v>
      </c>
      <c r="D611" s="8" t="s">
        <v>42</v>
      </c>
      <c r="E611" s="8">
        <v>141</v>
      </c>
      <c r="F611" s="8">
        <v>2661.66</v>
      </c>
    </row>
    <row r="612" spans="1:6" x14ac:dyDescent="0.25">
      <c r="A612" s="1"/>
      <c r="B612" s="2"/>
      <c r="C612" s="8" t="s">
        <v>604</v>
      </c>
      <c r="D612" s="8" t="s">
        <v>42</v>
      </c>
      <c r="E612" s="8">
        <v>40</v>
      </c>
      <c r="F612" s="8">
        <v>206.12</v>
      </c>
    </row>
    <row r="613" spans="1:6" x14ac:dyDescent="0.25">
      <c r="A613" s="1"/>
      <c r="B613" s="2"/>
      <c r="C613" s="8" t="s">
        <v>605</v>
      </c>
      <c r="D613" s="8" t="s">
        <v>42</v>
      </c>
      <c r="E613" s="8">
        <v>141</v>
      </c>
      <c r="F613" s="8">
        <v>2809.61</v>
      </c>
    </row>
    <row r="614" spans="1:6" x14ac:dyDescent="0.25">
      <c r="A614" s="1"/>
      <c r="B614" s="2"/>
      <c r="C614" s="8" t="s">
        <v>606</v>
      </c>
      <c r="D614" s="8" t="s">
        <v>42</v>
      </c>
      <c r="E614" s="8">
        <v>52</v>
      </c>
      <c r="F614" s="8">
        <v>1040.35</v>
      </c>
    </row>
    <row r="615" spans="1:6" x14ac:dyDescent="0.25">
      <c r="A615" s="1"/>
      <c r="B615" s="2"/>
      <c r="C615" s="8" t="s">
        <v>607</v>
      </c>
      <c r="D615" s="8" t="s">
        <v>42</v>
      </c>
      <c r="E615" s="8">
        <v>90</v>
      </c>
      <c r="F615" s="8">
        <v>1670.91</v>
      </c>
    </row>
    <row r="616" spans="1:6" x14ac:dyDescent="0.25">
      <c r="A616" s="1"/>
      <c r="B616" s="2"/>
      <c r="C616" s="8" t="s">
        <v>608</v>
      </c>
      <c r="D616" s="8" t="s">
        <v>42</v>
      </c>
      <c r="E616" s="8">
        <v>38</v>
      </c>
      <c r="F616" s="8">
        <v>749.81</v>
      </c>
    </row>
    <row r="617" spans="1:6" x14ac:dyDescent="0.25">
      <c r="A617" s="1"/>
      <c r="B617" s="2"/>
      <c r="C617" s="8" t="s">
        <v>609</v>
      </c>
      <c r="D617" s="8" t="s">
        <v>42</v>
      </c>
      <c r="E617" s="8">
        <v>103</v>
      </c>
      <c r="F617" s="8">
        <v>2084.44</v>
      </c>
    </row>
    <row r="618" spans="1:6" x14ac:dyDescent="0.25">
      <c r="A618" s="1"/>
      <c r="B618" s="2"/>
      <c r="C618" s="8" t="s">
        <v>610</v>
      </c>
      <c r="D618" s="8" t="s">
        <v>42</v>
      </c>
      <c r="E618" s="8">
        <v>141</v>
      </c>
      <c r="F618" s="8">
        <v>2743.8</v>
      </c>
    </row>
    <row r="619" spans="1:6" x14ac:dyDescent="0.25">
      <c r="A619" s="1"/>
      <c r="B619" s="2"/>
      <c r="C619" s="8" t="s">
        <v>611</v>
      </c>
      <c r="D619" s="8" t="s">
        <v>42</v>
      </c>
      <c r="E619" s="8">
        <v>40</v>
      </c>
      <c r="F619" s="8">
        <v>199.33</v>
      </c>
    </row>
    <row r="620" spans="1:6" x14ac:dyDescent="0.25">
      <c r="A620" s="1"/>
      <c r="B620" s="2"/>
      <c r="C620" s="8" t="s">
        <v>612</v>
      </c>
      <c r="D620" s="8" t="s">
        <v>42</v>
      </c>
      <c r="E620" s="8">
        <v>33</v>
      </c>
      <c r="F620" s="8">
        <v>707.05</v>
      </c>
    </row>
    <row r="621" spans="1:6" x14ac:dyDescent="0.25">
      <c r="A621" s="1"/>
      <c r="B621" s="2"/>
      <c r="C621" s="8" t="s">
        <v>613</v>
      </c>
      <c r="D621" s="8" t="s">
        <v>42</v>
      </c>
      <c r="E621" s="8">
        <v>108</v>
      </c>
      <c r="F621" s="8">
        <v>2118.53</v>
      </c>
    </row>
    <row r="622" spans="1:6" x14ac:dyDescent="0.25">
      <c r="A622" s="1"/>
      <c r="B622" s="2"/>
      <c r="C622" s="8" t="s">
        <v>614</v>
      </c>
      <c r="D622" s="8" t="s">
        <v>42</v>
      </c>
      <c r="E622" s="8">
        <v>100</v>
      </c>
      <c r="F622" s="8">
        <v>1927.37</v>
      </c>
    </row>
    <row r="623" spans="1:6" x14ac:dyDescent="0.25">
      <c r="A623" s="1"/>
      <c r="B623" s="2"/>
      <c r="C623" s="8" t="s">
        <v>615</v>
      </c>
      <c r="D623" s="8" t="s">
        <v>42</v>
      </c>
      <c r="E623" s="8">
        <v>41</v>
      </c>
      <c r="F623" s="8">
        <v>788.17</v>
      </c>
    </row>
    <row r="624" spans="1:6" x14ac:dyDescent="0.25">
      <c r="A624" s="1"/>
      <c r="B624" s="2"/>
      <c r="C624" s="8" t="s">
        <v>616</v>
      </c>
      <c r="D624" s="8" t="s">
        <v>42</v>
      </c>
      <c r="E624" s="8">
        <v>26</v>
      </c>
      <c r="F624" s="8">
        <v>596.59</v>
      </c>
    </row>
    <row r="625" spans="1:6" x14ac:dyDescent="0.25">
      <c r="A625" s="1"/>
      <c r="B625" s="2"/>
      <c r="C625" s="8" t="s">
        <v>617</v>
      </c>
      <c r="D625" s="8" t="s">
        <v>42</v>
      </c>
      <c r="E625" s="8">
        <v>114</v>
      </c>
      <c r="F625" s="8">
        <v>2300.35</v>
      </c>
    </row>
    <row r="626" spans="1:6" x14ac:dyDescent="0.25">
      <c r="A626" s="1"/>
      <c r="B626" s="2"/>
      <c r="C626" s="8" t="s">
        <v>618</v>
      </c>
      <c r="D626" s="8" t="s">
        <v>42</v>
      </c>
      <c r="E626" s="8">
        <v>40</v>
      </c>
      <c r="F626" s="8">
        <v>807.19</v>
      </c>
    </row>
    <row r="627" spans="1:6" x14ac:dyDescent="0.25">
      <c r="A627" s="1"/>
      <c r="B627" s="2"/>
      <c r="C627" s="8" t="s">
        <v>619</v>
      </c>
      <c r="D627" s="8" t="s">
        <v>42</v>
      </c>
      <c r="E627" s="8">
        <v>74</v>
      </c>
      <c r="F627" s="8">
        <v>1431.01</v>
      </c>
    </row>
    <row r="628" spans="1:6" x14ac:dyDescent="0.25">
      <c r="A628" s="1"/>
      <c r="B628" s="2"/>
      <c r="C628" s="8" t="s">
        <v>620</v>
      </c>
      <c r="D628" s="8" t="s">
        <v>42</v>
      </c>
      <c r="E628" s="8">
        <v>27</v>
      </c>
      <c r="F628" s="8">
        <v>524.38</v>
      </c>
    </row>
    <row r="629" spans="1:6" x14ac:dyDescent="0.25">
      <c r="A629" s="1"/>
      <c r="B629" s="2"/>
      <c r="C629" s="8" t="s">
        <v>621</v>
      </c>
      <c r="D629" s="8" t="s">
        <v>42</v>
      </c>
      <c r="E629" s="8">
        <v>40</v>
      </c>
      <c r="F629" s="8">
        <v>203.12</v>
      </c>
    </row>
    <row r="630" spans="1:6" x14ac:dyDescent="0.25">
      <c r="A630" s="1"/>
      <c r="B630" s="2"/>
      <c r="C630" s="8" t="s">
        <v>622</v>
      </c>
      <c r="D630" s="8" t="s">
        <v>42</v>
      </c>
      <c r="E630" s="8">
        <v>88</v>
      </c>
      <c r="F630" s="8">
        <v>1777.43</v>
      </c>
    </row>
    <row r="631" spans="1:6" x14ac:dyDescent="0.25">
      <c r="A631" s="1"/>
      <c r="B631" s="2"/>
      <c r="C631" s="8" t="s">
        <v>623</v>
      </c>
      <c r="D631" s="8" t="s">
        <v>42</v>
      </c>
      <c r="E631" s="8">
        <v>13</v>
      </c>
      <c r="F631" s="8">
        <v>213.64</v>
      </c>
    </row>
    <row r="632" spans="1:6" x14ac:dyDescent="0.25">
      <c r="A632" s="1"/>
      <c r="B632" s="2"/>
      <c r="C632" s="8" t="s">
        <v>624</v>
      </c>
      <c r="D632" s="8" t="s">
        <v>42</v>
      </c>
      <c r="E632" s="8">
        <v>34</v>
      </c>
      <c r="F632" s="8">
        <v>663.26</v>
      </c>
    </row>
    <row r="633" spans="1:6" x14ac:dyDescent="0.25">
      <c r="A633" s="1"/>
      <c r="B633" s="2"/>
      <c r="C633" s="8" t="s">
        <v>625</v>
      </c>
      <c r="D633" s="8" t="s">
        <v>42</v>
      </c>
      <c r="E633" s="8">
        <v>100</v>
      </c>
      <c r="F633" s="8">
        <v>2021.57</v>
      </c>
    </row>
    <row r="634" spans="1:6" x14ac:dyDescent="0.25">
      <c r="A634" s="1"/>
      <c r="B634" s="2"/>
      <c r="C634" s="8" t="s">
        <v>626</v>
      </c>
      <c r="D634" s="8" t="s">
        <v>42</v>
      </c>
      <c r="E634" s="8">
        <v>100</v>
      </c>
      <c r="F634" s="8">
        <v>1924.02</v>
      </c>
    </row>
    <row r="635" spans="1:6" x14ac:dyDescent="0.25">
      <c r="A635" s="1"/>
      <c r="B635" s="2"/>
      <c r="C635" s="8" t="s">
        <v>627</v>
      </c>
      <c r="D635" s="8" t="s">
        <v>42</v>
      </c>
      <c r="E635" s="8">
        <v>65</v>
      </c>
      <c r="F635" s="8">
        <v>1287.64</v>
      </c>
    </row>
    <row r="636" spans="1:6" x14ac:dyDescent="0.25">
      <c r="A636" s="1"/>
      <c r="B636" s="2"/>
      <c r="C636" s="8" t="s">
        <v>628</v>
      </c>
      <c r="D636" s="8" t="s">
        <v>42</v>
      </c>
      <c r="E636" s="8">
        <v>10</v>
      </c>
      <c r="F636" s="8">
        <v>187.42</v>
      </c>
    </row>
    <row r="637" spans="1:6" x14ac:dyDescent="0.25">
      <c r="A637" s="1"/>
      <c r="B637" s="2"/>
      <c r="C637" s="8" t="s">
        <v>629</v>
      </c>
      <c r="D637" s="8" t="s">
        <v>42</v>
      </c>
      <c r="E637" s="8">
        <v>141</v>
      </c>
      <c r="F637" s="8">
        <v>2894.96</v>
      </c>
    </row>
    <row r="638" spans="1:6" x14ac:dyDescent="0.25">
      <c r="A638" s="1"/>
      <c r="B638" s="2"/>
      <c r="C638" s="8" t="s">
        <v>630</v>
      </c>
      <c r="D638" s="8" t="s">
        <v>42</v>
      </c>
      <c r="E638" s="8">
        <v>141</v>
      </c>
      <c r="F638" s="8">
        <v>2904.86</v>
      </c>
    </row>
    <row r="639" spans="1:6" x14ac:dyDescent="0.25">
      <c r="A639" s="1"/>
      <c r="B639" s="2"/>
      <c r="C639" s="8" t="s">
        <v>631</v>
      </c>
      <c r="D639" s="8" t="s">
        <v>42</v>
      </c>
      <c r="E639" s="8">
        <v>102</v>
      </c>
      <c r="F639" s="8">
        <v>1849.76</v>
      </c>
    </row>
    <row r="640" spans="1:6" x14ac:dyDescent="0.25">
      <c r="A640" s="1"/>
      <c r="B640" s="2"/>
      <c r="C640" s="8" t="s">
        <v>632</v>
      </c>
      <c r="D640" s="8" t="s">
        <v>42</v>
      </c>
      <c r="E640" s="8">
        <v>102</v>
      </c>
      <c r="F640" s="8">
        <v>2141.01</v>
      </c>
    </row>
    <row r="641" spans="1:6" x14ac:dyDescent="0.25">
      <c r="A641" s="1"/>
      <c r="B641" s="2"/>
      <c r="C641" s="8" t="s">
        <v>633</v>
      </c>
      <c r="D641" s="8" t="s">
        <v>42</v>
      </c>
      <c r="E641" s="8">
        <v>102</v>
      </c>
      <c r="F641" s="8">
        <v>2017.63</v>
      </c>
    </row>
    <row r="642" spans="1:6" x14ac:dyDescent="0.25">
      <c r="A642" s="1"/>
      <c r="B642" s="2"/>
      <c r="C642" s="8" t="s">
        <v>634</v>
      </c>
      <c r="D642" s="8" t="s">
        <v>42</v>
      </c>
      <c r="E642" s="8">
        <v>102</v>
      </c>
      <c r="F642" s="8">
        <v>2039.36</v>
      </c>
    </row>
    <row r="644" spans="1:7" x14ac:dyDescent="0.25">
      <c r="A644" s="7">
        <v>46282</v>
      </c>
      <c r="B644" s="8" t="s">
        <v>10</v>
      </c>
      <c r="C644" s="8" t="s">
        <v>635</v>
      </c>
      <c r="D644" s="8" t="s">
        <v>12</v>
      </c>
      <c r="E644" s="8">
        <v>92</v>
      </c>
      <c r="F644" s="8">
        <v>2022.32</v>
      </c>
      <c r="G644" s="7">
        <v>46282</v>
      </c>
    </row>
    <row r="645" spans="1:6" x14ac:dyDescent="0.25">
      <c r="A645" s="1"/>
      <c r="B645" s="2"/>
      <c r="C645" s="8" t="s">
        <v>636</v>
      </c>
      <c r="D645" s="8" t="s">
        <v>12</v>
      </c>
      <c r="E645" s="8">
        <v>94</v>
      </c>
      <c r="F645" s="8">
        <v>1967.73</v>
      </c>
    </row>
    <row r="647" spans="1:7" x14ac:dyDescent="0.25">
      <c r="A647" s="7">
        <v>46282</v>
      </c>
      <c r="B647" s="8" t="s">
        <v>172</v>
      </c>
      <c r="C647" s="8" t="s">
        <v>637</v>
      </c>
      <c r="D647" s="8" t="s">
        <v>122</v>
      </c>
      <c r="E647" s="8">
        <v>121</v>
      </c>
      <c r="F647" s="8">
        <v>2464.75</v>
      </c>
      <c r="G647" s="7">
        <v>46281</v>
      </c>
    </row>
    <row r="648" spans="1:6" x14ac:dyDescent="0.25">
      <c r="A648" s="1"/>
      <c r="B648" s="2"/>
      <c r="C648" s="8" t="s">
        <v>638</v>
      </c>
      <c r="D648" s="8" t="s">
        <v>122</v>
      </c>
      <c r="E648" s="8">
        <v>141</v>
      </c>
      <c r="F648" s="8">
        <v>2920.27</v>
      </c>
    </row>
    <row r="649" spans="1:6" x14ac:dyDescent="0.25">
      <c r="A649" s="1"/>
      <c r="B649" s="2"/>
      <c r="C649" s="8" t="s">
        <v>639</v>
      </c>
      <c r="D649" s="8" t="s">
        <v>122</v>
      </c>
      <c r="E649" s="8">
        <v>141</v>
      </c>
      <c r="F649" s="8">
        <v>2877.07</v>
      </c>
    </row>
    <row r="650" spans="1:6" x14ac:dyDescent="0.25">
      <c r="A650" s="1"/>
      <c r="B650" s="2"/>
      <c r="C650" s="8" t="s">
        <v>640</v>
      </c>
      <c r="D650" s="8" t="s">
        <v>122</v>
      </c>
      <c r="E650" s="8">
        <v>121</v>
      </c>
      <c r="F650" s="8">
        <v>2481.77</v>
      </c>
    </row>
    <row r="651" spans="1:6" x14ac:dyDescent="0.25">
      <c r="A651" s="1"/>
      <c r="B651" s="2"/>
      <c r="C651" s="8" t="s">
        <v>641</v>
      </c>
      <c r="D651" s="8" t="s">
        <v>122</v>
      </c>
      <c r="E651" s="8">
        <v>88</v>
      </c>
      <c r="F651" s="8">
        <v>1787.19</v>
      </c>
    </row>
    <row r="652" spans="1:6" x14ac:dyDescent="0.25">
      <c r="A652" s="1"/>
      <c r="B652" s="2"/>
      <c r="C652" s="8" t="s">
        <v>642</v>
      </c>
      <c r="D652" s="8" t="s">
        <v>122</v>
      </c>
      <c r="E652" s="8">
        <v>53</v>
      </c>
      <c r="F652" s="8">
        <v>1096.81</v>
      </c>
    </row>
    <row r="653" spans="1:6" x14ac:dyDescent="0.25">
      <c r="A653" s="1"/>
      <c r="B653" s="2"/>
      <c r="C653" s="8" t="s">
        <v>643</v>
      </c>
      <c r="D653" s="8" t="s">
        <v>122</v>
      </c>
      <c r="E653" s="8">
        <v>63</v>
      </c>
      <c r="F653" s="8">
        <v>1254.03</v>
      </c>
    </row>
    <row r="654" spans="1:6" x14ac:dyDescent="0.25">
      <c r="A654" s="1"/>
      <c r="B654" s="2"/>
      <c r="C654" s="8" t="s">
        <v>644</v>
      </c>
      <c r="D654" s="8" t="s">
        <v>122</v>
      </c>
      <c r="E654" s="8">
        <v>45</v>
      </c>
      <c r="F654" s="8">
        <v>927.22</v>
      </c>
    </row>
    <row r="655" spans="1:6" x14ac:dyDescent="0.25">
      <c r="A655" s="1"/>
      <c r="B655" s="2"/>
      <c r="C655" s="8" t="s">
        <v>645</v>
      </c>
      <c r="D655" s="8" t="s">
        <v>122</v>
      </c>
      <c r="E655" s="8">
        <v>33</v>
      </c>
      <c r="F655" s="8">
        <v>680.9</v>
      </c>
    </row>
    <row r="656" spans="1:6" x14ac:dyDescent="0.25">
      <c r="A656" s="1"/>
      <c r="B656" s="2"/>
      <c r="C656" s="8" t="s">
        <v>646</v>
      </c>
      <c r="D656" s="8" t="s">
        <v>122</v>
      </c>
      <c r="E656" s="8">
        <v>45</v>
      </c>
      <c r="F656" s="8">
        <v>901.4</v>
      </c>
    </row>
    <row r="657" spans="1:6" x14ac:dyDescent="0.25">
      <c r="A657" s="1"/>
      <c r="B657" s="2"/>
      <c r="C657" s="8" t="s">
        <v>647</v>
      </c>
      <c r="D657" s="8" t="s">
        <v>122</v>
      </c>
      <c r="E657" s="8">
        <v>19</v>
      </c>
      <c r="F657" s="8">
        <v>370.27</v>
      </c>
    </row>
    <row r="658" spans="1:6" x14ac:dyDescent="0.25">
      <c r="A658" s="1"/>
      <c r="B658" s="2"/>
      <c r="C658" s="8" t="s">
        <v>648</v>
      </c>
      <c r="D658" s="8" t="s">
        <v>122</v>
      </c>
      <c r="E658" s="8">
        <v>41</v>
      </c>
      <c r="F658" s="8">
        <v>798.32</v>
      </c>
    </row>
    <row r="659" spans="1:6" x14ac:dyDescent="0.25">
      <c r="A659" s="1"/>
      <c r="B659" s="2"/>
      <c r="C659" s="8" t="s">
        <v>649</v>
      </c>
      <c r="D659" s="8" t="s">
        <v>122</v>
      </c>
      <c r="E659" s="8">
        <v>36</v>
      </c>
      <c r="F659" s="8">
        <v>755.93</v>
      </c>
    </row>
    <row r="660" spans="1:6" x14ac:dyDescent="0.25">
      <c r="A660" s="1"/>
      <c r="B660" s="2"/>
      <c r="C660" s="8" t="s">
        <v>650</v>
      </c>
      <c r="D660" s="8" t="s">
        <v>122</v>
      </c>
      <c r="E660" s="8">
        <v>53</v>
      </c>
      <c r="F660" s="8">
        <v>1066.14</v>
      </c>
    </row>
    <row r="661" spans="1:6" x14ac:dyDescent="0.25">
      <c r="A661" s="1"/>
      <c r="B661" s="2"/>
      <c r="C661" s="8" t="s">
        <v>651</v>
      </c>
      <c r="D661" s="8" t="s">
        <v>122</v>
      </c>
      <c r="E661" s="8">
        <v>30</v>
      </c>
      <c r="F661" s="8">
        <v>593.51</v>
      </c>
    </row>
    <row r="662" spans="1:6" x14ac:dyDescent="0.25">
      <c r="A662" s="1"/>
      <c r="B662" s="2"/>
      <c r="C662" s="8" t="s">
        <v>652</v>
      </c>
      <c r="D662" s="8" t="s">
        <v>122</v>
      </c>
      <c r="E662" s="8">
        <v>17</v>
      </c>
      <c r="F662" s="8">
        <v>348.51</v>
      </c>
    </row>
    <row r="663" spans="1:6" x14ac:dyDescent="0.25">
      <c r="A663" s="1"/>
      <c r="B663" s="2"/>
      <c r="C663" s="8" t="s">
        <v>653</v>
      </c>
      <c r="D663" s="8" t="s">
        <v>122</v>
      </c>
      <c r="E663" s="8">
        <v>9</v>
      </c>
      <c r="F663" s="8">
        <v>145.19</v>
      </c>
    </row>
    <row r="664" spans="1:6" x14ac:dyDescent="0.25">
      <c r="A664" s="1"/>
      <c r="B664" s="2"/>
      <c r="C664" s="8" t="s">
        <v>654</v>
      </c>
      <c r="D664" s="8" t="s">
        <v>122</v>
      </c>
      <c r="E664" s="8">
        <v>14</v>
      </c>
      <c r="F664" s="8">
        <v>270.36</v>
      </c>
    </row>
    <row r="665" spans="1:6" x14ac:dyDescent="0.25">
      <c r="A665" s="1"/>
      <c r="B665" s="2"/>
      <c r="C665" s="8" t="s">
        <v>655</v>
      </c>
      <c r="D665" s="8" t="s">
        <v>122</v>
      </c>
      <c r="E665" s="8">
        <v>28</v>
      </c>
      <c r="F665" s="8">
        <v>184.49</v>
      </c>
    </row>
    <row r="666" spans="1:6" x14ac:dyDescent="0.25">
      <c r="A666" s="1"/>
      <c r="B666" s="2"/>
      <c r="C666" s="8" t="s">
        <v>656</v>
      </c>
      <c r="D666" s="8" t="s">
        <v>122</v>
      </c>
      <c r="E666" s="8">
        <v>20</v>
      </c>
      <c r="F666" s="8">
        <v>374.96</v>
      </c>
    </row>
    <row r="667" spans="1:6" x14ac:dyDescent="0.25">
      <c r="A667" s="1"/>
      <c r="B667" s="2"/>
      <c r="C667" s="8" t="s">
        <v>657</v>
      </c>
      <c r="D667" s="8" t="s">
        <v>122</v>
      </c>
      <c r="E667" s="8">
        <v>45</v>
      </c>
      <c r="F667" s="8">
        <v>768.44</v>
      </c>
    </row>
    <row r="668" spans="1:6" x14ac:dyDescent="0.25">
      <c r="A668" s="1"/>
      <c r="B668" s="2"/>
      <c r="C668" s="8" t="s">
        <v>658</v>
      </c>
      <c r="D668" s="8" t="s">
        <v>122</v>
      </c>
      <c r="E668" s="8">
        <v>102</v>
      </c>
      <c r="F668" s="8">
        <v>2082.52</v>
      </c>
    </row>
    <row r="669" spans="1:6" x14ac:dyDescent="0.25">
      <c r="A669" s="1"/>
      <c r="B669" s="2"/>
      <c r="C669" s="8" t="s">
        <v>659</v>
      </c>
      <c r="D669" s="8" t="s">
        <v>122</v>
      </c>
      <c r="E669" s="8">
        <v>102</v>
      </c>
      <c r="F669" s="8">
        <v>1993.34</v>
      </c>
    </row>
    <row r="670" spans="1:6" x14ac:dyDescent="0.25">
      <c r="A670" s="1"/>
      <c r="B670" s="2"/>
      <c r="C670" s="8" t="s">
        <v>660</v>
      </c>
      <c r="D670" s="8" t="s">
        <v>122</v>
      </c>
      <c r="E670" s="8">
        <v>102</v>
      </c>
      <c r="F670" s="8">
        <v>1923.15</v>
      </c>
    </row>
    <row r="671" spans="1:6" x14ac:dyDescent="0.25">
      <c r="A671" s="1"/>
      <c r="B671" s="2"/>
      <c r="C671" s="8" t="s">
        <v>661</v>
      </c>
      <c r="D671" s="8" t="s">
        <v>122</v>
      </c>
      <c r="E671" s="8">
        <v>102</v>
      </c>
      <c r="F671" s="8">
        <v>2005.09</v>
      </c>
    </row>
    <row r="672" spans="1:6" x14ac:dyDescent="0.25">
      <c r="A672" s="1"/>
      <c r="B672" s="2"/>
      <c r="C672" s="8" t="s">
        <v>662</v>
      </c>
      <c r="D672" s="8" t="s">
        <v>122</v>
      </c>
      <c r="E672" s="8">
        <v>40</v>
      </c>
      <c r="F672" s="8">
        <v>765.37</v>
      </c>
    </row>
    <row r="673" spans="1:6" x14ac:dyDescent="0.25">
      <c r="A673" s="1"/>
      <c r="B673" s="2"/>
      <c r="C673" s="8" t="s">
        <v>663</v>
      </c>
      <c r="D673" s="8" t="s">
        <v>122</v>
      </c>
      <c r="E673" s="8">
        <v>10</v>
      </c>
      <c r="F673" s="8">
        <v>198.65</v>
      </c>
    </row>
    <row r="674" spans="1:6" x14ac:dyDescent="0.25">
      <c r="A674" s="1"/>
      <c r="B674" s="2"/>
      <c r="C674" s="8" t="s">
        <v>664</v>
      </c>
      <c r="D674" s="8" t="s">
        <v>122</v>
      </c>
      <c r="E674" s="8">
        <v>11</v>
      </c>
      <c r="F674" s="8">
        <v>212.23</v>
      </c>
    </row>
    <row r="675" spans="1:6" x14ac:dyDescent="0.25">
      <c r="A675" s="1"/>
      <c r="B675" s="2"/>
      <c r="C675" s="8" t="s">
        <v>665</v>
      </c>
      <c r="D675" s="8" t="s">
        <v>122</v>
      </c>
      <c r="E675" s="8">
        <v>38</v>
      </c>
      <c r="F675" s="8">
        <v>742.9</v>
      </c>
    </row>
    <row r="676" spans="1:6" x14ac:dyDescent="0.25">
      <c r="A676" s="1"/>
      <c r="B676" s="2"/>
      <c r="C676" s="8" t="s">
        <v>666</v>
      </c>
      <c r="D676" s="8" t="s">
        <v>122</v>
      </c>
      <c r="E676" s="8">
        <v>64</v>
      </c>
      <c r="F676" s="8">
        <v>1266.71</v>
      </c>
    </row>
    <row r="677" spans="1:6" x14ac:dyDescent="0.25">
      <c r="A677" s="1"/>
      <c r="B677" s="2"/>
      <c r="C677" s="8" t="s">
        <v>667</v>
      </c>
      <c r="D677" s="8" t="s">
        <v>122</v>
      </c>
      <c r="E677" s="8">
        <v>73</v>
      </c>
      <c r="F677" s="8">
        <v>370.16</v>
      </c>
    </row>
    <row r="678" spans="1:6" x14ac:dyDescent="0.25">
      <c r="A678" s="1"/>
      <c r="B678" s="2"/>
      <c r="C678" s="8" t="s">
        <v>668</v>
      </c>
      <c r="D678" s="8" t="s">
        <v>122</v>
      </c>
      <c r="E678" s="8">
        <v>58</v>
      </c>
      <c r="F678" s="8">
        <v>1218.48</v>
      </c>
    </row>
    <row r="679" spans="1:6" x14ac:dyDescent="0.25">
      <c r="A679" s="1"/>
      <c r="B679" s="2"/>
      <c r="C679" s="8" t="s">
        <v>669</v>
      </c>
      <c r="D679" s="8" t="s">
        <v>122</v>
      </c>
      <c r="E679" s="8">
        <v>83</v>
      </c>
      <c r="F679" s="8">
        <v>1689.35</v>
      </c>
    </row>
    <row r="680" spans="1:6" x14ac:dyDescent="0.25">
      <c r="A680" s="1"/>
      <c r="B680" s="2"/>
      <c r="C680" s="8" t="s">
        <v>670</v>
      </c>
      <c r="D680" s="8" t="s">
        <v>122</v>
      </c>
      <c r="E680" s="8">
        <v>75</v>
      </c>
      <c r="F680" s="8">
        <v>1462.92</v>
      </c>
    </row>
    <row r="681" spans="1:6" x14ac:dyDescent="0.25">
      <c r="A681" s="1"/>
      <c r="B681" s="2"/>
      <c r="C681" s="8" t="s">
        <v>671</v>
      </c>
      <c r="D681" s="8" t="s">
        <v>122</v>
      </c>
      <c r="E681" s="8">
        <v>27</v>
      </c>
      <c r="F681" s="8">
        <v>144.49</v>
      </c>
    </row>
    <row r="682" spans="1:6" x14ac:dyDescent="0.25">
      <c r="A682" s="1"/>
      <c r="B682" s="2"/>
      <c r="C682" s="8" t="s">
        <v>672</v>
      </c>
      <c r="D682" s="8" t="s">
        <v>122</v>
      </c>
      <c r="E682" s="8">
        <v>23</v>
      </c>
      <c r="F682" s="8">
        <v>445.13</v>
      </c>
    </row>
    <row r="683" spans="1:6" x14ac:dyDescent="0.25">
      <c r="A683" s="1"/>
      <c r="B683" s="2"/>
      <c r="C683" s="8" t="s">
        <v>673</v>
      </c>
      <c r="D683" s="8" t="s">
        <v>122</v>
      </c>
      <c r="E683" s="8">
        <v>27</v>
      </c>
      <c r="F683" s="8">
        <v>513.27</v>
      </c>
    </row>
    <row r="684" spans="1:6" x14ac:dyDescent="0.25">
      <c r="A684" s="1"/>
      <c r="B684" s="2"/>
      <c r="C684" s="8" t="s">
        <v>674</v>
      </c>
      <c r="D684" s="8" t="s">
        <v>122</v>
      </c>
      <c r="E684" s="8">
        <v>27</v>
      </c>
      <c r="F684" s="8">
        <v>527.16</v>
      </c>
    </row>
    <row r="685" spans="1:6" x14ac:dyDescent="0.25">
      <c r="A685" s="1"/>
      <c r="B685" s="2"/>
      <c r="C685" s="8" t="s">
        <v>675</v>
      </c>
      <c r="D685" s="8" t="s">
        <v>122</v>
      </c>
      <c r="E685" s="8">
        <v>63</v>
      </c>
      <c r="F685" s="8">
        <v>1160.04</v>
      </c>
    </row>
    <row r="686" spans="1:6" x14ac:dyDescent="0.25">
      <c r="A686" s="1"/>
      <c r="B686" s="2"/>
      <c r="C686" s="8" t="s">
        <v>676</v>
      </c>
      <c r="D686" s="8" t="s">
        <v>122</v>
      </c>
      <c r="E686" s="8">
        <v>40</v>
      </c>
      <c r="F686" s="8">
        <v>818.4</v>
      </c>
    </row>
    <row r="687" spans="1:6" x14ac:dyDescent="0.25">
      <c r="A687" s="1"/>
      <c r="B687" s="2"/>
      <c r="C687" s="8" t="s">
        <v>677</v>
      </c>
      <c r="D687" s="8" t="s">
        <v>122</v>
      </c>
      <c r="E687" s="8">
        <v>81</v>
      </c>
      <c r="F687" s="8">
        <v>1620.43</v>
      </c>
    </row>
    <row r="688" spans="1:6" x14ac:dyDescent="0.25">
      <c r="A688" s="1"/>
      <c r="B688" s="2"/>
      <c r="C688" s="8" t="s">
        <v>678</v>
      </c>
      <c r="D688" s="8" t="s">
        <v>122</v>
      </c>
      <c r="E688" s="8">
        <v>60</v>
      </c>
      <c r="F688" s="8">
        <v>1121.79</v>
      </c>
    </row>
    <row r="689" spans="1:6" x14ac:dyDescent="0.25">
      <c r="A689" s="1"/>
      <c r="B689" s="2"/>
      <c r="C689" s="8" t="s">
        <v>679</v>
      </c>
      <c r="D689" s="8" t="s">
        <v>122</v>
      </c>
      <c r="E689" s="8">
        <v>24</v>
      </c>
      <c r="F689" s="8">
        <v>462.54</v>
      </c>
    </row>
    <row r="690" spans="1:6" x14ac:dyDescent="0.25">
      <c r="A690" s="1"/>
      <c r="B690" s="2"/>
      <c r="C690" s="8" t="s">
        <v>680</v>
      </c>
      <c r="D690" s="8" t="s">
        <v>122</v>
      </c>
      <c r="E690" s="8">
        <v>57</v>
      </c>
      <c r="F690" s="8">
        <v>1117.03</v>
      </c>
    </row>
    <row r="692" spans="1:7" x14ac:dyDescent="0.25">
      <c r="A692" s="7">
        <v>46282</v>
      </c>
      <c r="B692" s="8" t="s">
        <v>32</v>
      </c>
      <c r="C692" s="8" t="s">
        <v>681</v>
      </c>
      <c r="D692" s="8" t="s">
        <v>20</v>
      </c>
      <c r="E692" s="8">
        <v>115</v>
      </c>
      <c r="F692" s="8">
        <v>2245.07</v>
      </c>
      <c r="G692" s="7">
        <v>46281</v>
      </c>
    </row>
    <row r="693" spans="1:6" x14ac:dyDescent="0.25">
      <c r="A693" s="1"/>
      <c r="B693" s="2"/>
      <c r="C693" s="8" t="s">
        <v>682</v>
      </c>
      <c r="D693" s="8" t="s">
        <v>20</v>
      </c>
      <c r="E693" s="8">
        <v>105</v>
      </c>
      <c r="F693" s="8">
        <v>1966.98</v>
      </c>
    </row>
    <row r="694" spans="1:6" x14ac:dyDescent="0.25">
      <c r="A694" s="1"/>
      <c r="B694" s="2"/>
      <c r="C694" s="8" t="s">
        <v>683</v>
      </c>
      <c r="D694" s="8" t="s">
        <v>20</v>
      </c>
      <c r="E694" s="8">
        <v>102</v>
      </c>
      <c r="F694" s="8">
        <v>2038.74</v>
      </c>
    </row>
    <row r="695" spans="1:6" x14ac:dyDescent="0.25">
      <c r="A695" s="1"/>
      <c r="B695" s="2"/>
      <c r="C695" s="8" t="s">
        <v>684</v>
      </c>
      <c r="D695" s="8" t="s">
        <v>20</v>
      </c>
      <c r="E695" s="8">
        <v>156</v>
      </c>
      <c r="F695" s="8">
        <v>3087.46</v>
      </c>
    </row>
    <row r="696" spans="1:6" x14ac:dyDescent="0.25">
      <c r="A696" s="1"/>
      <c r="B696" s="2"/>
      <c r="C696" s="8" t="s">
        <v>685</v>
      </c>
      <c r="D696" s="8" t="s">
        <v>20</v>
      </c>
      <c r="E696" s="8">
        <v>105</v>
      </c>
      <c r="F696" s="8">
        <v>2165.91</v>
      </c>
    </row>
    <row r="697" spans="1:6" x14ac:dyDescent="0.25">
      <c r="A697" s="1"/>
      <c r="B697" s="2"/>
      <c r="C697" s="8" t="s">
        <v>686</v>
      </c>
      <c r="D697" s="8" t="s">
        <v>20</v>
      </c>
      <c r="E697" s="8">
        <v>105</v>
      </c>
      <c r="F697" s="8">
        <v>2086.5</v>
      </c>
    </row>
    <row r="698" spans="1:6" x14ac:dyDescent="0.25">
      <c r="A698" s="1"/>
      <c r="B698" s="2"/>
      <c r="C698" s="8" t="s">
        <v>687</v>
      </c>
      <c r="D698" s="8" t="s">
        <v>20</v>
      </c>
      <c r="E698" s="8">
        <v>95</v>
      </c>
      <c r="F698" s="8">
        <v>1967.7</v>
      </c>
    </row>
    <row r="699" spans="1:6" x14ac:dyDescent="0.25">
      <c r="A699" s="1"/>
      <c r="B699" s="2"/>
      <c r="C699" s="8" t="s">
        <v>688</v>
      </c>
      <c r="D699" s="8" t="s">
        <v>20</v>
      </c>
      <c r="E699" s="8">
        <v>154</v>
      </c>
      <c r="F699" s="8">
        <v>2774.88</v>
      </c>
    </row>
    <row r="700" spans="1:6" x14ac:dyDescent="0.25">
      <c r="A700" s="1"/>
      <c r="B700" s="2"/>
      <c r="C700" s="8" t="s">
        <v>689</v>
      </c>
      <c r="D700" s="8" t="s">
        <v>20</v>
      </c>
      <c r="E700" s="8">
        <v>156</v>
      </c>
      <c r="F700" s="8">
        <v>2968.24</v>
      </c>
    </row>
    <row r="701" spans="1:6" x14ac:dyDescent="0.25">
      <c r="A701" s="1"/>
      <c r="B701" s="2"/>
      <c r="C701" s="8" t="s">
        <v>690</v>
      </c>
      <c r="D701" s="8" t="s">
        <v>20</v>
      </c>
      <c r="E701" s="8">
        <v>78</v>
      </c>
      <c r="F701" s="8">
        <v>1481.98</v>
      </c>
    </row>
    <row r="702" spans="1:6" x14ac:dyDescent="0.25">
      <c r="A702" s="1"/>
      <c r="B702" s="2"/>
      <c r="C702" s="8" t="s">
        <v>691</v>
      </c>
      <c r="D702" s="8" t="s">
        <v>20</v>
      </c>
      <c r="E702" s="8">
        <v>156</v>
      </c>
      <c r="F702" s="8">
        <v>3073.19</v>
      </c>
    </row>
    <row r="703" spans="1:6" x14ac:dyDescent="0.25">
      <c r="A703" s="1"/>
      <c r="B703" s="2"/>
      <c r="C703" s="8" t="s">
        <v>692</v>
      </c>
      <c r="D703" s="8" t="s">
        <v>20</v>
      </c>
      <c r="E703" s="8">
        <v>154</v>
      </c>
      <c r="F703" s="8">
        <v>3071.54</v>
      </c>
    </row>
    <row r="705" spans="1:7" x14ac:dyDescent="0.25">
      <c r="A705" s="7">
        <v>46282</v>
      </c>
      <c r="B705" s="8" t="s">
        <v>693</v>
      </c>
      <c r="C705" s="8" t="s">
        <v>694</v>
      </c>
      <c r="D705" s="8" t="s">
        <v>342</v>
      </c>
      <c r="E705" s="8">
        <v>117</v>
      </c>
      <c r="F705" s="8">
        <v>2557.87</v>
      </c>
      <c r="G705" s="7">
        <v>46281</v>
      </c>
    </row>
    <row r="706" spans="1:6" x14ac:dyDescent="0.25">
      <c r="A706" s="1"/>
      <c r="B706" s="2"/>
      <c r="C706" s="8" t="s">
        <v>695</v>
      </c>
      <c r="D706" s="8" t="s">
        <v>342</v>
      </c>
      <c r="E706" s="8">
        <v>26</v>
      </c>
      <c r="F706" s="8">
        <v>467.75</v>
      </c>
    </row>
    <row r="708" spans="1:7" x14ac:dyDescent="0.25">
      <c r="A708" s="7">
        <v>46282</v>
      </c>
      <c r="B708" s="8" t="s">
        <v>693</v>
      </c>
      <c r="C708" s="8" t="s">
        <v>694</v>
      </c>
      <c r="D708" s="8" t="s">
        <v>342</v>
      </c>
      <c r="E708" s="8">
        <v>117</v>
      </c>
      <c r="F708" s="8">
        <v>2557.87</v>
      </c>
      <c r="G708" s="7">
        <v>46281</v>
      </c>
    </row>
    <row r="709" spans="1:6" x14ac:dyDescent="0.25">
      <c r="A709" s="1"/>
      <c r="B709" s="2"/>
      <c r="C709" s="8" t="s">
        <v>695</v>
      </c>
      <c r="D709" s="8" t="s">
        <v>342</v>
      </c>
      <c r="E709" s="8">
        <v>26</v>
      </c>
      <c r="F709" s="8">
        <v>467.75</v>
      </c>
    </row>
    <row r="711" spans="1:7" x14ac:dyDescent="0.25">
      <c r="A711" s="7">
        <v>46282</v>
      </c>
      <c r="B711" s="8" t="s">
        <v>206</v>
      </c>
      <c r="C711" s="8" t="s">
        <v>696</v>
      </c>
      <c r="D711" s="8" t="s">
        <v>27</v>
      </c>
      <c r="E711" s="8">
        <v>53</v>
      </c>
      <c r="F711" s="8">
        <v>864.61</v>
      </c>
      <c r="G711" s="7">
        <v>46281</v>
      </c>
    </row>
    <row r="712" spans="1:6" x14ac:dyDescent="0.25">
      <c r="A712" s="1"/>
      <c r="B712" s="2"/>
      <c r="C712" s="8" t="s">
        <v>697</v>
      </c>
      <c r="D712" s="8" t="s">
        <v>27</v>
      </c>
      <c r="E712" s="8">
        <v>37</v>
      </c>
      <c r="F712" s="8">
        <v>711.02</v>
      </c>
    </row>
    <row r="713" spans="1:6" x14ac:dyDescent="0.25">
      <c r="A713" s="1"/>
      <c r="B713" s="2"/>
      <c r="C713" s="8" t="s">
        <v>698</v>
      </c>
      <c r="D713" s="8" t="s">
        <v>27</v>
      </c>
      <c r="E713" s="8">
        <v>6</v>
      </c>
      <c r="F713" s="8">
        <v>116.29</v>
      </c>
    </row>
    <row r="714" spans="1:6" x14ac:dyDescent="0.25">
      <c r="A714" s="1"/>
      <c r="B714" s="2"/>
      <c r="C714" s="8" t="s">
        <v>699</v>
      </c>
      <c r="D714" s="8" t="s">
        <v>27</v>
      </c>
      <c r="E714" s="8">
        <v>60</v>
      </c>
      <c r="F714" s="8">
        <v>898.08</v>
      </c>
    </row>
    <row r="715" spans="1:6" x14ac:dyDescent="0.25">
      <c r="A715" s="1"/>
      <c r="B715" s="2"/>
      <c r="C715" s="8" t="s">
        <v>700</v>
      </c>
      <c r="D715" s="8" t="s">
        <v>27</v>
      </c>
      <c r="E715" s="8">
        <v>89</v>
      </c>
      <c r="F715" s="8">
        <v>1224.4</v>
      </c>
    </row>
    <row r="716" spans="1:6" x14ac:dyDescent="0.25">
      <c r="A716" s="1"/>
      <c r="B716" s="2"/>
      <c r="C716" s="8" t="s">
        <v>701</v>
      </c>
      <c r="D716" s="8" t="s">
        <v>27</v>
      </c>
      <c r="E716" s="8">
        <v>75</v>
      </c>
      <c r="F716" s="8">
        <v>1108.13</v>
      </c>
    </row>
    <row r="718" spans="1:7" x14ac:dyDescent="0.25">
      <c r="A718" s="7">
        <v>46281</v>
      </c>
      <c r="B718" s="8" t="s">
        <v>90</v>
      </c>
      <c r="C718" s="8" t="s">
        <v>702</v>
      </c>
      <c r="D718" s="8" t="s">
        <v>9</v>
      </c>
      <c r="E718" s="8">
        <v>212</v>
      </c>
      <c r="F718" s="8">
        <v>905.72</v>
      </c>
      <c r="G718" s="7">
        <v>46281</v>
      </c>
    </row>
    <row r="719" spans="1:6" x14ac:dyDescent="0.25">
      <c r="A719" s="1"/>
      <c r="B719" s="2"/>
      <c r="C719" s="8" t="s">
        <v>703</v>
      </c>
      <c r="D719" s="8" t="s">
        <v>9</v>
      </c>
      <c r="E719" s="8">
        <v>66</v>
      </c>
      <c r="F719" s="8">
        <v>1235.04</v>
      </c>
    </row>
    <row r="720" spans="1:6" x14ac:dyDescent="0.25">
      <c r="A720" s="1"/>
      <c r="B720" s="2"/>
      <c r="C720" s="8" t="s">
        <v>704</v>
      </c>
      <c r="D720" s="8" t="s">
        <v>9</v>
      </c>
      <c r="E720" s="8">
        <v>31</v>
      </c>
      <c r="F720" s="8">
        <v>597.02</v>
      </c>
    </row>
    <row r="721" spans="1:6" x14ac:dyDescent="0.25">
      <c r="A721" s="1"/>
      <c r="B721" s="2"/>
      <c r="C721" s="8" t="s">
        <v>705</v>
      </c>
      <c r="D721" s="8" t="s">
        <v>9</v>
      </c>
      <c r="E721" s="8">
        <v>123</v>
      </c>
      <c r="F721" s="8">
        <v>2333.51</v>
      </c>
    </row>
    <row r="722" spans="1:6" x14ac:dyDescent="0.25">
      <c r="A722" s="1"/>
      <c r="B722" s="2"/>
      <c r="C722" s="8" t="s">
        <v>706</v>
      </c>
      <c r="D722" s="8" t="s">
        <v>9</v>
      </c>
      <c r="E722" s="8">
        <v>123</v>
      </c>
      <c r="F722" s="8">
        <v>2403.48</v>
      </c>
    </row>
    <row r="723" spans="1:6" x14ac:dyDescent="0.25">
      <c r="A723" s="1"/>
      <c r="B723" s="2"/>
      <c r="C723" s="8" t="s">
        <v>707</v>
      </c>
      <c r="D723" s="8" t="s">
        <v>9</v>
      </c>
      <c r="E723" s="8">
        <v>93</v>
      </c>
      <c r="F723" s="8">
        <v>1790.99</v>
      </c>
    </row>
    <row r="724" spans="1:6" x14ac:dyDescent="0.25">
      <c r="A724" s="1"/>
      <c r="B724" s="2"/>
      <c r="C724" s="8" t="s">
        <v>708</v>
      </c>
      <c r="D724" s="8" t="s">
        <v>9</v>
      </c>
      <c r="E724" s="8">
        <v>30</v>
      </c>
      <c r="F724" s="8">
        <v>545.04</v>
      </c>
    </row>
    <row r="725" spans="1:6" x14ac:dyDescent="0.25">
      <c r="A725" s="1"/>
      <c r="B725" s="2"/>
      <c r="C725" s="8" t="s">
        <v>709</v>
      </c>
      <c r="D725" s="8" t="s">
        <v>9</v>
      </c>
      <c r="E725" s="8">
        <v>141</v>
      </c>
      <c r="F725" s="8">
        <v>2891.45</v>
      </c>
    </row>
    <row r="726" spans="1:6" x14ac:dyDescent="0.25">
      <c r="A726" s="1"/>
      <c r="B726" s="2"/>
      <c r="C726" s="8" t="s">
        <v>710</v>
      </c>
      <c r="D726" s="8" t="s">
        <v>9</v>
      </c>
      <c r="E726" s="8">
        <v>141</v>
      </c>
      <c r="F726" s="8">
        <v>2907.64</v>
      </c>
    </row>
    <row r="727" spans="1:6" x14ac:dyDescent="0.25">
      <c r="A727" s="1"/>
      <c r="B727" s="2"/>
      <c r="C727" s="8" t="s">
        <v>711</v>
      </c>
      <c r="D727" s="8" t="s">
        <v>9</v>
      </c>
      <c r="E727" s="8">
        <v>134</v>
      </c>
      <c r="F727" s="8">
        <v>2756.65</v>
      </c>
    </row>
    <row r="728" spans="1:6" x14ac:dyDescent="0.25">
      <c r="A728" s="1"/>
      <c r="B728" s="2"/>
      <c r="C728" s="8" t="s">
        <v>712</v>
      </c>
      <c r="D728" s="8" t="s">
        <v>9</v>
      </c>
      <c r="E728" s="8">
        <v>141</v>
      </c>
      <c r="F728" s="8">
        <v>2887.55</v>
      </c>
    </row>
    <row r="729" spans="1:6" x14ac:dyDescent="0.25">
      <c r="A729" s="1"/>
      <c r="B729" s="2"/>
      <c r="C729" s="8" t="s">
        <v>713</v>
      </c>
      <c r="D729" s="8" t="s">
        <v>9</v>
      </c>
      <c r="E729" s="8">
        <v>123</v>
      </c>
      <c r="F729" s="8">
        <v>2376.69</v>
      </c>
    </row>
    <row r="730" spans="1:6" x14ac:dyDescent="0.25">
      <c r="A730" s="1"/>
      <c r="B730" s="2"/>
      <c r="C730" s="8" t="s">
        <v>714</v>
      </c>
      <c r="D730" s="8" t="s">
        <v>9</v>
      </c>
      <c r="E730" s="8">
        <v>98</v>
      </c>
      <c r="F730" s="8">
        <v>1843.54</v>
      </c>
    </row>
    <row r="731" spans="1:6" x14ac:dyDescent="0.25">
      <c r="A731" s="1"/>
      <c r="B731" s="2"/>
      <c r="C731" s="8" t="s">
        <v>715</v>
      </c>
      <c r="D731" s="8" t="s">
        <v>9</v>
      </c>
      <c r="E731" s="8">
        <v>110</v>
      </c>
      <c r="F731" s="8">
        <v>2296.32</v>
      </c>
    </row>
    <row r="732" spans="1:6" x14ac:dyDescent="0.25">
      <c r="A732" s="1"/>
      <c r="B732" s="2"/>
      <c r="C732" s="8" t="s">
        <v>716</v>
      </c>
      <c r="D732" s="8" t="s">
        <v>9</v>
      </c>
      <c r="E732" s="8">
        <v>98</v>
      </c>
      <c r="F732" s="8">
        <v>2504.74</v>
      </c>
    </row>
    <row r="733" spans="1:6" x14ac:dyDescent="0.25">
      <c r="A733" s="1"/>
      <c r="B733" s="2"/>
      <c r="C733" s="8" t="s">
        <v>717</v>
      </c>
      <c r="D733" s="8" t="s">
        <v>9</v>
      </c>
      <c r="E733" s="8">
        <v>139</v>
      </c>
      <c r="F733" s="8">
        <v>2006.5</v>
      </c>
    </row>
    <row r="734" spans="1:6" x14ac:dyDescent="0.25">
      <c r="A734" s="1"/>
      <c r="B734" s="2"/>
      <c r="C734" s="8" t="s">
        <v>718</v>
      </c>
      <c r="D734" s="8" t="s">
        <v>9</v>
      </c>
      <c r="E734" s="8">
        <v>141</v>
      </c>
      <c r="F734" s="8">
        <v>2942.56</v>
      </c>
    </row>
    <row r="735" spans="1:6" x14ac:dyDescent="0.25">
      <c r="A735" s="1"/>
      <c r="B735" s="2"/>
      <c r="C735" s="8" t="s">
        <v>719</v>
      </c>
      <c r="D735" s="8" t="s">
        <v>9</v>
      </c>
      <c r="E735" s="8">
        <v>141</v>
      </c>
      <c r="F735" s="8">
        <v>2865.26</v>
      </c>
    </row>
    <row r="736" spans="1:6" x14ac:dyDescent="0.25">
      <c r="A736" s="1"/>
      <c r="B736" s="2"/>
      <c r="C736" s="8" t="s">
        <v>720</v>
      </c>
      <c r="D736" s="8" t="s">
        <v>9</v>
      </c>
      <c r="E736" s="8">
        <v>103</v>
      </c>
      <c r="F736" s="8">
        <v>1999.42</v>
      </c>
    </row>
    <row r="737" spans="1:6" x14ac:dyDescent="0.25">
      <c r="A737" s="1"/>
      <c r="B737" s="2"/>
      <c r="C737" s="8" t="s">
        <v>721</v>
      </c>
      <c r="D737" s="8" t="s">
        <v>9</v>
      </c>
      <c r="E737" s="8">
        <v>38</v>
      </c>
      <c r="F737" s="8">
        <v>654.7</v>
      </c>
    </row>
    <row r="738" spans="1:6" x14ac:dyDescent="0.25">
      <c r="A738" s="1"/>
      <c r="B738" s="2"/>
      <c r="C738" s="8" t="s">
        <v>722</v>
      </c>
      <c r="D738" s="8" t="s">
        <v>9</v>
      </c>
      <c r="E738" s="8">
        <v>55</v>
      </c>
      <c r="F738" s="8">
        <v>1000.03</v>
      </c>
    </row>
    <row r="739" spans="1:6" x14ac:dyDescent="0.25">
      <c r="A739" s="1"/>
      <c r="B739" s="2"/>
      <c r="C739" s="8" t="s">
        <v>723</v>
      </c>
      <c r="D739" s="8" t="s">
        <v>9</v>
      </c>
      <c r="E739" s="8">
        <v>41</v>
      </c>
      <c r="F739" s="8">
        <v>779.05</v>
      </c>
    </row>
    <row r="740" spans="1:6" x14ac:dyDescent="0.25">
      <c r="A740" s="1"/>
      <c r="B740" s="2"/>
      <c r="C740" s="8" t="s">
        <v>724</v>
      </c>
      <c r="D740" s="8" t="s">
        <v>9</v>
      </c>
      <c r="E740" s="8">
        <v>61</v>
      </c>
      <c r="F740" s="8">
        <v>593.14</v>
      </c>
    </row>
    <row r="741" spans="1:6" x14ac:dyDescent="0.25">
      <c r="A741" s="1"/>
      <c r="B741" s="2"/>
      <c r="C741" s="8" t="s">
        <v>725</v>
      </c>
      <c r="D741" s="8" t="s">
        <v>9</v>
      </c>
      <c r="E741" s="8">
        <v>41</v>
      </c>
      <c r="F741" s="8">
        <v>1381.18</v>
      </c>
    </row>
    <row r="742" spans="1:6" x14ac:dyDescent="0.25">
      <c r="A742" s="1"/>
      <c r="B742" s="2"/>
      <c r="C742" s="8" t="s">
        <v>726</v>
      </c>
      <c r="D742" s="8" t="s">
        <v>9</v>
      </c>
      <c r="E742" s="8">
        <v>95</v>
      </c>
      <c r="F742" s="8">
        <v>1816.21</v>
      </c>
    </row>
    <row r="743" spans="1:6" x14ac:dyDescent="0.25">
      <c r="A743" s="1"/>
      <c r="B743" s="2"/>
      <c r="C743" s="8" t="s">
        <v>727</v>
      </c>
      <c r="D743" s="8" t="s">
        <v>9</v>
      </c>
      <c r="E743" s="8">
        <v>17</v>
      </c>
      <c r="F743" s="8">
        <v>343.88</v>
      </c>
    </row>
    <row r="744" spans="1:6" x14ac:dyDescent="0.25">
      <c r="A744" s="1"/>
      <c r="B744" s="2"/>
      <c r="C744" s="8" t="s">
        <v>728</v>
      </c>
      <c r="D744" s="8" t="s">
        <v>9</v>
      </c>
      <c r="E744" s="8">
        <v>29</v>
      </c>
      <c r="F744" s="8">
        <v>563.21</v>
      </c>
    </row>
    <row r="745" spans="1:6" x14ac:dyDescent="0.25">
      <c r="A745" s="1"/>
      <c r="B745" s="2"/>
      <c r="C745" s="8" t="s">
        <v>729</v>
      </c>
      <c r="D745" s="8" t="s">
        <v>9</v>
      </c>
      <c r="E745" s="8">
        <v>141</v>
      </c>
      <c r="F745" s="8">
        <v>2715.28</v>
      </c>
    </row>
    <row r="746" spans="1:6" x14ac:dyDescent="0.25">
      <c r="A746" s="1"/>
      <c r="B746" s="2"/>
      <c r="C746" s="8" t="s">
        <v>730</v>
      </c>
      <c r="D746" s="8" t="s">
        <v>9</v>
      </c>
      <c r="E746" s="8">
        <v>143</v>
      </c>
      <c r="F746" s="8">
        <v>2562.54</v>
      </c>
    </row>
    <row r="747" spans="1:6" x14ac:dyDescent="0.25">
      <c r="A747" s="1"/>
      <c r="B747" s="2"/>
      <c r="C747" s="8" t="s">
        <v>731</v>
      </c>
      <c r="D747" s="8" t="s">
        <v>9</v>
      </c>
      <c r="E747" s="8">
        <v>101</v>
      </c>
      <c r="F747" s="8">
        <v>1915.74</v>
      </c>
    </row>
    <row r="748" spans="1:6" x14ac:dyDescent="0.25">
      <c r="A748" s="1"/>
      <c r="B748" s="2"/>
      <c r="C748" s="8" t="s">
        <v>732</v>
      </c>
      <c r="D748" s="8" t="s">
        <v>9</v>
      </c>
      <c r="E748" s="8">
        <v>141</v>
      </c>
      <c r="F748" s="8">
        <v>2946.77</v>
      </c>
    </row>
    <row r="749" spans="1:6" x14ac:dyDescent="0.25">
      <c r="A749" s="1"/>
      <c r="B749" s="2"/>
      <c r="C749" s="8" t="s">
        <v>733</v>
      </c>
      <c r="D749" s="8" t="s">
        <v>9</v>
      </c>
      <c r="E749" s="8">
        <v>141</v>
      </c>
      <c r="F749" s="8">
        <v>2900.95</v>
      </c>
    </row>
    <row r="750" spans="1:6" x14ac:dyDescent="0.25">
      <c r="A750" s="1"/>
      <c r="B750" s="2"/>
      <c r="C750" s="8" t="s">
        <v>734</v>
      </c>
      <c r="D750" s="8" t="s">
        <v>9</v>
      </c>
      <c r="E750" s="8">
        <v>75</v>
      </c>
      <c r="F750" s="8">
        <v>1580.95</v>
      </c>
    </row>
    <row r="751" spans="1:6" x14ac:dyDescent="0.25">
      <c r="A751" s="1"/>
      <c r="B751" s="2"/>
      <c r="C751" s="8" t="s">
        <v>735</v>
      </c>
      <c r="D751" s="8" t="s">
        <v>9</v>
      </c>
      <c r="E751" s="8">
        <v>87</v>
      </c>
      <c r="F751" s="8">
        <v>1732.73</v>
      </c>
    </row>
    <row r="752" spans="1:6" x14ac:dyDescent="0.25">
      <c r="A752" s="1"/>
      <c r="B752" s="2"/>
      <c r="C752" s="8" t="s">
        <v>736</v>
      </c>
      <c r="D752" s="8" t="s">
        <v>9</v>
      </c>
      <c r="E752" s="8">
        <v>54</v>
      </c>
      <c r="F752" s="8">
        <v>1079.13</v>
      </c>
    </row>
    <row r="753" spans="1:6" x14ac:dyDescent="0.25">
      <c r="A753" s="1"/>
      <c r="B753" s="2"/>
      <c r="C753" s="8" t="s">
        <v>737</v>
      </c>
      <c r="D753" s="8" t="s">
        <v>9</v>
      </c>
      <c r="E753" s="8">
        <v>30</v>
      </c>
      <c r="F753" s="8">
        <v>579.34</v>
      </c>
    </row>
    <row r="754" spans="1:6" x14ac:dyDescent="0.25">
      <c r="A754" s="1"/>
      <c r="B754" s="2"/>
      <c r="C754" s="8" t="s">
        <v>738</v>
      </c>
      <c r="D754" s="8" t="s">
        <v>9</v>
      </c>
      <c r="E754" s="8">
        <v>72</v>
      </c>
      <c r="F754" s="8">
        <v>1501.09</v>
      </c>
    </row>
    <row r="755" spans="1:6" x14ac:dyDescent="0.25">
      <c r="A755" s="1"/>
      <c r="B755" s="2"/>
      <c r="C755" s="8" t="s">
        <v>739</v>
      </c>
      <c r="D755" s="8" t="s">
        <v>9</v>
      </c>
      <c r="E755" s="8">
        <v>40</v>
      </c>
      <c r="F755" s="8">
        <v>788.42</v>
      </c>
    </row>
    <row r="756" spans="1:6" x14ac:dyDescent="0.25">
      <c r="A756" s="1"/>
      <c r="B756" s="2"/>
      <c r="C756" s="8" t="s">
        <v>740</v>
      </c>
      <c r="D756" s="8" t="s">
        <v>9</v>
      </c>
      <c r="E756" s="8">
        <v>39</v>
      </c>
      <c r="F756" s="8">
        <v>778.37</v>
      </c>
    </row>
    <row r="757" spans="1:6" x14ac:dyDescent="0.25">
      <c r="A757" s="1"/>
      <c r="B757" s="2"/>
      <c r="C757" s="8" t="s">
        <v>741</v>
      </c>
      <c r="D757" s="8" t="s">
        <v>9</v>
      </c>
      <c r="E757" s="8">
        <v>13</v>
      </c>
      <c r="F757" s="8">
        <v>257.47</v>
      </c>
    </row>
    <row r="758" spans="1:6" x14ac:dyDescent="0.25">
      <c r="A758" s="1"/>
      <c r="B758" s="2"/>
      <c r="C758" s="8" t="s">
        <v>742</v>
      </c>
      <c r="D758" s="8" t="s">
        <v>9</v>
      </c>
      <c r="E758" s="8">
        <v>53</v>
      </c>
      <c r="F758" s="8">
        <v>964.99</v>
      </c>
    </row>
    <row r="759" spans="1:6" x14ac:dyDescent="0.25">
      <c r="A759" s="1"/>
      <c r="B759" s="2"/>
      <c r="C759" s="8" t="s">
        <v>743</v>
      </c>
      <c r="D759" s="8" t="s">
        <v>9</v>
      </c>
      <c r="E759" s="8">
        <v>13</v>
      </c>
      <c r="F759" s="8">
        <v>215.39</v>
      </c>
    </row>
    <row r="760" spans="1:6" x14ac:dyDescent="0.25">
      <c r="A760" s="1"/>
      <c r="B760" s="2"/>
      <c r="C760" s="8" t="s">
        <v>744</v>
      </c>
      <c r="D760" s="8" t="s">
        <v>9</v>
      </c>
      <c r="E760" s="8">
        <v>3</v>
      </c>
      <c r="F760" s="8">
        <v>63.18</v>
      </c>
    </row>
    <row r="761" spans="1:6" x14ac:dyDescent="0.25">
      <c r="A761" s="1"/>
      <c r="B761" s="2"/>
      <c r="C761" s="8" t="s">
        <v>745</v>
      </c>
      <c r="D761" s="8" t="s">
        <v>9</v>
      </c>
      <c r="E761" s="8">
        <v>38</v>
      </c>
      <c r="F761" s="8">
        <v>773.42</v>
      </c>
    </row>
    <row r="762" spans="1:6" x14ac:dyDescent="0.25">
      <c r="A762" s="1"/>
      <c r="B762" s="2"/>
      <c r="C762" s="8" t="s">
        <v>746</v>
      </c>
      <c r="D762" s="8" t="s">
        <v>9</v>
      </c>
      <c r="E762" s="8">
        <v>12</v>
      </c>
      <c r="F762" s="8">
        <v>218.58</v>
      </c>
    </row>
    <row r="763" spans="1:6" x14ac:dyDescent="0.25">
      <c r="A763" s="1"/>
      <c r="B763" s="2"/>
      <c r="C763" s="8" t="s">
        <v>747</v>
      </c>
      <c r="D763" s="8" t="s">
        <v>9</v>
      </c>
      <c r="E763" s="8">
        <v>23</v>
      </c>
      <c r="F763" s="8">
        <v>382.15</v>
      </c>
    </row>
    <row r="764" spans="1:6" x14ac:dyDescent="0.25">
      <c r="A764" s="1"/>
      <c r="B764" s="2"/>
      <c r="C764" s="8" t="s">
        <v>748</v>
      </c>
      <c r="D764" s="8" t="s">
        <v>9</v>
      </c>
      <c r="E764" s="8">
        <v>14</v>
      </c>
      <c r="F764" s="8">
        <v>281.88</v>
      </c>
    </row>
    <row r="765" spans="1:6" x14ac:dyDescent="0.25">
      <c r="A765" s="1"/>
      <c r="B765" s="2"/>
      <c r="C765" s="8" t="s">
        <v>749</v>
      </c>
      <c r="D765" s="8" t="s">
        <v>9</v>
      </c>
      <c r="E765" s="8">
        <v>31</v>
      </c>
      <c r="F765" s="8">
        <v>613.64</v>
      </c>
    </row>
    <row r="766" spans="1:6" x14ac:dyDescent="0.25">
      <c r="A766" s="1"/>
      <c r="B766" s="2"/>
      <c r="C766" s="8" t="s">
        <v>750</v>
      </c>
      <c r="D766" s="8" t="s">
        <v>9</v>
      </c>
      <c r="E766" s="8">
        <v>33</v>
      </c>
      <c r="F766" s="8">
        <v>700.13</v>
      </c>
    </row>
    <row r="767" spans="1:6" x14ac:dyDescent="0.25">
      <c r="A767" s="1"/>
      <c r="B767" s="2"/>
      <c r="C767" s="8" t="s">
        <v>751</v>
      </c>
      <c r="D767" s="8" t="s">
        <v>9</v>
      </c>
      <c r="E767" s="8">
        <v>8</v>
      </c>
      <c r="F767" s="8">
        <v>135.76</v>
      </c>
    </row>
    <row r="768" spans="1:6" x14ac:dyDescent="0.25">
      <c r="A768" s="1"/>
      <c r="B768" s="2"/>
      <c r="C768" s="8" t="s">
        <v>752</v>
      </c>
      <c r="D768" s="8" t="s">
        <v>9</v>
      </c>
      <c r="E768" s="8">
        <v>53</v>
      </c>
      <c r="F768" s="8">
        <v>1059.95</v>
      </c>
    </row>
    <row r="770" spans="1:7" x14ac:dyDescent="0.25">
      <c r="A770" s="7">
        <v>46281</v>
      </c>
      <c r="B770" s="8" t="s">
        <v>10</v>
      </c>
      <c r="C770" s="8" t="s">
        <v>753</v>
      </c>
      <c r="D770" s="8" t="s">
        <v>12</v>
      </c>
      <c r="E770" s="8">
        <v>84</v>
      </c>
      <c r="F770" s="8">
        <v>1750.44</v>
      </c>
      <c r="G770" s="7">
        <v>46281</v>
      </c>
    </row>
    <row r="771" spans="1:6" x14ac:dyDescent="0.25">
      <c r="A771" s="1"/>
      <c r="B771" s="2"/>
      <c r="C771" s="8" t="s">
        <v>754</v>
      </c>
      <c r="D771" s="8" t="s">
        <v>12</v>
      </c>
      <c r="E771" s="8">
        <v>86</v>
      </c>
      <c r="F771" s="8">
        <v>1847.27</v>
      </c>
    </row>
    <row r="773" spans="1:7" x14ac:dyDescent="0.25">
      <c r="A773" s="7">
        <v>46281</v>
      </c>
      <c r="B773" s="8" t="s">
        <v>335</v>
      </c>
      <c r="C773" s="8" t="s">
        <v>755</v>
      </c>
      <c r="D773" s="8" t="s">
        <v>20</v>
      </c>
      <c r="E773" s="8">
        <v>149</v>
      </c>
      <c r="F773" s="8">
        <v>2976.15</v>
      </c>
      <c r="G773" s="7">
        <v>46281</v>
      </c>
    </row>
    <row r="774" spans="1:6" x14ac:dyDescent="0.25">
      <c r="A774" s="1"/>
      <c r="B774" s="2"/>
      <c r="C774" s="8" t="s">
        <v>756</v>
      </c>
      <c r="D774" s="8" t="s">
        <v>20</v>
      </c>
      <c r="E774" s="8">
        <v>149</v>
      </c>
      <c r="F774" s="8">
        <v>2938.57</v>
      </c>
    </row>
    <row r="776" spans="1:7" x14ac:dyDescent="0.25">
      <c r="A776" s="7">
        <v>46281</v>
      </c>
      <c r="B776" s="8" t="s">
        <v>335</v>
      </c>
      <c r="C776" s="8" t="s">
        <v>755</v>
      </c>
      <c r="D776" s="8" t="s">
        <v>20</v>
      </c>
      <c r="E776" s="8">
        <v>149</v>
      </c>
      <c r="F776" s="8">
        <v>2976.15</v>
      </c>
      <c r="G776" s="7">
        <v>46280</v>
      </c>
    </row>
    <row r="777" spans="1:6" x14ac:dyDescent="0.25">
      <c r="A777" s="1"/>
      <c r="B777" s="2"/>
      <c r="C777" s="8" t="s">
        <v>756</v>
      </c>
      <c r="D777" s="8" t="s">
        <v>20</v>
      </c>
      <c r="E777" s="8">
        <v>149</v>
      </c>
      <c r="F777" s="8">
        <v>2938.57</v>
      </c>
    </row>
    <row r="779" spans="1:7" x14ac:dyDescent="0.25">
      <c r="A779" s="7">
        <v>46281</v>
      </c>
      <c r="B779" s="8" t="s">
        <v>120</v>
      </c>
      <c r="C779" s="8" t="s">
        <v>757</v>
      </c>
      <c r="D779" s="8" t="s">
        <v>42</v>
      </c>
      <c r="E779" s="8">
        <v>126</v>
      </c>
      <c r="F779" s="8">
        <v>2356.32</v>
      </c>
      <c r="G779" s="7">
        <v>46280</v>
      </c>
    </row>
    <row r="780" spans="1:6" x14ac:dyDescent="0.25">
      <c r="A780" s="1"/>
      <c r="B780" s="2"/>
      <c r="C780" s="8" t="s">
        <v>758</v>
      </c>
      <c r="D780" s="8" t="s">
        <v>42</v>
      </c>
      <c r="E780" s="8">
        <v>141</v>
      </c>
      <c r="F780" s="8">
        <v>2693.55</v>
      </c>
    </row>
    <row r="781" spans="1:6" x14ac:dyDescent="0.25">
      <c r="A781" s="1"/>
      <c r="B781" s="2"/>
      <c r="C781" s="8" t="s">
        <v>759</v>
      </c>
      <c r="D781" s="8" t="s">
        <v>42</v>
      </c>
      <c r="E781" s="8">
        <v>109</v>
      </c>
      <c r="F781" s="8">
        <v>2219.69</v>
      </c>
    </row>
    <row r="782" spans="1:6" x14ac:dyDescent="0.25">
      <c r="A782" s="1"/>
      <c r="B782" s="2"/>
      <c r="C782" s="8" t="s">
        <v>760</v>
      </c>
      <c r="D782" s="8" t="s">
        <v>42</v>
      </c>
      <c r="E782" s="8">
        <v>32</v>
      </c>
      <c r="F782" s="8">
        <v>613.11</v>
      </c>
    </row>
    <row r="783" spans="1:6" x14ac:dyDescent="0.25">
      <c r="A783" s="1"/>
      <c r="B783" s="2"/>
      <c r="C783" s="8" t="s">
        <v>761</v>
      </c>
      <c r="D783" s="8" t="s">
        <v>42</v>
      </c>
      <c r="E783" s="8">
        <v>42</v>
      </c>
      <c r="F783" s="8">
        <v>977.59</v>
      </c>
    </row>
    <row r="784" spans="1:6" x14ac:dyDescent="0.25">
      <c r="A784" s="1"/>
      <c r="B784" s="2"/>
      <c r="C784" s="8" t="s">
        <v>762</v>
      </c>
      <c r="D784" s="8" t="s">
        <v>42</v>
      </c>
      <c r="E784" s="8">
        <v>99</v>
      </c>
      <c r="F784" s="8">
        <v>1876.58</v>
      </c>
    </row>
    <row r="785" spans="1:6" x14ac:dyDescent="0.25">
      <c r="A785" s="1"/>
      <c r="B785" s="2"/>
      <c r="C785" s="8" t="s">
        <v>763</v>
      </c>
      <c r="D785" s="8" t="s">
        <v>42</v>
      </c>
      <c r="E785" s="8">
        <v>40</v>
      </c>
      <c r="F785" s="8">
        <v>197.15</v>
      </c>
    </row>
    <row r="786" spans="1:6" x14ac:dyDescent="0.25">
      <c r="A786" s="1"/>
      <c r="B786" s="2"/>
      <c r="C786" s="8" t="s">
        <v>764</v>
      </c>
      <c r="D786" s="8" t="s">
        <v>42</v>
      </c>
      <c r="E786" s="8">
        <v>103</v>
      </c>
      <c r="F786" s="8">
        <v>2052.43</v>
      </c>
    </row>
    <row r="787" spans="1:6" x14ac:dyDescent="0.25">
      <c r="A787" s="1"/>
      <c r="B787" s="2"/>
      <c r="C787" s="8" t="s">
        <v>765</v>
      </c>
      <c r="D787" s="8" t="s">
        <v>42</v>
      </c>
      <c r="E787" s="8">
        <v>30</v>
      </c>
      <c r="F787" s="8">
        <v>621.31</v>
      </c>
    </row>
    <row r="788" spans="1:6" x14ac:dyDescent="0.25">
      <c r="A788" s="1"/>
      <c r="B788" s="2"/>
      <c r="C788" s="8" t="s">
        <v>766</v>
      </c>
      <c r="D788" s="8" t="s">
        <v>42</v>
      </c>
      <c r="E788" s="8">
        <v>8</v>
      </c>
      <c r="F788" s="8">
        <v>158.15</v>
      </c>
    </row>
    <row r="789" spans="1:6" x14ac:dyDescent="0.25">
      <c r="A789" s="1"/>
      <c r="B789" s="2"/>
      <c r="C789" s="8" t="s">
        <v>767</v>
      </c>
      <c r="D789" s="8" t="s">
        <v>42</v>
      </c>
      <c r="E789" s="8">
        <v>39</v>
      </c>
      <c r="F789" s="8">
        <v>773.5</v>
      </c>
    </row>
    <row r="790" spans="1:6" x14ac:dyDescent="0.25">
      <c r="A790" s="1"/>
      <c r="B790" s="2"/>
      <c r="C790" s="8" t="s">
        <v>768</v>
      </c>
      <c r="D790" s="8" t="s">
        <v>42</v>
      </c>
      <c r="E790" s="8">
        <v>34</v>
      </c>
      <c r="F790" s="8">
        <v>786.49</v>
      </c>
    </row>
    <row r="791" spans="1:6" x14ac:dyDescent="0.25">
      <c r="A791" s="1"/>
      <c r="B791" s="2"/>
      <c r="C791" s="8" t="s">
        <v>769</v>
      </c>
      <c r="D791" s="8" t="s">
        <v>42</v>
      </c>
      <c r="E791" s="8">
        <v>68</v>
      </c>
      <c r="F791" s="8">
        <v>1318.94</v>
      </c>
    </row>
    <row r="792" spans="1:6" x14ac:dyDescent="0.25">
      <c r="A792" s="1"/>
      <c r="B792" s="2"/>
      <c r="C792" s="8" t="s">
        <v>770</v>
      </c>
      <c r="D792" s="8" t="s">
        <v>42</v>
      </c>
      <c r="E792" s="8">
        <v>30</v>
      </c>
      <c r="F792" s="8">
        <v>611.15</v>
      </c>
    </row>
    <row r="793" spans="1:6" x14ac:dyDescent="0.25">
      <c r="A793" s="1"/>
      <c r="B793" s="2"/>
      <c r="C793" s="8" t="s">
        <v>771</v>
      </c>
      <c r="D793" s="8" t="s">
        <v>42</v>
      </c>
      <c r="E793" s="8">
        <v>103</v>
      </c>
      <c r="F793" s="8">
        <v>1984.26</v>
      </c>
    </row>
    <row r="794" spans="1:6" x14ac:dyDescent="0.25">
      <c r="A794" s="1"/>
      <c r="B794" s="2"/>
      <c r="C794" s="8" t="s">
        <v>772</v>
      </c>
      <c r="D794" s="8" t="s">
        <v>42</v>
      </c>
      <c r="E794" s="8">
        <v>8</v>
      </c>
      <c r="F794" s="8">
        <v>159.77</v>
      </c>
    </row>
    <row r="795" spans="1:6" x14ac:dyDescent="0.25">
      <c r="A795" s="1"/>
      <c r="B795" s="2"/>
      <c r="C795" s="8" t="s">
        <v>773</v>
      </c>
      <c r="D795" s="8" t="s">
        <v>42</v>
      </c>
      <c r="E795" s="8">
        <v>15</v>
      </c>
      <c r="F795" s="8">
        <v>311.66</v>
      </c>
    </row>
    <row r="796" spans="1:6" x14ac:dyDescent="0.25">
      <c r="A796" s="1"/>
      <c r="B796" s="2"/>
      <c r="C796" s="8" t="s">
        <v>774</v>
      </c>
      <c r="D796" s="8" t="s">
        <v>42</v>
      </c>
      <c r="E796" s="8">
        <v>20</v>
      </c>
      <c r="F796" s="8">
        <v>415.58</v>
      </c>
    </row>
    <row r="797" spans="1:6" x14ac:dyDescent="0.25">
      <c r="A797" s="1"/>
      <c r="B797" s="2"/>
      <c r="C797" s="8" t="s">
        <v>775</v>
      </c>
      <c r="D797" s="8" t="s">
        <v>42</v>
      </c>
      <c r="E797" s="8">
        <v>84</v>
      </c>
      <c r="F797" s="8">
        <v>1683.56</v>
      </c>
    </row>
    <row r="798" spans="1:6" x14ac:dyDescent="0.25">
      <c r="A798" s="1"/>
      <c r="B798" s="2"/>
      <c r="C798" s="8" t="s">
        <v>776</v>
      </c>
      <c r="D798" s="8" t="s">
        <v>42</v>
      </c>
      <c r="E798" s="8">
        <v>60</v>
      </c>
      <c r="F798" s="8">
        <v>305.37</v>
      </c>
    </row>
    <row r="799" spans="1:6" x14ac:dyDescent="0.25">
      <c r="A799" s="1"/>
      <c r="B799" s="2"/>
      <c r="C799" s="8" t="s">
        <v>777</v>
      </c>
      <c r="D799" s="8" t="s">
        <v>42</v>
      </c>
      <c r="E799" s="8">
        <v>31</v>
      </c>
      <c r="F799" s="8">
        <v>606.73</v>
      </c>
    </row>
    <row r="800" spans="1:6" x14ac:dyDescent="0.25">
      <c r="A800" s="1"/>
      <c r="B800" s="2"/>
      <c r="C800" s="8" t="s">
        <v>778</v>
      </c>
      <c r="D800" s="8" t="s">
        <v>42</v>
      </c>
      <c r="E800" s="8">
        <v>22</v>
      </c>
      <c r="F800" s="8">
        <v>509.08</v>
      </c>
    </row>
    <row r="801" spans="1:6" x14ac:dyDescent="0.25">
      <c r="A801" s="1"/>
      <c r="B801" s="2"/>
      <c r="C801" s="8" t="s">
        <v>779</v>
      </c>
      <c r="D801" s="8" t="s">
        <v>42</v>
      </c>
      <c r="E801" s="8">
        <v>38</v>
      </c>
      <c r="F801" s="8">
        <v>772.15</v>
      </c>
    </row>
    <row r="802" spans="1:6" x14ac:dyDescent="0.25">
      <c r="A802" s="1"/>
      <c r="B802" s="2"/>
      <c r="C802" s="8" t="s">
        <v>780</v>
      </c>
      <c r="D802" s="8" t="s">
        <v>42</v>
      </c>
      <c r="E802" s="8">
        <v>61</v>
      </c>
      <c r="F802" s="8">
        <v>1261.03</v>
      </c>
    </row>
    <row r="803" spans="1:6" x14ac:dyDescent="0.25">
      <c r="A803" s="1"/>
      <c r="B803" s="2"/>
      <c r="C803" s="8" t="s">
        <v>781</v>
      </c>
      <c r="D803" s="8" t="s">
        <v>42</v>
      </c>
      <c r="E803" s="8">
        <v>23</v>
      </c>
      <c r="F803" s="8">
        <v>408.53</v>
      </c>
    </row>
    <row r="804" spans="1:6" x14ac:dyDescent="0.25">
      <c r="A804" s="1"/>
      <c r="B804" s="2"/>
      <c r="C804" s="8" t="s">
        <v>782</v>
      </c>
      <c r="D804" s="8" t="s">
        <v>42</v>
      </c>
      <c r="E804" s="8">
        <v>16</v>
      </c>
      <c r="F804" s="8">
        <v>354.17</v>
      </c>
    </row>
    <row r="806" spans="1:7" x14ac:dyDescent="0.25">
      <c r="A806" s="7">
        <v>46280</v>
      </c>
      <c r="B806" s="8" t="s">
        <v>10</v>
      </c>
      <c r="C806" s="8" t="s">
        <v>783</v>
      </c>
      <c r="D806" s="8" t="s">
        <v>12</v>
      </c>
      <c r="E806" s="8">
        <v>92</v>
      </c>
      <c r="F806" s="8">
        <v>1832.13</v>
      </c>
      <c r="G806" s="7">
        <v>46280</v>
      </c>
    </row>
    <row r="807" spans="1:6" x14ac:dyDescent="0.25">
      <c r="A807" s="1"/>
      <c r="B807" s="2"/>
      <c r="C807" s="8" t="s">
        <v>784</v>
      </c>
      <c r="D807" s="8" t="s">
        <v>12</v>
      </c>
      <c r="E807" s="8">
        <v>81</v>
      </c>
      <c r="F807" s="8">
        <v>1718.03</v>
      </c>
    </row>
    <row r="809" spans="1:7" x14ac:dyDescent="0.25">
      <c r="A809" s="7">
        <v>46280</v>
      </c>
      <c r="B809" s="8" t="s">
        <v>785</v>
      </c>
      <c r="C809" s="8" t="s">
        <v>786</v>
      </c>
      <c r="D809" s="8" t="s">
        <v>20</v>
      </c>
      <c r="E809" s="8">
        <v>97</v>
      </c>
      <c r="F809" s="8">
        <v>1922.84</v>
      </c>
      <c r="G809" s="7">
        <v>46279</v>
      </c>
    </row>
    <row r="810" spans="1:6" x14ac:dyDescent="0.25">
      <c r="A810" s="1"/>
      <c r="B810" s="2"/>
      <c r="C810" s="8" t="s">
        <v>787</v>
      </c>
      <c r="D810" s="8" t="s">
        <v>20</v>
      </c>
      <c r="E810" s="8">
        <v>156</v>
      </c>
      <c r="F810" s="8">
        <v>3097.59</v>
      </c>
    </row>
    <row r="811" spans="1:6" x14ac:dyDescent="0.25">
      <c r="A811" s="1"/>
      <c r="B811" s="2"/>
      <c r="C811" s="8" t="s">
        <v>788</v>
      </c>
      <c r="D811" s="8" t="s">
        <v>20</v>
      </c>
      <c r="E811" s="8">
        <v>154</v>
      </c>
      <c r="F811" s="8">
        <v>2856.49</v>
      </c>
    </row>
    <row r="812" spans="1:6" x14ac:dyDescent="0.25">
      <c r="A812" s="1"/>
      <c r="B812" s="2"/>
      <c r="C812" s="8" t="s">
        <v>789</v>
      </c>
      <c r="D812" s="8" t="s">
        <v>20</v>
      </c>
      <c r="E812" s="8">
        <v>105</v>
      </c>
      <c r="F812" s="8">
        <v>2101.13</v>
      </c>
    </row>
    <row r="813" spans="1:6" x14ac:dyDescent="0.25">
      <c r="A813" s="1"/>
      <c r="B813" s="2"/>
      <c r="C813" s="8" t="s">
        <v>790</v>
      </c>
      <c r="D813" s="8" t="s">
        <v>20</v>
      </c>
      <c r="E813" s="8">
        <v>116</v>
      </c>
      <c r="F813" s="8">
        <v>2173.6</v>
      </c>
    </row>
    <row r="814" spans="1:6" x14ac:dyDescent="0.25">
      <c r="A814" s="1"/>
      <c r="B814" s="2"/>
      <c r="C814" s="8" t="s">
        <v>791</v>
      </c>
      <c r="D814" s="8" t="s">
        <v>20</v>
      </c>
      <c r="E814" s="8">
        <v>97</v>
      </c>
      <c r="F814" s="8">
        <v>1973.75</v>
      </c>
    </row>
    <row r="815" spans="1:6" x14ac:dyDescent="0.25">
      <c r="A815" s="1"/>
      <c r="B815" s="2"/>
      <c r="C815" s="8" t="s">
        <v>792</v>
      </c>
      <c r="D815" s="8" t="s">
        <v>20</v>
      </c>
      <c r="E815" s="8">
        <v>82</v>
      </c>
      <c r="F815" s="8">
        <v>1602.69</v>
      </c>
    </row>
    <row r="816" spans="1:6" x14ac:dyDescent="0.25">
      <c r="A816" s="1"/>
      <c r="B816" s="2"/>
      <c r="C816" s="8" t="s">
        <v>793</v>
      </c>
      <c r="D816" s="8" t="s">
        <v>20</v>
      </c>
      <c r="E816" s="8">
        <v>156</v>
      </c>
      <c r="F816" s="8">
        <v>3171.67</v>
      </c>
    </row>
    <row r="818" spans="1:7" x14ac:dyDescent="0.25">
      <c r="A818" s="7">
        <v>46280</v>
      </c>
      <c r="B818" s="8" t="s">
        <v>794</v>
      </c>
      <c r="C818" s="8" t="s">
        <v>795</v>
      </c>
      <c r="D818" s="8" t="s">
        <v>27</v>
      </c>
      <c r="E818" s="8">
        <v>101</v>
      </c>
      <c r="F818" s="8">
        <v>2022.51</v>
      </c>
      <c r="G818" s="7">
        <v>46279</v>
      </c>
    </row>
    <row r="820" spans="1:7" x14ac:dyDescent="0.25">
      <c r="A820" s="7">
        <v>46279</v>
      </c>
      <c r="B820" s="8" t="s">
        <v>375</v>
      </c>
      <c r="C820" s="8" t="s">
        <v>796</v>
      </c>
      <c r="D820" s="8" t="s">
        <v>216</v>
      </c>
      <c r="E820" s="8">
        <v>36</v>
      </c>
      <c r="F820" s="8">
        <v>667.8</v>
      </c>
      <c r="G820" s="7">
        <v>46278</v>
      </c>
    </row>
    <row r="821" spans="1:6" x14ac:dyDescent="0.25">
      <c r="A821" s="1"/>
      <c r="B821" s="2"/>
      <c r="C821" s="8" t="s">
        <v>797</v>
      </c>
      <c r="D821" s="8" t="s">
        <v>204</v>
      </c>
      <c r="E821" s="8">
        <v>163</v>
      </c>
      <c r="F821" s="8">
        <v>3037.58</v>
      </c>
    </row>
    <row r="822" spans="1:6" x14ac:dyDescent="0.25">
      <c r="A822" s="1"/>
      <c r="B822" s="2"/>
      <c r="C822" s="8" t="s">
        <v>798</v>
      </c>
      <c r="D822" s="8" t="s">
        <v>204</v>
      </c>
      <c r="E822" s="8">
        <v>163</v>
      </c>
      <c r="F822" s="8">
        <v>3022.11</v>
      </c>
    </row>
    <row r="823" spans="1:6" x14ac:dyDescent="0.25">
      <c r="A823" s="1"/>
      <c r="B823" s="2"/>
      <c r="C823" s="8" t="s">
        <v>799</v>
      </c>
      <c r="D823" s="8" t="s">
        <v>204</v>
      </c>
      <c r="E823" s="8">
        <v>105</v>
      </c>
      <c r="F823" s="8">
        <v>2032.11</v>
      </c>
    </row>
    <row r="824" spans="1:6" x14ac:dyDescent="0.25">
      <c r="A824" s="1"/>
      <c r="B824" s="2"/>
      <c r="C824" s="8" t="s">
        <v>800</v>
      </c>
      <c r="D824" s="8" t="s">
        <v>204</v>
      </c>
      <c r="E824" s="8">
        <v>112</v>
      </c>
      <c r="F824" s="8">
        <v>442.93</v>
      </c>
    </row>
    <row r="825" spans="1:6" x14ac:dyDescent="0.25">
      <c r="A825" s="1"/>
      <c r="B825" s="2"/>
      <c r="C825" s="8" t="s">
        <v>801</v>
      </c>
      <c r="D825" s="8" t="s">
        <v>214</v>
      </c>
      <c r="E825" s="8">
        <v>156</v>
      </c>
      <c r="F825" s="8">
        <v>3045.57</v>
      </c>
    </row>
    <row r="826" spans="1:6" x14ac:dyDescent="0.25">
      <c r="A826" s="1"/>
      <c r="B826" s="2"/>
      <c r="C826" s="8" t="s">
        <v>802</v>
      </c>
      <c r="D826" s="8" t="s">
        <v>214</v>
      </c>
      <c r="E826" s="8">
        <v>156</v>
      </c>
      <c r="F826" s="8">
        <v>3124.73</v>
      </c>
    </row>
    <row r="827" spans="1:6" x14ac:dyDescent="0.25">
      <c r="A827" s="1"/>
      <c r="B827" s="2"/>
      <c r="C827" s="8" t="s">
        <v>803</v>
      </c>
      <c r="D827" s="8" t="s">
        <v>214</v>
      </c>
      <c r="E827" s="8">
        <v>156</v>
      </c>
      <c r="F827" s="8">
        <v>3241.97</v>
      </c>
    </row>
    <row r="828" spans="1:6" x14ac:dyDescent="0.25">
      <c r="A828" s="1"/>
      <c r="B828" s="2"/>
      <c r="C828" s="8" t="s">
        <v>804</v>
      </c>
      <c r="D828" s="8" t="s">
        <v>204</v>
      </c>
      <c r="E828" s="8">
        <v>105</v>
      </c>
      <c r="F828" s="8">
        <v>2085.83</v>
      </c>
    </row>
    <row r="829" spans="1:6" x14ac:dyDescent="0.25">
      <c r="A829" s="1"/>
      <c r="B829" s="2"/>
      <c r="C829" s="8" t="s">
        <v>805</v>
      </c>
      <c r="D829" s="8" t="s">
        <v>347</v>
      </c>
      <c r="E829" s="8">
        <v>100</v>
      </c>
      <c r="F829" s="8">
        <v>1910.79</v>
      </c>
    </row>
    <row r="830" spans="1:6" x14ac:dyDescent="0.25">
      <c r="A830" s="1"/>
      <c r="B830" s="2"/>
      <c r="C830" s="8" t="s">
        <v>806</v>
      </c>
      <c r="D830" s="8" t="s">
        <v>347</v>
      </c>
      <c r="E830" s="8">
        <v>56</v>
      </c>
      <c r="F830" s="8">
        <v>1056.08</v>
      </c>
    </row>
    <row r="831" spans="1:6" x14ac:dyDescent="0.25">
      <c r="A831" s="1"/>
      <c r="B831" s="2"/>
      <c r="C831" s="8" t="s">
        <v>807</v>
      </c>
      <c r="D831" s="8" t="s">
        <v>347</v>
      </c>
      <c r="E831" s="8">
        <v>90</v>
      </c>
      <c r="F831" s="8">
        <v>1782.07</v>
      </c>
    </row>
    <row r="832" spans="1:6" x14ac:dyDescent="0.25">
      <c r="A832" s="1"/>
      <c r="B832" s="2"/>
      <c r="C832" s="8" t="s">
        <v>808</v>
      </c>
      <c r="D832" s="8" t="s">
        <v>347</v>
      </c>
      <c r="E832" s="8">
        <v>66</v>
      </c>
      <c r="F832" s="8">
        <v>1259.78</v>
      </c>
    </row>
    <row r="833" spans="1:6" x14ac:dyDescent="0.25">
      <c r="A833" s="1"/>
      <c r="B833" s="2"/>
      <c r="C833" s="8" t="s">
        <v>809</v>
      </c>
      <c r="D833" s="8" t="s">
        <v>204</v>
      </c>
      <c r="E833" s="8">
        <v>163</v>
      </c>
      <c r="F833" s="8">
        <v>3168.82</v>
      </c>
    </row>
    <row r="834" spans="1:6" x14ac:dyDescent="0.25">
      <c r="A834" s="1"/>
      <c r="B834" s="2"/>
      <c r="C834" s="8" t="s">
        <v>810</v>
      </c>
      <c r="D834" s="8" t="s">
        <v>204</v>
      </c>
      <c r="E834" s="8">
        <v>105</v>
      </c>
      <c r="F834" s="8">
        <v>2130.21</v>
      </c>
    </row>
    <row r="835" spans="1:6" x14ac:dyDescent="0.25">
      <c r="A835" s="1"/>
      <c r="B835" s="2"/>
      <c r="C835" s="8" t="s">
        <v>811</v>
      </c>
      <c r="D835" s="8" t="s">
        <v>214</v>
      </c>
      <c r="E835" s="8">
        <v>100</v>
      </c>
      <c r="F835" s="8">
        <v>1907.49</v>
      </c>
    </row>
    <row r="836" spans="1:6" x14ac:dyDescent="0.25">
      <c r="A836" s="1"/>
      <c r="B836" s="2"/>
      <c r="C836" s="8" t="s">
        <v>812</v>
      </c>
      <c r="D836" s="8" t="s">
        <v>214</v>
      </c>
      <c r="E836" s="8">
        <v>56</v>
      </c>
      <c r="F836" s="8">
        <v>1094.65</v>
      </c>
    </row>
    <row r="837" spans="1:6" x14ac:dyDescent="0.25">
      <c r="A837" s="1"/>
      <c r="B837" s="2"/>
      <c r="C837" s="8" t="s">
        <v>813</v>
      </c>
      <c r="D837" s="8" t="s">
        <v>214</v>
      </c>
      <c r="E837" s="8">
        <v>100</v>
      </c>
      <c r="F837" s="8">
        <v>1982.91</v>
      </c>
    </row>
    <row r="838" spans="1:6" x14ac:dyDescent="0.25">
      <c r="A838" s="1"/>
      <c r="B838" s="2"/>
      <c r="C838" s="8" t="s">
        <v>814</v>
      </c>
      <c r="D838" s="8" t="s">
        <v>214</v>
      </c>
      <c r="E838" s="8">
        <v>56</v>
      </c>
      <c r="F838" s="8">
        <v>1142.77</v>
      </c>
    </row>
    <row r="839" spans="1:6" x14ac:dyDescent="0.25">
      <c r="A839" s="1"/>
      <c r="B839" s="2"/>
      <c r="C839" s="8" t="s">
        <v>815</v>
      </c>
      <c r="D839" s="8" t="s">
        <v>236</v>
      </c>
      <c r="E839" s="8">
        <v>80</v>
      </c>
      <c r="F839" s="8">
        <v>1563.49</v>
      </c>
    </row>
    <row r="840" spans="1:6" x14ac:dyDescent="0.25">
      <c r="A840" s="1"/>
      <c r="B840" s="2"/>
      <c r="C840" s="8" t="s">
        <v>816</v>
      </c>
      <c r="D840" s="8" t="s">
        <v>236</v>
      </c>
      <c r="E840" s="8">
        <v>76</v>
      </c>
      <c r="F840" s="8">
        <v>1502.16</v>
      </c>
    </row>
    <row r="841" spans="1:6" x14ac:dyDescent="0.25">
      <c r="A841" s="1"/>
      <c r="B841" s="2"/>
      <c r="C841" s="8" t="s">
        <v>817</v>
      </c>
      <c r="D841" s="8" t="s">
        <v>204</v>
      </c>
      <c r="E841" s="8">
        <v>60</v>
      </c>
      <c r="F841" s="8">
        <v>1437.25</v>
      </c>
    </row>
    <row r="842" spans="1:6" x14ac:dyDescent="0.25">
      <c r="A842" s="1"/>
      <c r="B842" s="2"/>
      <c r="C842" s="8" t="s">
        <v>818</v>
      </c>
      <c r="D842" s="8" t="s">
        <v>216</v>
      </c>
      <c r="E842" s="8">
        <v>134</v>
      </c>
      <c r="F842" s="8">
        <v>2650.16</v>
      </c>
    </row>
    <row r="843" spans="1:6" x14ac:dyDescent="0.25">
      <c r="A843" s="1"/>
      <c r="B843" s="2"/>
      <c r="C843" s="8" t="s">
        <v>819</v>
      </c>
      <c r="D843" s="8" t="s">
        <v>216</v>
      </c>
      <c r="E843" s="8">
        <v>134</v>
      </c>
      <c r="F843" s="8">
        <v>2792.25</v>
      </c>
    </row>
    <row r="844" spans="1:6" x14ac:dyDescent="0.25">
      <c r="A844" s="1"/>
      <c r="B844" s="2"/>
      <c r="C844" s="8" t="s">
        <v>820</v>
      </c>
      <c r="D844" s="8" t="s">
        <v>216</v>
      </c>
      <c r="E844" s="8">
        <v>134</v>
      </c>
      <c r="F844" s="8">
        <v>2833.93</v>
      </c>
    </row>
    <row r="845" spans="1:6" x14ac:dyDescent="0.25">
      <c r="A845" s="1"/>
      <c r="B845" s="2"/>
      <c r="C845" s="8" t="s">
        <v>821</v>
      </c>
      <c r="D845" s="8" t="s">
        <v>216</v>
      </c>
      <c r="E845" s="8">
        <v>134</v>
      </c>
      <c r="F845" s="8">
        <v>2755.91</v>
      </c>
    </row>
    <row r="846" spans="1:6" x14ac:dyDescent="0.25">
      <c r="A846" s="1"/>
      <c r="B846" s="2"/>
      <c r="C846" s="8" t="s">
        <v>822</v>
      </c>
      <c r="D846" s="8" t="s">
        <v>216</v>
      </c>
      <c r="E846" s="8">
        <v>134</v>
      </c>
      <c r="F846" s="8">
        <v>2711.53</v>
      </c>
    </row>
    <row r="847" spans="1:6" x14ac:dyDescent="0.25">
      <c r="A847" s="1"/>
      <c r="B847" s="2"/>
      <c r="C847" s="8" t="s">
        <v>823</v>
      </c>
      <c r="D847" s="8" t="s">
        <v>204</v>
      </c>
      <c r="E847" s="8">
        <v>122</v>
      </c>
      <c r="F847" s="8">
        <v>2309.67</v>
      </c>
    </row>
    <row r="848" spans="1:7" x14ac:dyDescent="0.25">
      <c r="A848" s="7">
        <v>46277</v>
      </c>
      <c r="B848" s="8" t="s">
        <v>453</v>
      </c>
      <c r="C848" s="8" t="s">
        <v>824</v>
      </c>
      <c r="D848" s="8" t="s">
        <v>204</v>
      </c>
      <c r="E848" s="8">
        <v>105</v>
      </c>
      <c r="F848" s="8">
        <v>2127.15</v>
      </c>
      <c r="G848" s="7">
        <v>46278</v>
      </c>
    </row>
    <row r="849" spans="1:6" x14ac:dyDescent="0.25">
      <c r="A849" s="1"/>
      <c r="B849" s="2"/>
      <c r="C849" s="8" t="s">
        <v>825</v>
      </c>
      <c r="D849" s="8" t="s">
        <v>204</v>
      </c>
      <c r="E849" s="8">
        <v>105</v>
      </c>
      <c r="F849" s="8">
        <v>1977.31</v>
      </c>
    </row>
    <row r="851" spans="1:7" x14ac:dyDescent="0.25">
      <c r="A851" s="7">
        <v>46279</v>
      </c>
      <c r="B851" s="8" t="s">
        <v>375</v>
      </c>
      <c r="C851" s="8" t="s">
        <v>826</v>
      </c>
      <c r="D851" s="8" t="s">
        <v>216</v>
      </c>
      <c r="E851" s="8">
        <v>140</v>
      </c>
      <c r="F851" s="8">
        <v>2508</v>
      </c>
      <c r="G851" s="7">
        <v>46278</v>
      </c>
    </row>
    <row r="852" spans="1:6" x14ac:dyDescent="0.25">
      <c r="A852" s="1"/>
      <c r="B852" s="2"/>
      <c r="C852" s="8" t="s">
        <v>827</v>
      </c>
      <c r="D852" s="8" t="s">
        <v>216</v>
      </c>
      <c r="E852" s="8">
        <v>17</v>
      </c>
      <c r="F852" s="8">
        <v>351.3</v>
      </c>
    </row>
    <row r="853" spans="1:6" x14ac:dyDescent="0.25">
      <c r="A853" s="1"/>
      <c r="B853" s="2"/>
      <c r="C853" s="8" t="s">
        <v>828</v>
      </c>
      <c r="D853" s="8" t="s">
        <v>216</v>
      </c>
      <c r="E853" s="8">
        <v>105</v>
      </c>
      <c r="F853" s="8">
        <v>1890.87</v>
      </c>
    </row>
    <row r="854" spans="1:6" x14ac:dyDescent="0.25">
      <c r="A854" s="1"/>
      <c r="B854" s="2"/>
      <c r="C854" s="8" t="s">
        <v>829</v>
      </c>
      <c r="D854" s="8" t="s">
        <v>297</v>
      </c>
      <c r="E854" s="8">
        <v>156</v>
      </c>
      <c r="F854" s="8">
        <v>2987.69</v>
      </c>
    </row>
    <row r="856" spans="1:7" x14ac:dyDescent="0.25">
      <c r="A856" s="7">
        <v>46279</v>
      </c>
      <c r="B856" s="8" t="s">
        <v>375</v>
      </c>
      <c r="C856" s="8" t="s">
        <v>830</v>
      </c>
      <c r="D856" s="8" t="s">
        <v>342</v>
      </c>
      <c r="E856" s="8">
        <v>156</v>
      </c>
      <c r="F856" s="8">
        <v>3154.48</v>
      </c>
      <c r="G856" s="7">
        <v>46278</v>
      </c>
    </row>
    <row r="858" spans="1:7" x14ac:dyDescent="0.25">
      <c r="A858" s="7">
        <v>46279</v>
      </c>
      <c r="B858" s="8" t="s">
        <v>375</v>
      </c>
      <c r="C858" s="8" t="s">
        <v>831</v>
      </c>
      <c r="D858" s="8" t="s">
        <v>342</v>
      </c>
      <c r="E858" s="8">
        <v>156</v>
      </c>
      <c r="F858" s="8">
        <v>3224.73</v>
      </c>
      <c r="G858" s="7">
        <v>46278</v>
      </c>
    </row>
    <row r="860" spans="1:7" x14ac:dyDescent="0.25">
      <c r="A860" s="7">
        <v>46279</v>
      </c>
      <c r="B860" s="8" t="s">
        <v>10</v>
      </c>
      <c r="C860" s="8" t="s">
        <v>832</v>
      </c>
      <c r="D860" s="8" t="s">
        <v>12</v>
      </c>
      <c r="E860" s="8">
        <v>97</v>
      </c>
      <c r="F860" s="8">
        <v>1993.41</v>
      </c>
      <c r="G860" s="7">
        <v>46278</v>
      </c>
    </row>
    <row r="861" spans="1:6" x14ac:dyDescent="0.25">
      <c r="A861" s="1"/>
      <c r="B861" s="2"/>
      <c r="C861" s="8" t="s">
        <v>833</v>
      </c>
      <c r="D861" s="8" t="s">
        <v>12</v>
      </c>
      <c r="E861" s="8">
        <v>85</v>
      </c>
      <c r="F861" s="8">
        <v>1857.92</v>
      </c>
    </row>
    <row r="863" spans="1:7" x14ac:dyDescent="0.25">
      <c r="A863" s="7">
        <v>46279</v>
      </c>
      <c r="B863" s="8" t="s">
        <v>834</v>
      </c>
      <c r="C863" s="8" t="s">
        <v>835</v>
      </c>
      <c r="D863" s="8" t="s">
        <v>204</v>
      </c>
      <c r="E863" s="8">
        <v>140</v>
      </c>
      <c r="F863" s="8">
        <v>2729</v>
      </c>
      <c r="G863" s="7">
        <v>46278</v>
      </c>
    </row>
    <row r="865" spans="1:7" x14ac:dyDescent="0.25">
      <c r="A865" s="7">
        <v>46279</v>
      </c>
      <c r="B865" s="8" t="s">
        <v>90</v>
      </c>
      <c r="C865" s="8" t="s">
        <v>836</v>
      </c>
      <c r="D865" s="8" t="s">
        <v>42</v>
      </c>
      <c r="E865" s="8">
        <v>40</v>
      </c>
      <c r="F865" s="8">
        <v>190.4</v>
      </c>
      <c r="G865" s="7">
        <v>46278</v>
      </c>
    </row>
    <row r="866" spans="1:6" x14ac:dyDescent="0.25">
      <c r="A866" s="1"/>
      <c r="B866" s="2"/>
      <c r="C866" s="8" t="s">
        <v>837</v>
      </c>
      <c r="D866" s="8" t="s">
        <v>42</v>
      </c>
      <c r="E866" s="8">
        <v>141</v>
      </c>
      <c r="F866" s="8">
        <v>2735.45</v>
      </c>
    </row>
    <row r="867" spans="1:6" x14ac:dyDescent="0.25">
      <c r="A867" s="1"/>
      <c r="B867" s="2"/>
      <c r="C867" s="8" t="s">
        <v>838</v>
      </c>
      <c r="D867" s="8" t="s">
        <v>42</v>
      </c>
      <c r="E867" s="8">
        <v>141</v>
      </c>
      <c r="F867" s="8">
        <v>2751.49</v>
      </c>
    </row>
    <row r="868" spans="1:6" x14ac:dyDescent="0.25">
      <c r="A868" s="1"/>
      <c r="B868" s="2"/>
      <c r="C868" s="8" t="s">
        <v>839</v>
      </c>
      <c r="D868" s="8" t="s">
        <v>42</v>
      </c>
      <c r="E868" s="8">
        <v>40</v>
      </c>
      <c r="F868" s="8">
        <v>195.19</v>
      </c>
    </row>
    <row r="869" spans="1:6" x14ac:dyDescent="0.25">
      <c r="A869" s="1"/>
      <c r="B869" s="2"/>
      <c r="C869" s="8" t="s">
        <v>840</v>
      </c>
      <c r="D869" s="8" t="s">
        <v>42</v>
      </c>
      <c r="E869" s="8">
        <v>123</v>
      </c>
      <c r="F869" s="8">
        <v>2950.73</v>
      </c>
    </row>
    <row r="870" spans="1:6" x14ac:dyDescent="0.25">
      <c r="A870" s="1"/>
      <c r="B870" s="2"/>
      <c r="C870" s="8" t="s">
        <v>841</v>
      </c>
      <c r="D870" s="8" t="s">
        <v>42</v>
      </c>
      <c r="E870" s="8">
        <v>123</v>
      </c>
      <c r="F870" s="8">
        <v>2512.42</v>
      </c>
    </row>
    <row r="871" spans="1:6" x14ac:dyDescent="0.25">
      <c r="A871" s="1"/>
      <c r="B871" s="2"/>
      <c r="C871" s="8" t="s">
        <v>842</v>
      </c>
      <c r="D871" s="8" t="s">
        <v>42</v>
      </c>
      <c r="E871" s="8">
        <v>141</v>
      </c>
      <c r="F871" s="8">
        <v>3060.04</v>
      </c>
    </row>
    <row r="872" spans="1:6" x14ac:dyDescent="0.25">
      <c r="A872" s="1"/>
      <c r="B872" s="2"/>
      <c r="C872" s="8" t="s">
        <v>843</v>
      </c>
      <c r="D872" s="8" t="s">
        <v>42</v>
      </c>
      <c r="E872" s="8">
        <v>64</v>
      </c>
      <c r="F872" s="8">
        <v>1221.96</v>
      </c>
    </row>
    <row r="873" spans="1:6" x14ac:dyDescent="0.25">
      <c r="A873" s="1"/>
      <c r="B873" s="2"/>
      <c r="C873" s="8" t="s">
        <v>844</v>
      </c>
      <c r="D873" s="8" t="s">
        <v>42</v>
      </c>
      <c r="E873" s="8">
        <v>77</v>
      </c>
      <c r="F873" s="8">
        <v>1559.5</v>
      </c>
    </row>
    <row r="874" spans="1:6" x14ac:dyDescent="0.25">
      <c r="A874" s="1"/>
      <c r="B874" s="2"/>
      <c r="C874" s="8" t="s">
        <v>845</v>
      </c>
      <c r="D874" s="8" t="s">
        <v>42</v>
      </c>
      <c r="E874" s="8">
        <v>134</v>
      </c>
      <c r="F874" s="8">
        <v>2642.04</v>
      </c>
    </row>
    <row r="875" spans="1:6" x14ac:dyDescent="0.25">
      <c r="A875" s="1"/>
      <c r="B875" s="2"/>
      <c r="C875" s="8" t="s">
        <v>846</v>
      </c>
      <c r="D875" s="8" t="s">
        <v>42</v>
      </c>
      <c r="E875" s="8">
        <v>25</v>
      </c>
      <c r="F875" s="8">
        <v>476.43</v>
      </c>
    </row>
    <row r="876" spans="1:6" x14ac:dyDescent="0.25">
      <c r="A876" s="1"/>
      <c r="B876" s="2"/>
      <c r="C876" s="8" t="s">
        <v>847</v>
      </c>
      <c r="D876" s="8" t="s">
        <v>42</v>
      </c>
      <c r="E876" s="8">
        <v>75</v>
      </c>
      <c r="F876" s="8">
        <v>1667.51</v>
      </c>
    </row>
    <row r="877" spans="1:6" x14ac:dyDescent="0.25">
      <c r="A877" s="1"/>
      <c r="B877" s="2"/>
      <c r="C877" s="8" t="s">
        <v>848</v>
      </c>
      <c r="D877" s="8" t="s">
        <v>42</v>
      </c>
      <c r="E877" s="8">
        <v>10</v>
      </c>
      <c r="F877" s="8">
        <v>208.17</v>
      </c>
    </row>
    <row r="878" spans="1:6" x14ac:dyDescent="0.25">
      <c r="A878" s="1"/>
      <c r="B878" s="2"/>
      <c r="C878" s="8" t="s">
        <v>849</v>
      </c>
      <c r="D878" s="8" t="s">
        <v>42</v>
      </c>
      <c r="E878" s="8">
        <v>141</v>
      </c>
      <c r="F878" s="8">
        <v>2890.23</v>
      </c>
    </row>
    <row r="879" spans="1:6" x14ac:dyDescent="0.25">
      <c r="A879" s="1"/>
      <c r="B879" s="2"/>
      <c r="C879" s="8" t="s">
        <v>850</v>
      </c>
      <c r="D879" s="8" t="s">
        <v>42</v>
      </c>
      <c r="E879" s="8">
        <v>85</v>
      </c>
      <c r="F879" s="8">
        <v>1700.75</v>
      </c>
    </row>
    <row r="880" spans="1:6" x14ac:dyDescent="0.25">
      <c r="A880" s="1"/>
      <c r="B880" s="2"/>
      <c r="C880" s="8" t="s">
        <v>851</v>
      </c>
      <c r="D880" s="8" t="s">
        <v>42</v>
      </c>
      <c r="E880" s="8">
        <v>20</v>
      </c>
      <c r="F880" s="8">
        <v>388.64</v>
      </c>
    </row>
    <row r="881" spans="1:6" x14ac:dyDescent="0.25">
      <c r="A881" s="1"/>
      <c r="B881" s="2"/>
      <c r="C881" s="8" t="s">
        <v>852</v>
      </c>
      <c r="D881" s="8" t="s">
        <v>42</v>
      </c>
      <c r="E881" s="8">
        <v>80</v>
      </c>
      <c r="F881" s="8">
        <v>1520.54</v>
      </c>
    </row>
    <row r="882" spans="1:6" x14ac:dyDescent="0.25">
      <c r="A882" s="1"/>
      <c r="B882" s="2"/>
      <c r="C882" s="8" t="s">
        <v>853</v>
      </c>
      <c r="D882" s="8" t="s">
        <v>42</v>
      </c>
      <c r="E882" s="8">
        <v>57</v>
      </c>
      <c r="F882" s="8">
        <v>1005.46</v>
      </c>
    </row>
    <row r="883" spans="1:6" x14ac:dyDescent="0.25">
      <c r="A883" s="1"/>
      <c r="B883" s="2"/>
      <c r="C883" s="8" t="s">
        <v>854</v>
      </c>
      <c r="D883" s="8" t="s">
        <v>42</v>
      </c>
      <c r="E883" s="8">
        <v>121</v>
      </c>
      <c r="F883" s="8">
        <v>2447.71</v>
      </c>
    </row>
    <row r="884" spans="1:6" x14ac:dyDescent="0.25">
      <c r="A884" s="1"/>
      <c r="B884" s="2"/>
      <c r="C884" s="8" t="s">
        <v>855</v>
      </c>
      <c r="D884" s="8" t="s">
        <v>42</v>
      </c>
      <c r="E884" s="8">
        <v>100</v>
      </c>
      <c r="F884" s="8">
        <v>1939.47</v>
      </c>
    </row>
    <row r="885" spans="1:6" x14ac:dyDescent="0.25">
      <c r="A885" s="1"/>
      <c r="B885" s="2"/>
      <c r="C885" s="8" t="s">
        <v>856</v>
      </c>
      <c r="D885" s="8" t="s">
        <v>42</v>
      </c>
      <c r="E885" s="8">
        <v>40</v>
      </c>
      <c r="F885" s="8">
        <v>197.21</v>
      </c>
    </row>
    <row r="886" spans="1:6" x14ac:dyDescent="0.25">
      <c r="A886" s="1"/>
      <c r="B886" s="2"/>
      <c r="C886" s="8" t="s">
        <v>857</v>
      </c>
      <c r="D886" s="8" t="s">
        <v>42</v>
      </c>
      <c r="E886" s="8">
        <v>65</v>
      </c>
      <c r="F886" s="8">
        <v>1331.27</v>
      </c>
    </row>
    <row r="887" spans="1:6" x14ac:dyDescent="0.25">
      <c r="A887" s="1"/>
      <c r="B887" s="2"/>
      <c r="C887" s="8" t="s">
        <v>858</v>
      </c>
      <c r="D887" s="8" t="s">
        <v>42</v>
      </c>
      <c r="E887" s="8">
        <v>84</v>
      </c>
      <c r="F887" s="8">
        <v>1789.15</v>
      </c>
    </row>
    <row r="888" spans="1:6" x14ac:dyDescent="0.25">
      <c r="A888" s="1"/>
      <c r="B888" s="2"/>
      <c r="C888" s="8" t="s">
        <v>859</v>
      </c>
      <c r="D888" s="8" t="s">
        <v>42</v>
      </c>
      <c r="E888" s="8">
        <v>57</v>
      </c>
      <c r="F888" s="8">
        <v>1139.43</v>
      </c>
    </row>
    <row r="889" spans="1:6" x14ac:dyDescent="0.25">
      <c r="A889" s="1"/>
      <c r="B889" s="2"/>
      <c r="C889" s="8" t="s">
        <v>860</v>
      </c>
      <c r="D889" s="8" t="s">
        <v>42</v>
      </c>
      <c r="E889" s="8">
        <v>17</v>
      </c>
      <c r="F889" s="8">
        <v>331.82</v>
      </c>
    </row>
    <row r="890" spans="1:6" x14ac:dyDescent="0.25">
      <c r="A890" s="1"/>
      <c r="B890" s="2"/>
      <c r="C890" s="8" t="s">
        <v>861</v>
      </c>
      <c r="D890" s="8" t="s">
        <v>42</v>
      </c>
      <c r="E890" s="8">
        <v>49</v>
      </c>
      <c r="F890" s="8">
        <v>1005.34</v>
      </c>
    </row>
    <row r="891" spans="1:6" x14ac:dyDescent="0.25">
      <c r="A891" s="1"/>
      <c r="B891" s="2"/>
      <c r="C891" s="8" t="s">
        <v>862</v>
      </c>
      <c r="D891" s="8" t="s">
        <v>42</v>
      </c>
      <c r="E891" s="8">
        <v>57</v>
      </c>
      <c r="F891" s="8">
        <v>1013.6</v>
      </c>
    </row>
    <row r="892" spans="1:6" x14ac:dyDescent="0.25">
      <c r="A892" s="1"/>
      <c r="B892" s="2"/>
      <c r="C892" s="8" t="s">
        <v>863</v>
      </c>
      <c r="D892" s="8" t="s">
        <v>42</v>
      </c>
      <c r="E892" s="8">
        <v>50</v>
      </c>
      <c r="F892" s="8">
        <v>265.35</v>
      </c>
    </row>
    <row r="893" spans="1:6" x14ac:dyDescent="0.25">
      <c r="A893" s="1"/>
      <c r="B893" s="2"/>
      <c r="C893" s="8" t="s">
        <v>864</v>
      </c>
      <c r="D893" s="8" t="s">
        <v>42</v>
      </c>
      <c r="E893" s="8">
        <v>36</v>
      </c>
      <c r="F893" s="8">
        <v>700.55</v>
      </c>
    </row>
    <row r="894" spans="1:6" x14ac:dyDescent="0.25">
      <c r="A894" s="1"/>
      <c r="B894" s="2"/>
      <c r="C894" s="8" t="s">
        <v>865</v>
      </c>
      <c r="D894" s="8" t="s">
        <v>42</v>
      </c>
      <c r="E894" s="8">
        <v>64</v>
      </c>
      <c r="F894" s="8">
        <v>1231.44</v>
      </c>
    </row>
    <row r="895" spans="1:6" x14ac:dyDescent="0.25">
      <c r="A895" s="1"/>
      <c r="B895" s="2"/>
      <c r="C895" s="8" t="s">
        <v>866</v>
      </c>
      <c r="D895" s="8" t="s">
        <v>42</v>
      </c>
      <c r="E895" s="8">
        <v>49</v>
      </c>
      <c r="F895" s="8">
        <v>946.04</v>
      </c>
    </row>
    <row r="896" spans="1:6" x14ac:dyDescent="0.25">
      <c r="A896" s="1"/>
      <c r="B896" s="2"/>
      <c r="C896" s="8" t="s">
        <v>867</v>
      </c>
      <c r="D896" s="8" t="s">
        <v>42</v>
      </c>
      <c r="E896" s="8">
        <v>51</v>
      </c>
      <c r="F896" s="8">
        <v>712.45</v>
      </c>
    </row>
    <row r="897" spans="1:6" x14ac:dyDescent="0.25">
      <c r="A897" s="1"/>
      <c r="B897" s="2"/>
      <c r="C897" s="8" t="s">
        <v>868</v>
      </c>
      <c r="D897" s="8" t="s">
        <v>42</v>
      </c>
      <c r="E897" s="8">
        <v>35</v>
      </c>
      <c r="F897" s="8">
        <v>815.75</v>
      </c>
    </row>
    <row r="898" spans="1:6" x14ac:dyDescent="0.25">
      <c r="A898" s="1"/>
      <c r="B898" s="2"/>
      <c r="C898" s="8" t="s">
        <v>869</v>
      </c>
      <c r="D898" s="8" t="s">
        <v>42</v>
      </c>
      <c r="E898" s="8">
        <v>42</v>
      </c>
      <c r="F898" s="8">
        <v>854.25</v>
      </c>
    </row>
    <row r="899" spans="1:6" x14ac:dyDescent="0.25">
      <c r="A899" s="1"/>
      <c r="B899" s="2"/>
      <c r="C899" s="8" t="s">
        <v>870</v>
      </c>
      <c r="D899" s="8" t="s">
        <v>42</v>
      </c>
      <c r="E899" s="8">
        <v>13</v>
      </c>
      <c r="F899" s="8">
        <v>276.22</v>
      </c>
    </row>
    <row r="900" spans="1:6" x14ac:dyDescent="0.25">
      <c r="A900" s="1"/>
      <c r="B900" s="2"/>
      <c r="C900" s="8" t="s">
        <v>871</v>
      </c>
      <c r="D900" s="8" t="s">
        <v>42</v>
      </c>
      <c r="E900" s="8">
        <v>128</v>
      </c>
      <c r="F900" s="8">
        <v>2500.59</v>
      </c>
    </row>
    <row r="901" spans="1:6" x14ac:dyDescent="0.25">
      <c r="A901" s="1"/>
      <c r="B901" s="2"/>
      <c r="C901" s="8" t="s">
        <v>872</v>
      </c>
      <c r="D901" s="8" t="s">
        <v>42</v>
      </c>
      <c r="E901" s="8">
        <v>43</v>
      </c>
      <c r="F901" s="8">
        <v>930.5</v>
      </c>
    </row>
    <row r="902" spans="1:6" x14ac:dyDescent="0.25">
      <c r="A902" s="1"/>
      <c r="B902" s="2"/>
      <c r="C902" s="8" t="s">
        <v>873</v>
      </c>
      <c r="D902" s="8" t="s">
        <v>42</v>
      </c>
      <c r="E902" s="8">
        <v>29</v>
      </c>
      <c r="F902" s="8">
        <v>525</v>
      </c>
    </row>
    <row r="903" spans="1:6" x14ac:dyDescent="0.25">
      <c r="A903" s="1"/>
      <c r="B903" s="2"/>
      <c r="C903" s="8" t="s">
        <v>874</v>
      </c>
      <c r="D903" s="8" t="s">
        <v>42</v>
      </c>
      <c r="E903" s="8">
        <v>30</v>
      </c>
      <c r="F903" s="8">
        <v>587.35</v>
      </c>
    </row>
    <row r="904" spans="1:6" x14ac:dyDescent="0.25">
      <c r="A904" s="1"/>
      <c r="B904" s="2"/>
      <c r="C904" s="8" t="s">
        <v>875</v>
      </c>
      <c r="D904" s="8" t="s">
        <v>42</v>
      </c>
      <c r="E904" s="8">
        <v>28</v>
      </c>
      <c r="F904" s="8">
        <v>556.92</v>
      </c>
    </row>
    <row r="905" spans="1:6" x14ac:dyDescent="0.25">
      <c r="A905" s="1"/>
      <c r="B905" s="2"/>
      <c r="C905" s="8" t="s">
        <v>876</v>
      </c>
      <c r="D905" s="8" t="s">
        <v>42</v>
      </c>
      <c r="E905" s="8">
        <v>10</v>
      </c>
      <c r="F905" s="8">
        <v>194.41</v>
      </c>
    </row>
    <row r="906" spans="1:6" x14ac:dyDescent="0.25">
      <c r="A906" s="1"/>
      <c r="B906" s="2"/>
      <c r="C906" s="8" t="s">
        <v>877</v>
      </c>
      <c r="D906" s="8" t="s">
        <v>42</v>
      </c>
      <c r="E906" s="8">
        <v>62</v>
      </c>
      <c r="F906" s="8">
        <v>1209.71</v>
      </c>
    </row>
    <row r="907" spans="1:6" x14ac:dyDescent="0.25">
      <c r="A907" s="1"/>
      <c r="B907" s="2"/>
      <c r="C907" s="8" t="s">
        <v>878</v>
      </c>
      <c r="D907" s="8" t="s">
        <v>42</v>
      </c>
      <c r="E907" s="8">
        <v>17</v>
      </c>
      <c r="F907" s="8">
        <v>242.74</v>
      </c>
    </row>
    <row r="908" spans="1:6" x14ac:dyDescent="0.25">
      <c r="A908" s="1"/>
      <c r="B908" s="2"/>
      <c r="C908" s="8" t="s">
        <v>879</v>
      </c>
      <c r="D908" s="8" t="s">
        <v>42</v>
      </c>
      <c r="E908" s="8">
        <v>25</v>
      </c>
      <c r="F908" s="8">
        <v>438.68</v>
      </c>
    </row>
    <row r="909" spans="1:6" x14ac:dyDescent="0.25">
      <c r="A909" s="1"/>
      <c r="B909" s="2"/>
      <c r="C909" s="8" t="s">
        <v>880</v>
      </c>
      <c r="D909" s="8" t="s">
        <v>42</v>
      </c>
      <c r="E909" s="8">
        <v>38</v>
      </c>
      <c r="F909" s="8">
        <v>628.07</v>
      </c>
    </row>
    <row r="910" spans="1:6" x14ac:dyDescent="0.25">
      <c r="A910" s="1"/>
      <c r="B910" s="2"/>
      <c r="C910" s="8" t="s">
        <v>881</v>
      </c>
      <c r="D910" s="8" t="s">
        <v>42</v>
      </c>
      <c r="E910" s="8">
        <v>58</v>
      </c>
      <c r="F910" s="8">
        <v>1065.11</v>
      </c>
    </row>
    <row r="911" spans="1:6" x14ac:dyDescent="0.25">
      <c r="A911" s="1"/>
      <c r="B911" s="2"/>
      <c r="C911" s="8" t="s">
        <v>882</v>
      </c>
      <c r="D911" s="8" t="s">
        <v>42</v>
      </c>
      <c r="E911" s="8">
        <v>19</v>
      </c>
      <c r="F911" s="8">
        <v>331.77</v>
      </c>
    </row>
    <row r="912" spans="1:6" x14ac:dyDescent="0.25">
      <c r="A912" s="1"/>
      <c r="B912" s="2"/>
      <c r="C912" s="8" t="s">
        <v>883</v>
      </c>
      <c r="D912" s="8" t="s">
        <v>42</v>
      </c>
      <c r="E912" s="8">
        <v>25</v>
      </c>
      <c r="F912" s="8">
        <v>462.15</v>
      </c>
    </row>
    <row r="913" spans="1:6" x14ac:dyDescent="0.25">
      <c r="A913" s="1"/>
      <c r="B913" s="2"/>
      <c r="C913" s="8" t="s">
        <v>884</v>
      </c>
      <c r="D913" s="8" t="s">
        <v>42</v>
      </c>
      <c r="E913" s="8">
        <v>68</v>
      </c>
      <c r="F913" s="8">
        <v>1361.06</v>
      </c>
    </row>
    <row r="914" spans="1:6" x14ac:dyDescent="0.25">
      <c r="A914" s="1"/>
      <c r="B914" s="2"/>
      <c r="C914" s="8" t="s">
        <v>885</v>
      </c>
      <c r="D914" s="8" t="s">
        <v>42</v>
      </c>
      <c r="E914" s="8">
        <v>24</v>
      </c>
      <c r="F914" s="8">
        <v>440.99</v>
      </c>
    </row>
    <row r="915" spans="1:6" x14ac:dyDescent="0.25">
      <c r="A915" s="1"/>
      <c r="B915" s="2"/>
      <c r="C915" s="8" t="s">
        <v>886</v>
      </c>
      <c r="D915" s="8" t="s">
        <v>42</v>
      </c>
      <c r="E915" s="8">
        <v>37</v>
      </c>
      <c r="F915" s="8">
        <v>741.19</v>
      </c>
    </row>
    <row r="916" spans="1:6" x14ac:dyDescent="0.25">
      <c r="A916" s="1"/>
      <c r="B916" s="2"/>
      <c r="C916" s="8" t="s">
        <v>887</v>
      </c>
      <c r="D916" s="8" t="s">
        <v>42</v>
      </c>
      <c r="E916" s="8">
        <v>8</v>
      </c>
      <c r="F916" s="8">
        <v>204.87</v>
      </c>
    </row>
    <row r="917" spans="1:6" x14ac:dyDescent="0.25">
      <c r="A917" s="1"/>
      <c r="B917" s="2"/>
      <c r="C917" s="8" t="s">
        <v>888</v>
      </c>
      <c r="D917" s="8" t="s">
        <v>42</v>
      </c>
      <c r="E917" s="8">
        <v>29</v>
      </c>
      <c r="F917" s="8">
        <v>591.15</v>
      </c>
    </row>
    <row r="918" spans="1:6" x14ac:dyDescent="0.25">
      <c r="A918" s="1"/>
      <c r="B918" s="2"/>
      <c r="C918" s="8" t="s">
        <v>889</v>
      </c>
      <c r="D918" s="8" t="s">
        <v>42</v>
      </c>
      <c r="E918" s="8">
        <v>53</v>
      </c>
      <c r="F918" s="8">
        <v>1050.3</v>
      </c>
    </row>
    <row r="919" spans="1:6" x14ac:dyDescent="0.25">
      <c r="A919" s="1"/>
      <c r="B919" s="2"/>
      <c r="C919" s="8" t="s">
        <v>890</v>
      </c>
      <c r="D919" s="8" t="s">
        <v>42</v>
      </c>
      <c r="E919" s="8">
        <v>21</v>
      </c>
      <c r="F919" s="8">
        <v>430.33</v>
      </c>
    </row>
    <row r="920" spans="1:6" x14ac:dyDescent="0.25">
      <c r="A920" s="1"/>
      <c r="B920" s="2"/>
      <c r="C920" s="8" t="s">
        <v>891</v>
      </c>
      <c r="D920" s="8" t="s">
        <v>42</v>
      </c>
      <c r="E920" s="8">
        <v>93</v>
      </c>
      <c r="F920" s="8">
        <v>1878.65</v>
      </c>
    </row>
    <row r="921" spans="1:6" x14ac:dyDescent="0.25">
      <c r="A921" s="1"/>
      <c r="B921" s="2"/>
      <c r="C921" s="8" t="s">
        <v>892</v>
      </c>
      <c r="D921" s="8" t="s">
        <v>42</v>
      </c>
      <c r="E921" s="8">
        <v>88</v>
      </c>
      <c r="F921" s="8">
        <v>1707.72</v>
      </c>
    </row>
    <row r="922" spans="1:6" x14ac:dyDescent="0.25">
      <c r="A922" s="1"/>
      <c r="B922" s="2"/>
      <c r="C922" s="8" t="s">
        <v>893</v>
      </c>
      <c r="D922" s="8" t="s">
        <v>42</v>
      </c>
      <c r="E922" s="8">
        <v>33</v>
      </c>
      <c r="F922" s="8">
        <v>654.45</v>
      </c>
    </row>
    <row r="924" spans="1:7" x14ac:dyDescent="0.25">
      <c r="A924" s="7">
        <v>46279</v>
      </c>
      <c r="B924" s="8" t="s">
        <v>834</v>
      </c>
      <c r="C924" s="8" t="s">
        <v>894</v>
      </c>
      <c r="D924" s="8" t="s">
        <v>204</v>
      </c>
      <c r="E924" s="8">
        <v>126</v>
      </c>
      <c r="F924" s="8">
        <v>2814.38</v>
      </c>
      <c r="G924" s="7">
        <v>46278</v>
      </c>
    </row>
    <row r="926" spans="1:7" x14ac:dyDescent="0.25">
      <c r="A926" s="7">
        <v>46279</v>
      </c>
      <c r="B926" s="8" t="s">
        <v>120</v>
      </c>
      <c r="C926" s="8" t="s">
        <v>895</v>
      </c>
      <c r="D926" s="8" t="s">
        <v>122</v>
      </c>
      <c r="E926" s="8">
        <v>40</v>
      </c>
      <c r="F926" s="8">
        <v>178.2</v>
      </c>
      <c r="G926" s="7">
        <v>46278</v>
      </c>
    </row>
    <row r="927" spans="1:6" x14ac:dyDescent="0.25">
      <c r="A927" s="1"/>
      <c r="B927" s="2"/>
      <c r="C927" s="8" t="s">
        <v>896</v>
      </c>
      <c r="D927" s="8" t="s">
        <v>122</v>
      </c>
      <c r="E927" s="8">
        <v>55</v>
      </c>
      <c r="F927" s="8">
        <v>264.65</v>
      </c>
    </row>
    <row r="928" spans="1:6" x14ac:dyDescent="0.25">
      <c r="A928" s="1"/>
      <c r="B928" s="2"/>
      <c r="C928" s="8" t="s">
        <v>897</v>
      </c>
      <c r="D928" s="8" t="s">
        <v>122</v>
      </c>
      <c r="E928" s="8">
        <v>80</v>
      </c>
      <c r="F928" s="8">
        <v>399.41</v>
      </c>
    </row>
    <row r="929" spans="1:6" x14ac:dyDescent="0.25">
      <c r="A929" s="1"/>
      <c r="B929" s="2"/>
      <c r="C929" s="8" t="s">
        <v>898</v>
      </c>
      <c r="D929" s="8" t="s">
        <v>122</v>
      </c>
      <c r="E929" s="8">
        <v>105</v>
      </c>
      <c r="F929" s="8">
        <v>1689.28</v>
      </c>
    </row>
    <row r="930" spans="1:6" x14ac:dyDescent="0.25">
      <c r="A930" s="1"/>
      <c r="B930" s="2"/>
      <c r="C930" s="8" t="s">
        <v>899</v>
      </c>
      <c r="D930" s="8" t="s">
        <v>122</v>
      </c>
      <c r="E930" s="8">
        <v>102</v>
      </c>
      <c r="F930" s="8">
        <v>2093.13</v>
      </c>
    </row>
    <row r="931" spans="1:6" x14ac:dyDescent="0.25">
      <c r="A931" s="1"/>
      <c r="B931" s="2"/>
      <c r="C931" s="8" t="s">
        <v>900</v>
      </c>
      <c r="D931" s="8" t="s">
        <v>122</v>
      </c>
      <c r="E931" s="8">
        <v>102</v>
      </c>
      <c r="F931" s="8">
        <v>2161.97</v>
      </c>
    </row>
    <row r="932" spans="1:6" x14ac:dyDescent="0.25">
      <c r="A932" s="1"/>
      <c r="B932" s="2"/>
      <c r="C932" s="8" t="s">
        <v>901</v>
      </c>
      <c r="D932" s="8" t="s">
        <v>122</v>
      </c>
      <c r="E932" s="8">
        <v>102</v>
      </c>
      <c r="F932" s="8">
        <v>2096.15</v>
      </c>
    </row>
    <row r="933" spans="1:6" x14ac:dyDescent="0.25">
      <c r="A933" s="1"/>
      <c r="B933" s="2"/>
      <c r="C933" s="8" t="s">
        <v>902</v>
      </c>
      <c r="D933" s="8" t="s">
        <v>122</v>
      </c>
      <c r="E933" s="8">
        <v>58</v>
      </c>
      <c r="F933" s="8">
        <v>1161.94</v>
      </c>
    </row>
    <row r="934" spans="1:6" x14ac:dyDescent="0.25">
      <c r="A934" s="1"/>
      <c r="B934" s="2"/>
      <c r="C934" s="8" t="s">
        <v>903</v>
      </c>
      <c r="D934" s="8" t="s">
        <v>122</v>
      </c>
      <c r="E934" s="8">
        <v>63</v>
      </c>
      <c r="F934" s="8">
        <v>1312.52</v>
      </c>
    </row>
    <row r="935" spans="1:6" x14ac:dyDescent="0.25">
      <c r="A935" s="1"/>
      <c r="B935" s="2"/>
      <c r="C935" s="8" t="s">
        <v>904</v>
      </c>
      <c r="D935" s="8" t="s">
        <v>122</v>
      </c>
      <c r="E935" s="8">
        <v>75</v>
      </c>
      <c r="F935" s="8">
        <v>1519.45</v>
      </c>
    </row>
    <row r="936" spans="1:6" x14ac:dyDescent="0.25">
      <c r="A936" s="1"/>
      <c r="B936" s="2"/>
      <c r="C936" s="8" t="s">
        <v>905</v>
      </c>
      <c r="D936" s="8" t="s">
        <v>122</v>
      </c>
      <c r="E936" s="8">
        <v>129</v>
      </c>
      <c r="F936" s="8">
        <v>2153.35</v>
      </c>
    </row>
    <row r="937" spans="1:6" x14ac:dyDescent="0.25">
      <c r="A937" s="1"/>
      <c r="B937" s="2"/>
      <c r="C937" s="8" t="s">
        <v>906</v>
      </c>
      <c r="D937" s="8" t="s">
        <v>122</v>
      </c>
      <c r="E937" s="8">
        <v>121</v>
      </c>
      <c r="F937" s="8">
        <v>2110.14</v>
      </c>
    </row>
    <row r="938" spans="1:6" x14ac:dyDescent="0.25">
      <c r="A938" s="1"/>
      <c r="B938" s="2"/>
      <c r="C938" s="8" t="s">
        <v>907</v>
      </c>
      <c r="D938" s="8" t="s">
        <v>122</v>
      </c>
      <c r="E938" s="8">
        <v>70</v>
      </c>
      <c r="F938" s="8">
        <v>1386.24</v>
      </c>
    </row>
    <row r="939" spans="1:6" x14ac:dyDescent="0.25">
      <c r="A939" s="1"/>
      <c r="B939" s="2"/>
      <c r="C939" s="8" t="s">
        <v>908</v>
      </c>
      <c r="D939" s="8" t="s">
        <v>122</v>
      </c>
      <c r="E939" s="8">
        <v>51</v>
      </c>
      <c r="F939" s="8">
        <v>995</v>
      </c>
    </row>
    <row r="940" spans="1:6" x14ac:dyDescent="0.25">
      <c r="A940" s="1"/>
      <c r="B940" s="2"/>
      <c r="C940" s="8" t="s">
        <v>909</v>
      </c>
      <c r="D940" s="8" t="s">
        <v>122</v>
      </c>
      <c r="E940" s="8">
        <v>78</v>
      </c>
      <c r="F940" s="8">
        <v>1482.1</v>
      </c>
    </row>
    <row r="941" spans="1:6" x14ac:dyDescent="0.25">
      <c r="A941" s="1"/>
      <c r="B941" s="2"/>
      <c r="C941" s="8" t="s">
        <v>910</v>
      </c>
      <c r="D941" s="8" t="s">
        <v>122</v>
      </c>
      <c r="E941" s="8">
        <v>15</v>
      </c>
      <c r="F941" s="8">
        <v>320.8</v>
      </c>
    </row>
    <row r="942" spans="1:6" x14ac:dyDescent="0.25">
      <c r="A942" s="1"/>
      <c r="B942" s="2"/>
      <c r="C942" s="8" t="s">
        <v>911</v>
      </c>
      <c r="D942" s="8" t="s">
        <v>122</v>
      </c>
      <c r="E942" s="8">
        <v>12</v>
      </c>
      <c r="F942" s="8">
        <v>254.2</v>
      </c>
    </row>
    <row r="943" spans="1:6" x14ac:dyDescent="0.25">
      <c r="A943" s="1"/>
      <c r="B943" s="2"/>
      <c r="C943" s="8" t="s">
        <v>912</v>
      </c>
      <c r="D943" s="8" t="s">
        <v>122</v>
      </c>
      <c r="E943" s="8">
        <v>6</v>
      </c>
      <c r="F943" s="8">
        <v>113</v>
      </c>
    </row>
    <row r="944" spans="1:6" x14ac:dyDescent="0.25">
      <c r="A944" s="1"/>
      <c r="B944" s="2"/>
      <c r="C944" s="8" t="s">
        <v>913</v>
      </c>
      <c r="D944" s="8" t="s">
        <v>122</v>
      </c>
      <c r="E944" s="8">
        <v>5</v>
      </c>
      <c r="F944" s="8">
        <v>88.85</v>
      </c>
    </row>
    <row r="945" spans="1:6" x14ac:dyDescent="0.25">
      <c r="A945" s="1"/>
      <c r="B945" s="2"/>
      <c r="C945" s="8" t="s">
        <v>914</v>
      </c>
      <c r="D945" s="8" t="s">
        <v>122</v>
      </c>
      <c r="E945" s="8">
        <v>4</v>
      </c>
      <c r="F945" s="8">
        <v>74.8</v>
      </c>
    </row>
    <row r="946" spans="1:6" x14ac:dyDescent="0.25">
      <c r="A946" s="1"/>
      <c r="B946" s="2"/>
      <c r="C946" s="8" t="s">
        <v>915</v>
      </c>
      <c r="D946" s="8" t="s">
        <v>122</v>
      </c>
      <c r="E946" s="8">
        <v>1</v>
      </c>
      <c r="F946" s="8">
        <v>20.1</v>
      </c>
    </row>
    <row r="947" spans="1:6" x14ac:dyDescent="0.25">
      <c r="A947" s="1"/>
      <c r="B947" s="2"/>
      <c r="C947" s="8" t="s">
        <v>916</v>
      </c>
      <c r="D947" s="8" t="s">
        <v>122</v>
      </c>
      <c r="E947" s="8">
        <v>71</v>
      </c>
      <c r="F947" s="8">
        <v>1414.45</v>
      </c>
    </row>
    <row r="948" spans="1:6" x14ac:dyDescent="0.25">
      <c r="A948" s="1"/>
      <c r="B948" s="2"/>
      <c r="C948" s="8" t="s">
        <v>917</v>
      </c>
      <c r="D948" s="8" t="s">
        <v>122</v>
      </c>
      <c r="E948" s="8">
        <v>70</v>
      </c>
      <c r="F948" s="8">
        <v>1402.28</v>
      </c>
    </row>
    <row r="949" spans="1:6" x14ac:dyDescent="0.25">
      <c r="A949" s="1"/>
      <c r="B949" s="2"/>
      <c r="C949" s="8" t="s">
        <v>918</v>
      </c>
      <c r="D949" s="8" t="s">
        <v>122</v>
      </c>
      <c r="E949" s="8">
        <v>80</v>
      </c>
      <c r="F949" s="8">
        <v>1606.81</v>
      </c>
    </row>
    <row r="950" spans="1:6" x14ac:dyDescent="0.25">
      <c r="A950" s="1"/>
      <c r="B950" s="2"/>
      <c r="C950" s="8" t="s">
        <v>919</v>
      </c>
      <c r="D950" s="8" t="s">
        <v>122</v>
      </c>
      <c r="E950" s="8">
        <v>41</v>
      </c>
      <c r="F950" s="8">
        <v>788.61</v>
      </c>
    </row>
    <row r="951" spans="1:6" x14ac:dyDescent="0.25">
      <c r="A951" s="1"/>
      <c r="B951" s="2"/>
      <c r="C951" s="8" t="s">
        <v>920</v>
      </c>
      <c r="D951" s="8" t="s">
        <v>122</v>
      </c>
      <c r="E951" s="8">
        <v>25</v>
      </c>
      <c r="F951" s="8">
        <v>469.41</v>
      </c>
    </row>
    <row r="952" spans="1:6" x14ac:dyDescent="0.25">
      <c r="A952" s="1"/>
      <c r="B952" s="2"/>
      <c r="C952" s="8" t="s">
        <v>921</v>
      </c>
      <c r="D952" s="8" t="s">
        <v>122</v>
      </c>
      <c r="E952" s="8">
        <v>5</v>
      </c>
      <c r="F952" s="8">
        <v>105.88</v>
      </c>
    </row>
    <row r="953" spans="1:6" x14ac:dyDescent="0.25">
      <c r="A953" s="1"/>
      <c r="B953" s="2"/>
      <c r="C953" s="8" t="s">
        <v>922</v>
      </c>
      <c r="D953" s="8" t="s">
        <v>122</v>
      </c>
      <c r="E953" s="8">
        <v>3</v>
      </c>
      <c r="F953" s="8">
        <v>37.53</v>
      </c>
    </row>
    <row r="954" spans="1:6" x14ac:dyDescent="0.25">
      <c r="A954" s="1"/>
      <c r="B954" s="2"/>
      <c r="C954" s="8" t="s">
        <v>923</v>
      </c>
      <c r="D954" s="8" t="s">
        <v>122</v>
      </c>
      <c r="E954" s="8">
        <v>16</v>
      </c>
      <c r="F954" s="8">
        <v>361.17</v>
      </c>
    </row>
    <row r="955" spans="1:6" x14ac:dyDescent="0.25">
      <c r="A955" s="1"/>
      <c r="B955" s="2"/>
      <c r="C955" s="8" t="s">
        <v>924</v>
      </c>
      <c r="D955" s="8" t="s">
        <v>122</v>
      </c>
      <c r="E955" s="8">
        <v>142</v>
      </c>
      <c r="F955" s="8">
        <v>2804.88</v>
      </c>
    </row>
    <row r="956" spans="1:6" x14ac:dyDescent="0.25">
      <c r="A956" s="1"/>
      <c r="B956" s="2"/>
      <c r="C956" s="8" t="s">
        <v>925</v>
      </c>
      <c r="D956" s="8" t="s">
        <v>122</v>
      </c>
      <c r="E956" s="8">
        <v>141</v>
      </c>
      <c r="F956" s="8">
        <v>2757.67</v>
      </c>
    </row>
    <row r="957" spans="1:6" x14ac:dyDescent="0.25">
      <c r="A957" s="1"/>
      <c r="B957" s="2"/>
      <c r="C957" s="8" t="s">
        <v>926</v>
      </c>
      <c r="D957" s="8" t="s">
        <v>122</v>
      </c>
      <c r="E957" s="8">
        <v>84</v>
      </c>
      <c r="F957" s="8">
        <v>1603.63</v>
      </c>
    </row>
    <row r="958" spans="1:6" x14ac:dyDescent="0.25">
      <c r="A958" s="1"/>
      <c r="B958" s="2"/>
      <c r="C958" s="8" t="s">
        <v>927</v>
      </c>
      <c r="D958" s="8" t="s">
        <v>122</v>
      </c>
      <c r="E958" s="8">
        <v>57</v>
      </c>
      <c r="F958" s="8">
        <v>1142.95</v>
      </c>
    </row>
    <row r="959" spans="1:6" x14ac:dyDescent="0.25">
      <c r="A959" s="1"/>
      <c r="B959" s="2"/>
      <c r="C959" s="8" t="s">
        <v>928</v>
      </c>
      <c r="D959" s="8" t="s">
        <v>122</v>
      </c>
      <c r="E959" s="8">
        <v>110</v>
      </c>
      <c r="F959" s="8">
        <v>2233.39</v>
      </c>
    </row>
    <row r="960" spans="1:6" x14ac:dyDescent="0.25">
      <c r="A960" s="1"/>
      <c r="B960" s="2"/>
      <c r="C960" s="8" t="s">
        <v>929</v>
      </c>
      <c r="D960" s="8" t="s">
        <v>122</v>
      </c>
      <c r="E960" s="8">
        <v>31</v>
      </c>
      <c r="F960" s="8">
        <v>605.94</v>
      </c>
    </row>
    <row r="961" spans="1:6" x14ac:dyDescent="0.25">
      <c r="A961" s="1"/>
      <c r="B961" s="2"/>
      <c r="C961" s="8" t="s">
        <v>930</v>
      </c>
      <c r="D961" s="8" t="s">
        <v>122</v>
      </c>
      <c r="E961" s="8">
        <v>53</v>
      </c>
      <c r="F961" s="8">
        <v>1078.92</v>
      </c>
    </row>
    <row r="962" spans="1:6" x14ac:dyDescent="0.25">
      <c r="A962" s="1"/>
      <c r="B962" s="2"/>
      <c r="C962" s="8" t="s">
        <v>931</v>
      </c>
      <c r="D962" s="8" t="s">
        <v>122</v>
      </c>
      <c r="E962" s="8">
        <v>46</v>
      </c>
      <c r="F962" s="8">
        <v>908.16</v>
      </c>
    </row>
    <row r="963" spans="1:6" x14ac:dyDescent="0.25">
      <c r="A963" s="1"/>
      <c r="B963" s="2"/>
      <c r="C963" s="8" t="s">
        <v>932</v>
      </c>
      <c r="D963" s="8" t="s">
        <v>122</v>
      </c>
      <c r="E963" s="8">
        <v>42</v>
      </c>
      <c r="F963" s="8">
        <v>824.29</v>
      </c>
    </row>
    <row r="964" spans="1:6" x14ac:dyDescent="0.25">
      <c r="A964" s="1"/>
      <c r="B964" s="2"/>
      <c r="C964" s="8" t="s">
        <v>933</v>
      </c>
      <c r="D964" s="8" t="s">
        <v>122</v>
      </c>
      <c r="E964" s="8">
        <v>68</v>
      </c>
      <c r="F964" s="8">
        <v>1489.04</v>
      </c>
    </row>
    <row r="965" spans="1:6" x14ac:dyDescent="0.25">
      <c r="A965" s="1"/>
      <c r="B965" s="2"/>
      <c r="C965" s="8" t="s">
        <v>934</v>
      </c>
      <c r="D965" s="8" t="s">
        <v>122</v>
      </c>
      <c r="E965" s="8">
        <v>73</v>
      </c>
      <c r="F965" s="8">
        <v>1512.25</v>
      </c>
    </row>
    <row r="966" spans="1:6" x14ac:dyDescent="0.25">
      <c r="A966" s="1"/>
      <c r="B966" s="2"/>
      <c r="C966" s="8" t="s">
        <v>935</v>
      </c>
      <c r="D966" s="8" t="s">
        <v>122</v>
      </c>
      <c r="E966" s="8">
        <v>48</v>
      </c>
      <c r="F966" s="8">
        <v>926.13</v>
      </c>
    </row>
    <row r="967" spans="1:6" x14ac:dyDescent="0.25">
      <c r="A967" s="1"/>
      <c r="B967" s="2"/>
      <c r="C967" s="8" t="s">
        <v>936</v>
      </c>
      <c r="D967" s="8" t="s">
        <v>122</v>
      </c>
      <c r="E967" s="8">
        <v>20</v>
      </c>
      <c r="F967" s="8">
        <v>406.28</v>
      </c>
    </row>
    <row r="968" spans="1:6" x14ac:dyDescent="0.25">
      <c r="A968" s="1"/>
      <c r="B968" s="2"/>
      <c r="C968" s="8" t="s">
        <v>937</v>
      </c>
      <c r="D968" s="8" t="s">
        <v>122</v>
      </c>
      <c r="E968" s="8">
        <v>15</v>
      </c>
      <c r="F968" s="8">
        <v>294.26</v>
      </c>
    </row>
    <row r="969" spans="1:6" x14ac:dyDescent="0.25">
      <c r="A969" s="1"/>
      <c r="B969" s="2"/>
      <c r="C969" s="8" t="s">
        <v>938</v>
      </c>
      <c r="D969" s="8" t="s">
        <v>122</v>
      </c>
      <c r="E969" s="8">
        <v>16</v>
      </c>
      <c r="F969" s="8">
        <v>313.59</v>
      </c>
    </row>
    <row r="970" spans="1:6" x14ac:dyDescent="0.25">
      <c r="A970" s="1"/>
      <c r="B970" s="2"/>
      <c r="C970" s="8" t="s">
        <v>939</v>
      </c>
      <c r="D970" s="8" t="s">
        <v>122</v>
      </c>
      <c r="E970" s="8">
        <v>15</v>
      </c>
      <c r="F970" s="8">
        <v>284.71</v>
      </c>
    </row>
    <row r="971" spans="1:6" x14ac:dyDescent="0.25">
      <c r="A971" s="1"/>
      <c r="B971" s="2"/>
      <c r="C971" s="8" t="s">
        <v>940</v>
      </c>
      <c r="D971" s="8" t="s">
        <v>122</v>
      </c>
      <c r="E971" s="8">
        <v>27</v>
      </c>
      <c r="F971" s="8">
        <v>556.56</v>
      </c>
    </row>
    <row r="972" spans="1:6" x14ac:dyDescent="0.25">
      <c r="A972" s="1"/>
      <c r="B972" s="2"/>
      <c r="C972" s="8" t="s">
        <v>941</v>
      </c>
      <c r="D972" s="8" t="s">
        <v>122</v>
      </c>
      <c r="E972" s="8">
        <v>30</v>
      </c>
      <c r="F972" s="8">
        <v>123.86</v>
      </c>
    </row>
    <row r="973" spans="1:6" x14ac:dyDescent="0.25">
      <c r="A973" s="1"/>
      <c r="B973" s="2"/>
      <c r="C973" s="8" t="s">
        <v>942</v>
      </c>
      <c r="D973" s="8" t="s">
        <v>122</v>
      </c>
      <c r="E973" s="8">
        <v>100</v>
      </c>
      <c r="F973" s="8">
        <v>1800.11</v>
      </c>
    </row>
    <row r="974" spans="1:6" x14ac:dyDescent="0.25">
      <c r="A974" s="1"/>
      <c r="B974" s="2"/>
      <c r="C974" s="8" t="s">
        <v>943</v>
      </c>
      <c r="D974" s="8" t="s">
        <v>122</v>
      </c>
      <c r="E974" s="8">
        <v>41</v>
      </c>
      <c r="F974" s="8">
        <v>828.19</v>
      </c>
    </row>
    <row r="975" spans="1:6" x14ac:dyDescent="0.25">
      <c r="A975" s="1"/>
      <c r="B975" s="2"/>
      <c r="C975" s="8" t="s">
        <v>944</v>
      </c>
      <c r="D975" s="8" t="s">
        <v>122</v>
      </c>
      <c r="E975" s="8">
        <v>70</v>
      </c>
      <c r="F975" s="8">
        <v>1284.13</v>
      </c>
    </row>
    <row r="976" spans="1:6" x14ac:dyDescent="0.25">
      <c r="A976" s="1"/>
      <c r="B976" s="2"/>
      <c r="C976" s="8" t="s">
        <v>945</v>
      </c>
      <c r="D976" s="8" t="s">
        <v>122</v>
      </c>
      <c r="E976" s="8">
        <v>30</v>
      </c>
      <c r="F976" s="8">
        <v>405.33</v>
      </c>
    </row>
    <row r="977" spans="1:6" x14ac:dyDescent="0.25">
      <c r="A977" s="1"/>
      <c r="B977" s="2"/>
      <c r="C977" s="8" t="s">
        <v>946</v>
      </c>
      <c r="D977" s="8" t="s">
        <v>122</v>
      </c>
      <c r="E977" s="8">
        <v>41</v>
      </c>
      <c r="F977" s="8">
        <v>811.23</v>
      </c>
    </row>
    <row r="978" spans="1:6" x14ac:dyDescent="0.25">
      <c r="A978" s="1"/>
      <c r="B978" s="2"/>
      <c r="C978" s="8" t="s">
        <v>947</v>
      </c>
      <c r="D978" s="8" t="s">
        <v>122</v>
      </c>
      <c r="E978" s="8">
        <v>62</v>
      </c>
      <c r="F978" s="8">
        <v>1258.07</v>
      </c>
    </row>
    <row r="979" spans="1:6" x14ac:dyDescent="0.25">
      <c r="A979" s="1"/>
      <c r="B979" s="2"/>
      <c r="C979" s="8" t="s">
        <v>948</v>
      </c>
      <c r="D979" s="8" t="s">
        <v>122</v>
      </c>
      <c r="E979" s="8">
        <v>50</v>
      </c>
      <c r="F979" s="8">
        <v>1021.3</v>
      </c>
    </row>
    <row r="980" spans="1:6" x14ac:dyDescent="0.25">
      <c r="A980" s="1"/>
      <c r="B980" s="2"/>
      <c r="C980" s="8" t="s">
        <v>949</v>
      </c>
      <c r="D980" s="8" t="s">
        <v>122</v>
      </c>
      <c r="E980" s="8">
        <v>29</v>
      </c>
      <c r="F980" s="8">
        <v>582</v>
      </c>
    </row>
    <row r="981" spans="1:6" x14ac:dyDescent="0.25">
      <c r="A981" s="1"/>
      <c r="B981" s="2"/>
      <c r="C981" s="8" t="s">
        <v>950</v>
      </c>
      <c r="D981" s="8" t="s">
        <v>122</v>
      </c>
      <c r="E981" s="8">
        <v>102</v>
      </c>
      <c r="F981" s="8">
        <v>2118.91</v>
      </c>
    </row>
    <row r="983" spans="1:7" x14ac:dyDescent="0.25">
      <c r="A983" s="7">
        <v>46279</v>
      </c>
      <c r="B983" s="8" t="s">
        <v>18</v>
      </c>
      <c r="C983" s="8" t="s">
        <v>951</v>
      </c>
      <c r="D983" s="8" t="s">
        <v>20</v>
      </c>
      <c r="E983" s="8">
        <v>102</v>
      </c>
      <c r="F983" s="8">
        <v>1925.38</v>
      </c>
      <c r="G983" s="7">
        <v>46278</v>
      </c>
    </row>
    <row r="984" spans="1:6" x14ac:dyDescent="0.25">
      <c r="A984" s="1"/>
      <c r="B984" s="2"/>
      <c r="C984" s="8" t="s">
        <v>952</v>
      </c>
      <c r="D984" s="8" t="s">
        <v>20</v>
      </c>
      <c r="E984" s="8">
        <v>62</v>
      </c>
      <c r="F984" s="8">
        <v>1189.46</v>
      </c>
    </row>
    <row r="985" spans="1:6" x14ac:dyDescent="0.25">
      <c r="A985" s="1"/>
      <c r="B985" s="2"/>
      <c r="C985" s="8" t="s">
        <v>953</v>
      </c>
      <c r="D985" s="8" t="s">
        <v>20</v>
      </c>
      <c r="E985" s="8">
        <v>142</v>
      </c>
      <c r="F985" s="8">
        <v>2771.7</v>
      </c>
    </row>
    <row r="986" spans="1:6" x14ac:dyDescent="0.25">
      <c r="A986" s="1"/>
      <c r="B986" s="2"/>
      <c r="C986" s="8" t="s">
        <v>954</v>
      </c>
      <c r="D986" s="8" t="s">
        <v>20</v>
      </c>
      <c r="E986" s="8">
        <v>142</v>
      </c>
      <c r="F986" s="8">
        <v>2734.66</v>
      </c>
    </row>
    <row r="987" spans="1:6" x14ac:dyDescent="0.25">
      <c r="A987" s="1"/>
      <c r="B987" s="2"/>
      <c r="C987" s="8" t="s">
        <v>955</v>
      </c>
      <c r="D987" s="8" t="s">
        <v>20</v>
      </c>
      <c r="E987" s="8">
        <v>142</v>
      </c>
      <c r="F987" s="8">
        <v>2766.76</v>
      </c>
    </row>
    <row r="988" spans="1:6" x14ac:dyDescent="0.25">
      <c r="A988" s="1"/>
      <c r="B988" s="2"/>
      <c r="C988" s="8" t="s">
        <v>956</v>
      </c>
      <c r="D988" s="8" t="s">
        <v>20</v>
      </c>
      <c r="E988" s="8">
        <v>102</v>
      </c>
      <c r="F988" s="8">
        <v>1988.69</v>
      </c>
    </row>
    <row r="989" spans="1:6" x14ac:dyDescent="0.25">
      <c r="A989" s="1"/>
      <c r="B989" s="2"/>
      <c r="C989" s="8" t="s">
        <v>957</v>
      </c>
      <c r="D989" s="8" t="s">
        <v>20</v>
      </c>
      <c r="E989" s="8">
        <v>142</v>
      </c>
      <c r="F989" s="8">
        <v>2747.31</v>
      </c>
    </row>
    <row r="990" spans="1:6" x14ac:dyDescent="0.25">
      <c r="A990" s="1"/>
      <c r="B990" s="2"/>
      <c r="C990" s="8" t="s">
        <v>958</v>
      </c>
      <c r="D990" s="8" t="s">
        <v>20</v>
      </c>
      <c r="E990" s="8">
        <v>137</v>
      </c>
      <c r="F990" s="8">
        <v>2599.17</v>
      </c>
    </row>
    <row r="991" spans="1:6" x14ac:dyDescent="0.25">
      <c r="A991" s="1"/>
      <c r="B991" s="2"/>
      <c r="C991" s="8" t="s">
        <v>959</v>
      </c>
      <c r="D991" s="8" t="s">
        <v>20</v>
      </c>
      <c r="E991" s="8">
        <v>135</v>
      </c>
      <c r="F991" s="8">
        <v>2766.77</v>
      </c>
    </row>
    <row r="992" spans="1:6" x14ac:dyDescent="0.25">
      <c r="A992" s="1"/>
      <c r="B992" s="2"/>
      <c r="C992" s="8" t="s">
        <v>960</v>
      </c>
      <c r="D992" s="8" t="s">
        <v>20</v>
      </c>
      <c r="E992" s="8">
        <v>100</v>
      </c>
      <c r="F992" s="8">
        <v>2037.18</v>
      </c>
    </row>
    <row r="993" spans="1:6" x14ac:dyDescent="0.25">
      <c r="A993" s="1"/>
      <c r="B993" s="2"/>
      <c r="C993" s="8" t="s">
        <v>961</v>
      </c>
      <c r="D993" s="8" t="s">
        <v>20</v>
      </c>
      <c r="E993" s="8">
        <v>102</v>
      </c>
      <c r="F993" s="8">
        <v>2027.65</v>
      </c>
    </row>
    <row r="995" spans="1:7" x14ac:dyDescent="0.25">
      <c r="A995" s="7">
        <v>46278</v>
      </c>
      <c r="B995" s="8" t="s">
        <v>172</v>
      </c>
      <c r="C995" s="8" t="s">
        <v>962</v>
      </c>
      <c r="D995" s="8" t="s">
        <v>9</v>
      </c>
      <c r="E995" s="8">
        <v>47</v>
      </c>
      <c r="F995" s="8">
        <v>224.52</v>
      </c>
      <c r="G995" s="7">
        <v>46277</v>
      </c>
    </row>
    <row r="996" spans="1:6" x14ac:dyDescent="0.25">
      <c r="A996" s="1"/>
      <c r="B996" s="2"/>
      <c r="C996" s="8" t="s">
        <v>963</v>
      </c>
      <c r="D996" s="8" t="s">
        <v>9</v>
      </c>
      <c r="E996" s="8">
        <v>123</v>
      </c>
      <c r="F996" s="8">
        <v>2492.89</v>
      </c>
    </row>
    <row r="997" spans="1:6" x14ac:dyDescent="0.25">
      <c r="A997" s="1"/>
      <c r="B997" s="2"/>
      <c r="C997" s="8" t="s">
        <v>964</v>
      </c>
      <c r="D997" s="8" t="s">
        <v>9</v>
      </c>
      <c r="E997" s="8">
        <v>123</v>
      </c>
      <c r="F997" s="8">
        <v>2491.23</v>
      </c>
    </row>
    <row r="998" spans="1:6" x14ac:dyDescent="0.25">
      <c r="A998" s="1"/>
      <c r="B998" s="2"/>
      <c r="C998" s="8" t="s">
        <v>965</v>
      </c>
      <c r="D998" s="8" t="s">
        <v>9</v>
      </c>
      <c r="E998" s="8">
        <v>123</v>
      </c>
      <c r="F998" s="8">
        <v>2379.89</v>
      </c>
    </row>
    <row r="999" spans="1:6" x14ac:dyDescent="0.25">
      <c r="A999" s="1"/>
      <c r="B999" s="2"/>
      <c r="C999" s="8" t="s">
        <v>966</v>
      </c>
      <c r="D999" s="8" t="s">
        <v>9</v>
      </c>
      <c r="E999" s="8">
        <v>87</v>
      </c>
      <c r="F999" s="8">
        <v>1640</v>
      </c>
    </row>
    <row r="1000" spans="1:6" x14ac:dyDescent="0.25">
      <c r="A1000" s="1"/>
      <c r="B1000" s="2"/>
      <c r="C1000" s="8" t="s">
        <v>967</v>
      </c>
      <c r="D1000" s="8" t="s">
        <v>9</v>
      </c>
      <c r="E1000" s="8">
        <v>40</v>
      </c>
      <c r="F1000" s="8">
        <v>802.48</v>
      </c>
    </row>
    <row r="1001" spans="1:6" x14ac:dyDescent="0.25">
      <c r="A1001" s="1"/>
      <c r="B1001" s="2"/>
      <c r="C1001" s="8" t="s">
        <v>968</v>
      </c>
      <c r="D1001" s="8" t="s">
        <v>9</v>
      </c>
      <c r="E1001" s="8">
        <v>141</v>
      </c>
      <c r="F1001" s="8">
        <v>2818.89</v>
      </c>
    </row>
    <row r="1002" spans="1:6" x14ac:dyDescent="0.25">
      <c r="A1002" s="1"/>
      <c r="B1002" s="2"/>
      <c r="C1002" s="8" t="s">
        <v>969</v>
      </c>
      <c r="D1002" s="8" t="s">
        <v>9</v>
      </c>
      <c r="E1002" s="8">
        <v>142</v>
      </c>
      <c r="F1002" s="8">
        <v>2353.73</v>
      </c>
    </row>
    <row r="1003" spans="1:6" x14ac:dyDescent="0.25">
      <c r="A1003" s="1"/>
      <c r="B1003" s="2"/>
      <c r="C1003" s="8" t="s">
        <v>970</v>
      </c>
      <c r="D1003" s="8" t="s">
        <v>9</v>
      </c>
      <c r="E1003" s="8">
        <v>105</v>
      </c>
      <c r="F1003" s="8">
        <v>426.8</v>
      </c>
    </row>
    <row r="1004" spans="1:6" x14ac:dyDescent="0.25">
      <c r="A1004" s="1"/>
      <c r="B1004" s="2"/>
      <c r="C1004" s="8" t="s">
        <v>971</v>
      </c>
      <c r="D1004" s="8" t="s">
        <v>9</v>
      </c>
      <c r="E1004" s="8">
        <v>185</v>
      </c>
      <c r="F1004" s="8">
        <v>2328.88</v>
      </c>
    </row>
    <row r="1005" spans="1:6" x14ac:dyDescent="0.25">
      <c r="A1005" s="1"/>
      <c r="B1005" s="2"/>
      <c r="C1005" s="8" t="s">
        <v>972</v>
      </c>
      <c r="D1005" s="8" t="s">
        <v>9</v>
      </c>
      <c r="E1005" s="8">
        <v>48</v>
      </c>
      <c r="F1005" s="8">
        <v>1658.69</v>
      </c>
    </row>
    <row r="1006" spans="1:6" x14ac:dyDescent="0.25">
      <c r="A1006" s="1"/>
      <c r="B1006" s="2"/>
      <c r="C1006" s="8" t="s">
        <v>973</v>
      </c>
      <c r="D1006" s="8" t="s">
        <v>9</v>
      </c>
      <c r="E1006" s="8">
        <v>123</v>
      </c>
      <c r="F1006" s="8">
        <v>2433.41</v>
      </c>
    </row>
    <row r="1007" spans="1:6" x14ac:dyDescent="0.25">
      <c r="A1007" s="1"/>
      <c r="B1007" s="2"/>
      <c r="C1007" s="8" t="s">
        <v>974</v>
      </c>
      <c r="D1007" s="8" t="s">
        <v>9</v>
      </c>
      <c r="E1007" s="8">
        <v>141</v>
      </c>
      <c r="F1007" s="8">
        <v>2704.44</v>
      </c>
    </row>
    <row r="1008" spans="1:6" x14ac:dyDescent="0.25">
      <c r="A1008" s="1"/>
      <c r="B1008" s="2"/>
      <c r="C1008" s="8" t="s">
        <v>975</v>
      </c>
      <c r="D1008" s="8" t="s">
        <v>9</v>
      </c>
      <c r="E1008" s="8">
        <v>141</v>
      </c>
      <c r="F1008" s="8">
        <v>2814.35</v>
      </c>
    </row>
    <row r="1009" spans="1:6" x14ac:dyDescent="0.25">
      <c r="A1009" s="1"/>
      <c r="B1009" s="2"/>
      <c r="C1009" s="8" t="s">
        <v>976</v>
      </c>
      <c r="D1009" s="8" t="s">
        <v>9</v>
      </c>
      <c r="E1009" s="8">
        <v>102</v>
      </c>
      <c r="F1009" s="8">
        <v>2093.44</v>
      </c>
    </row>
    <row r="1010" spans="1:6" x14ac:dyDescent="0.25">
      <c r="A1010" s="1"/>
      <c r="B1010" s="2"/>
      <c r="C1010" s="8" t="s">
        <v>977</v>
      </c>
      <c r="D1010" s="8" t="s">
        <v>9</v>
      </c>
      <c r="E1010" s="8">
        <v>142</v>
      </c>
      <c r="F1010" s="8">
        <v>2692.23</v>
      </c>
    </row>
    <row r="1011" spans="1:6" x14ac:dyDescent="0.25">
      <c r="A1011" s="1"/>
      <c r="B1011" s="2"/>
      <c r="C1011" s="8" t="s">
        <v>978</v>
      </c>
      <c r="D1011" s="8" t="s">
        <v>9</v>
      </c>
      <c r="E1011" s="8">
        <v>104</v>
      </c>
      <c r="F1011" s="8">
        <v>1916.4</v>
      </c>
    </row>
    <row r="1012" spans="1:6" x14ac:dyDescent="0.25">
      <c r="A1012" s="1"/>
      <c r="B1012" s="2"/>
      <c r="C1012" s="8" t="s">
        <v>979</v>
      </c>
      <c r="D1012" s="8" t="s">
        <v>9</v>
      </c>
      <c r="E1012" s="8">
        <v>37</v>
      </c>
      <c r="F1012" s="8">
        <v>654.62</v>
      </c>
    </row>
    <row r="1013" spans="1:6" x14ac:dyDescent="0.25">
      <c r="A1013" s="1"/>
      <c r="B1013" s="2"/>
      <c r="C1013" s="8" t="s">
        <v>980</v>
      </c>
      <c r="D1013" s="8" t="s">
        <v>9</v>
      </c>
      <c r="E1013" s="8">
        <v>99</v>
      </c>
      <c r="F1013" s="8">
        <v>1962.92</v>
      </c>
    </row>
    <row r="1014" spans="1:6" x14ac:dyDescent="0.25">
      <c r="A1014" s="1"/>
      <c r="B1014" s="2"/>
      <c r="C1014" s="8" t="s">
        <v>981</v>
      </c>
      <c r="D1014" s="8" t="s">
        <v>9</v>
      </c>
      <c r="E1014" s="8">
        <v>38</v>
      </c>
      <c r="F1014" s="8">
        <v>751.48</v>
      </c>
    </row>
    <row r="1015" spans="1:6" x14ac:dyDescent="0.25">
      <c r="A1015" s="1"/>
      <c r="B1015" s="2"/>
      <c r="C1015" s="8" t="s">
        <v>982</v>
      </c>
      <c r="D1015" s="8" t="s">
        <v>9</v>
      </c>
      <c r="E1015" s="8">
        <v>62</v>
      </c>
      <c r="F1015" s="8">
        <v>1192.29</v>
      </c>
    </row>
    <row r="1016" spans="1:6" x14ac:dyDescent="0.25">
      <c r="A1016" s="1"/>
      <c r="B1016" s="2"/>
      <c r="C1016" s="8" t="s">
        <v>983</v>
      </c>
      <c r="D1016" s="8" t="s">
        <v>9</v>
      </c>
      <c r="E1016" s="8">
        <v>90</v>
      </c>
      <c r="F1016" s="8">
        <v>397.1</v>
      </c>
    </row>
    <row r="1017" spans="1:6" x14ac:dyDescent="0.25">
      <c r="A1017" s="1"/>
      <c r="B1017" s="2"/>
      <c r="C1017" s="8" t="s">
        <v>984</v>
      </c>
      <c r="D1017" s="8" t="s">
        <v>9</v>
      </c>
      <c r="E1017" s="8">
        <v>141</v>
      </c>
      <c r="F1017" s="8">
        <v>2882.16</v>
      </c>
    </row>
    <row r="1018" spans="1:6" x14ac:dyDescent="0.25">
      <c r="A1018" s="1"/>
      <c r="B1018" s="2"/>
      <c r="C1018" s="8" t="s">
        <v>985</v>
      </c>
      <c r="D1018" s="8" t="s">
        <v>9</v>
      </c>
      <c r="E1018" s="8">
        <v>141</v>
      </c>
      <c r="F1018" s="8">
        <v>2850.52</v>
      </c>
    </row>
    <row r="1019" spans="1:6" x14ac:dyDescent="0.25">
      <c r="A1019" s="1"/>
      <c r="B1019" s="2"/>
      <c r="C1019" s="8" t="s">
        <v>986</v>
      </c>
      <c r="D1019" s="8" t="s">
        <v>9</v>
      </c>
      <c r="E1019" s="8">
        <v>8</v>
      </c>
      <c r="F1019" s="8">
        <v>174.82</v>
      </c>
    </row>
    <row r="1020" spans="1:6" x14ac:dyDescent="0.25">
      <c r="A1020" s="1"/>
      <c r="B1020" s="2"/>
      <c r="C1020" s="8" t="s">
        <v>987</v>
      </c>
      <c r="D1020" s="8" t="s">
        <v>9</v>
      </c>
      <c r="E1020" s="8">
        <v>120</v>
      </c>
      <c r="F1020" s="8">
        <v>2231.8</v>
      </c>
    </row>
    <row r="1021" spans="1:6" x14ac:dyDescent="0.25">
      <c r="A1021" s="1"/>
      <c r="B1021" s="2"/>
      <c r="C1021" s="8" t="s">
        <v>988</v>
      </c>
      <c r="D1021" s="8" t="s">
        <v>9</v>
      </c>
      <c r="E1021" s="8">
        <v>17</v>
      </c>
      <c r="F1021" s="8">
        <v>334.63</v>
      </c>
    </row>
    <row r="1022" spans="1:6" x14ac:dyDescent="0.25">
      <c r="A1022" s="1"/>
      <c r="B1022" s="2"/>
      <c r="C1022" s="8" t="s">
        <v>989</v>
      </c>
      <c r="D1022" s="8" t="s">
        <v>9</v>
      </c>
      <c r="E1022" s="8">
        <v>98</v>
      </c>
      <c r="F1022" s="8">
        <v>1749.96</v>
      </c>
    </row>
    <row r="1023" spans="1:6" x14ac:dyDescent="0.25">
      <c r="A1023" s="1"/>
      <c r="B1023" s="2"/>
      <c r="C1023" s="8" t="s">
        <v>990</v>
      </c>
      <c r="D1023" s="8" t="s">
        <v>9</v>
      </c>
      <c r="E1023" s="8">
        <v>141</v>
      </c>
      <c r="F1023" s="8">
        <v>2512.75</v>
      </c>
    </row>
    <row r="1024" spans="1:6" x14ac:dyDescent="0.25">
      <c r="A1024" s="1"/>
      <c r="B1024" s="2"/>
      <c r="C1024" s="8" t="s">
        <v>991</v>
      </c>
      <c r="D1024" s="8" t="s">
        <v>9</v>
      </c>
      <c r="E1024" s="8">
        <v>141</v>
      </c>
      <c r="F1024" s="8">
        <v>2650.87</v>
      </c>
    </row>
    <row r="1025" spans="1:6" x14ac:dyDescent="0.25">
      <c r="A1025" s="1"/>
      <c r="B1025" s="2"/>
      <c r="C1025" s="8" t="s">
        <v>992</v>
      </c>
      <c r="D1025" s="8" t="s">
        <v>9</v>
      </c>
      <c r="E1025" s="8">
        <v>52</v>
      </c>
      <c r="F1025" s="8">
        <v>987.32</v>
      </c>
    </row>
    <row r="1026" spans="1:6" x14ac:dyDescent="0.25">
      <c r="A1026" s="1"/>
      <c r="B1026" s="2"/>
      <c r="C1026" s="8" t="s">
        <v>993</v>
      </c>
      <c r="D1026" s="8" t="s">
        <v>9</v>
      </c>
      <c r="E1026" s="8">
        <v>50</v>
      </c>
      <c r="F1026" s="8">
        <v>993.46</v>
      </c>
    </row>
    <row r="1027" spans="1:6" x14ac:dyDescent="0.25">
      <c r="A1027" s="1"/>
      <c r="B1027" s="2"/>
      <c r="C1027" s="8" t="s">
        <v>994</v>
      </c>
      <c r="D1027" s="8" t="s">
        <v>9</v>
      </c>
      <c r="E1027" s="8">
        <v>141</v>
      </c>
      <c r="F1027" s="8">
        <v>2855.14</v>
      </c>
    </row>
    <row r="1028" spans="1:6" x14ac:dyDescent="0.25">
      <c r="A1028" s="1"/>
      <c r="B1028" s="2"/>
      <c r="C1028" s="8" t="s">
        <v>995</v>
      </c>
      <c r="D1028" s="8" t="s">
        <v>9</v>
      </c>
      <c r="E1028" s="8">
        <v>13</v>
      </c>
      <c r="F1028" s="8">
        <v>210.48</v>
      </c>
    </row>
    <row r="1029" spans="1:6" x14ac:dyDescent="0.25">
      <c r="A1029" s="1"/>
      <c r="B1029" s="2"/>
      <c r="C1029" s="8" t="s">
        <v>996</v>
      </c>
      <c r="D1029" s="8" t="s">
        <v>9</v>
      </c>
      <c r="E1029" s="8">
        <v>22</v>
      </c>
      <c r="F1029" s="8">
        <v>343.4</v>
      </c>
    </row>
    <row r="1030" spans="1:6" x14ac:dyDescent="0.25">
      <c r="A1030" s="1"/>
      <c r="B1030" s="2"/>
      <c r="C1030" s="8" t="s">
        <v>997</v>
      </c>
      <c r="D1030" s="8" t="s">
        <v>9</v>
      </c>
      <c r="E1030" s="8">
        <v>14</v>
      </c>
      <c r="F1030" s="8">
        <v>277.2</v>
      </c>
    </row>
    <row r="1031" spans="1:6" x14ac:dyDescent="0.25">
      <c r="A1031" s="1"/>
      <c r="B1031" s="2"/>
      <c r="C1031" s="8" t="s">
        <v>998</v>
      </c>
      <c r="D1031" s="8" t="s">
        <v>9</v>
      </c>
      <c r="E1031" s="8">
        <v>28</v>
      </c>
      <c r="F1031" s="8">
        <v>543.31</v>
      </c>
    </row>
    <row r="1032" spans="1:6" x14ac:dyDescent="0.25">
      <c r="A1032" s="1"/>
      <c r="B1032" s="2"/>
      <c r="C1032" s="8" t="s">
        <v>999</v>
      </c>
      <c r="D1032" s="8" t="s">
        <v>9</v>
      </c>
      <c r="E1032" s="8">
        <v>21</v>
      </c>
      <c r="F1032" s="8">
        <v>414.59</v>
      </c>
    </row>
    <row r="1033" spans="1:6" x14ac:dyDescent="0.25">
      <c r="A1033" s="1"/>
      <c r="B1033" s="2"/>
      <c r="C1033" s="8" t="s">
        <v>1000</v>
      </c>
      <c r="D1033" s="8" t="s">
        <v>9</v>
      </c>
      <c r="E1033" s="8">
        <v>120</v>
      </c>
      <c r="F1033" s="8">
        <v>2375.74</v>
      </c>
    </row>
    <row r="1034" spans="1:6" x14ac:dyDescent="0.25">
      <c r="A1034" s="1"/>
      <c r="B1034" s="2"/>
      <c r="C1034" s="8" t="s">
        <v>1001</v>
      </c>
      <c r="D1034" s="8" t="s">
        <v>9</v>
      </c>
      <c r="E1034" s="8">
        <v>70</v>
      </c>
      <c r="F1034" s="8">
        <v>1374.35</v>
      </c>
    </row>
    <row r="1035" spans="1:6" x14ac:dyDescent="0.25">
      <c r="A1035" s="1"/>
      <c r="B1035" s="2"/>
      <c r="C1035" s="8" t="s">
        <v>1002</v>
      </c>
      <c r="D1035" s="8" t="s">
        <v>9</v>
      </c>
      <c r="E1035" s="8">
        <v>71</v>
      </c>
      <c r="F1035" s="8">
        <v>1240.69</v>
      </c>
    </row>
    <row r="1036" spans="1:6" x14ac:dyDescent="0.25">
      <c r="A1036" s="1"/>
      <c r="B1036" s="2"/>
      <c r="C1036" s="8" t="s">
        <v>1003</v>
      </c>
      <c r="D1036" s="8" t="s">
        <v>9</v>
      </c>
      <c r="E1036" s="8">
        <v>84</v>
      </c>
      <c r="F1036" s="8">
        <v>1661.62</v>
      </c>
    </row>
    <row r="1037" spans="1:6" x14ac:dyDescent="0.25">
      <c r="A1037" s="1"/>
      <c r="B1037" s="2"/>
      <c r="C1037" s="8" t="s">
        <v>1004</v>
      </c>
      <c r="D1037" s="8" t="s">
        <v>9</v>
      </c>
      <c r="E1037" s="8">
        <v>18</v>
      </c>
      <c r="F1037" s="8">
        <v>335</v>
      </c>
    </row>
    <row r="1038" spans="1:6" x14ac:dyDescent="0.25">
      <c r="A1038" s="1"/>
      <c r="B1038" s="2"/>
      <c r="C1038" s="8" t="s">
        <v>1005</v>
      </c>
      <c r="D1038" s="8" t="s">
        <v>9</v>
      </c>
      <c r="E1038" s="8">
        <v>26</v>
      </c>
      <c r="F1038" s="8">
        <v>502.91</v>
      </c>
    </row>
    <row r="1039" spans="1:6" x14ac:dyDescent="0.25">
      <c r="A1039" s="1"/>
      <c r="B1039" s="2"/>
      <c r="C1039" s="8" t="s">
        <v>1006</v>
      </c>
      <c r="D1039" s="8" t="s">
        <v>9</v>
      </c>
      <c r="E1039" s="8">
        <v>27</v>
      </c>
      <c r="F1039" s="8">
        <v>515.36</v>
      </c>
    </row>
    <row r="1040" spans="1:6" x14ac:dyDescent="0.25">
      <c r="A1040" s="1"/>
      <c r="B1040" s="2"/>
      <c r="C1040" s="8" t="s">
        <v>1007</v>
      </c>
      <c r="D1040" s="8" t="s">
        <v>9</v>
      </c>
      <c r="E1040" s="8">
        <v>88</v>
      </c>
      <c r="F1040" s="8">
        <v>1852.55</v>
      </c>
    </row>
    <row r="1042" spans="1:7" x14ac:dyDescent="0.25">
      <c r="A1042" s="7">
        <v>46278</v>
      </c>
      <c r="B1042" s="8" t="s">
        <v>438</v>
      </c>
      <c r="C1042" s="8" t="s">
        <v>1008</v>
      </c>
      <c r="D1042" s="8" t="s">
        <v>42</v>
      </c>
      <c r="E1042" s="8">
        <v>66</v>
      </c>
      <c r="F1042" s="8">
        <v>1290.67</v>
      </c>
      <c r="G1042" s="7">
        <v>46277</v>
      </c>
    </row>
    <row r="1043" spans="1:6" x14ac:dyDescent="0.25">
      <c r="A1043" s="1"/>
      <c r="B1043" s="2"/>
      <c r="C1043" s="8" t="s">
        <v>1009</v>
      </c>
      <c r="D1043" s="8" t="s">
        <v>42</v>
      </c>
      <c r="E1043" s="8">
        <v>81</v>
      </c>
      <c r="F1043" s="8">
        <v>1390.03</v>
      </c>
    </row>
    <row r="1045" spans="1:7" x14ac:dyDescent="0.25">
      <c r="A1045" s="7">
        <v>46278</v>
      </c>
      <c r="B1045" s="8" t="s">
        <v>10</v>
      </c>
      <c r="C1045" s="8" t="s">
        <v>1010</v>
      </c>
      <c r="D1045" s="8" t="s">
        <v>12</v>
      </c>
      <c r="E1045" s="8">
        <v>77</v>
      </c>
      <c r="F1045" s="8">
        <v>1504.6</v>
      </c>
      <c r="G1045" s="7">
        <v>46277</v>
      </c>
    </row>
    <row r="1046" spans="1:6" x14ac:dyDescent="0.25">
      <c r="A1046" s="1"/>
      <c r="B1046" s="2"/>
      <c r="C1046" s="8" t="s">
        <v>1011</v>
      </c>
      <c r="D1046" s="8" t="s">
        <v>12</v>
      </c>
      <c r="E1046" s="8">
        <v>68</v>
      </c>
      <c r="F1046" s="8">
        <v>1403.01</v>
      </c>
    </row>
    <row r="1048" spans="1:7" x14ac:dyDescent="0.25">
      <c r="A1048" s="7">
        <v>46278</v>
      </c>
      <c r="B1048" s="8" t="s">
        <v>398</v>
      </c>
      <c r="C1048" s="8" t="s">
        <v>1012</v>
      </c>
      <c r="D1048" s="8" t="s">
        <v>12</v>
      </c>
      <c r="E1048" s="8">
        <v>150</v>
      </c>
      <c r="F1048" s="8">
        <v>3043.14</v>
      </c>
      <c r="G1048" s="7">
        <v>46277</v>
      </c>
    </row>
    <row r="1049" spans="1:6" x14ac:dyDescent="0.25">
      <c r="A1049" s="1"/>
      <c r="B1049" s="2"/>
      <c r="C1049" s="8" t="s">
        <v>1013</v>
      </c>
      <c r="D1049" s="8" t="s">
        <v>12</v>
      </c>
      <c r="E1049" s="8">
        <v>150</v>
      </c>
      <c r="F1049" s="8">
        <v>3067.98</v>
      </c>
    </row>
    <row r="1050" spans="1:6" x14ac:dyDescent="0.25">
      <c r="A1050" s="1"/>
      <c r="B1050" s="2"/>
      <c r="C1050" s="8" t="s">
        <v>1014</v>
      </c>
      <c r="D1050" s="8" t="s">
        <v>12</v>
      </c>
      <c r="E1050" s="8">
        <v>78</v>
      </c>
      <c r="F1050" s="8">
        <v>1508.74</v>
      </c>
    </row>
    <row r="1052" spans="1:7" x14ac:dyDescent="0.25">
      <c r="A1052" s="7">
        <v>46278</v>
      </c>
      <c r="B1052" s="8" t="s">
        <v>183</v>
      </c>
      <c r="C1052" s="8" t="s">
        <v>1015</v>
      </c>
      <c r="D1052" s="8" t="s">
        <v>122</v>
      </c>
      <c r="E1052" s="8">
        <v>42</v>
      </c>
      <c r="F1052" s="8">
        <v>743.48</v>
      </c>
      <c r="G1052" s="7">
        <v>46277</v>
      </c>
    </row>
    <row r="1053" spans="1:6" x14ac:dyDescent="0.25">
      <c r="A1053" s="1"/>
      <c r="B1053" s="2"/>
      <c r="C1053" s="8" t="s">
        <v>1016</v>
      </c>
      <c r="D1053" s="8" t="s">
        <v>122</v>
      </c>
      <c r="E1053" s="8">
        <v>81</v>
      </c>
      <c r="F1053" s="8">
        <v>1498.84</v>
      </c>
    </row>
    <row r="1054" spans="1:6" x14ac:dyDescent="0.25">
      <c r="A1054" s="1"/>
      <c r="B1054" s="2"/>
      <c r="C1054" s="8" t="s">
        <v>1017</v>
      </c>
      <c r="D1054" s="8" t="s">
        <v>122</v>
      </c>
      <c r="E1054" s="8">
        <v>86</v>
      </c>
      <c r="F1054" s="8">
        <v>1620.67</v>
      </c>
    </row>
    <row r="1055" spans="1:6" x14ac:dyDescent="0.25">
      <c r="A1055" s="1"/>
      <c r="B1055" s="2"/>
      <c r="C1055" s="8" t="s">
        <v>1018</v>
      </c>
      <c r="D1055" s="8" t="s">
        <v>122</v>
      </c>
      <c r="E1055" s="8">
        <v>56</v>
      </c>
      <c r="F1055" s="8">
        <v>991.05</v>
      </c>
    </row>
    <row r="1056" spans="1:6" x14ac:dyDescent="0.25">
      <c r="A1056" s="1"/>
      <c r="B1056" s="2"/>
      <c r="C1056" s="8" t="s">
        <v>1019</v>
      </c>
      <c r="D1056" s="8" t="s">
        <v>122</v>
      </c>
      <c r="E1056" s="8">
        <v>71</v>
      </c>
      <c r="F1056" s="8">
        <v>1372.88</v>
      </c>
    </row>
    <row r="1057" spans="1:6" x14ac:dyDescent="0.25">
      <c r="A1057" s="1"/>
      <c r="B1057" s="2"/>
      <c r="C1057" s="8" t="s">
        <v>1020</v>
      </c>
      <c r="D1057" s="8" t="s">
        <v>122</v>
      </c>
      <c r="E1057" s="8">
        <v>28</v>
      </c>
      <c r="F1057" s="8">
        <v>487.15</v>
      </c>
    </row>
    <row r="1058" spans="1:6" x14ac:dyDescent="0.25">
      <c r="A1058" s="1"/>
      <c r="B1058" s="2"/>
      <c r="C1058" s="8" t="s">
        <v>1021</v>
      </c>
      <c r="D1058" s="8" t="s">
        <v>122</v>
      </c>
      <c r="E1058" s="8">
        <v>29</v>
      </c>
      <c r="F1058" s="8">
        <v>574.17</v>
      </c>
    </row>
    <row r="1059" spans="1:6" x14ac:dyDescent="0.25">
      <c r="A1059" s="1"/>
      <c r="B1059" s="2"/>
      <c r="C1059" s="8" t="s">
        <v>1022</v>
      </c>
      <c r="D1059" s="8" t="s">
        <v>122</v>
      </c>
      <c r="E1059" s="8">
        <v>13</v>
      </c>
      <c r="F1059" s="8">
        <v>264.67</v>
      </c>
    </row>
    <row r="1060" spans="1:6" x14ac:dyDescent="0.25">
      <c r="A1060" s="1"/>
      <c r="B1060" s="2"/>
      <c r="C1060" s="8" t="s">
        <v>1023</v>
      </c>
      <c r="D1060" s="8" t="s">
        <v>122</v>
      </c>
      <c r="E1060" s="8">
        <v>102</v>
      </c>
      <c r="F1060" s="8">
        <v>1962.59</v>
      </c>
    </row>
    <row r="1061" spans="1:6" x14ac:dyDescent="0.25">
      <c r="A1061" s="1"/>
      <c r="B1061" s="2"/>
      <c r="C1061" s="8" t="s">
        <v>1024</v>
      </c>
      <c r="D1061" s="8" t="s">
        <v>122</v>
      </c>
      <c r="E1061" s="8">
        <v>19</v>
      </c>
      <c r="F1061" s="8">
        <v>353.58</v>
      </c>
    </row>
    <row r="1062" spans="1:6" x14ac:dyDescent="0.25">
      <c r="A1062" s="1"/>
      <c r="B1062" s="2"/>
      <c r="C1062" s="8" t="s">
        <v>1025</v>
      </c>
      <c r="D1062" s="8" t="s">
        <v>122</v>
      </c>
      <c r="E1062" s="8">
        <v>52</v>
      </c>
      <c r="F1062" s="8">
        <v>1131.81</v>
      </c>
    </row>
    <row r="1063" spans="1:6" x14ac:dyDescent="0.25">
      <c r="A1063" s="1"/>
      <c r="B1063" s="2"/>
      <c r="C1063" s="8" t="s">
        <v>1026</v>
      </c>
      <c r="D1063" s="8" t="s">
        <v>122</v>
      </c>
      <c r="E1063" s="8">
        <v>70</v>
      </c>
      <c r="F1063" s="8">
        <v>1368.1</v>
      </c>
    </row>
    <row r="1064" spans="1:6" x14ac:dyDescent="0.25">
      <c r="A1064" s="1"/>
      <c r="B1064" s="2"/>
      <c r="C1064" s="8" t="s">
        <v>1027</v>
      </c>
      <c r="D1064" s="8" t="s">
        <v>122</v>
      </c>
      <c r="E1064" s="8">
        <v>20</v>
      </c>
      <c r="F1064" s="8">
        <v>413.56</v>
      </c>
    </row>
    <row r="1065" spans="1:6" x14ac:dyDescent="0.25">
      <c r="A1065" s="1"/>
      <c r="B1065" s="2"/>
      <c r="C1065" s="8" t="s">
        <v>1028</v>
      </c>
      <c r="D1065" s="8" t="s">
        <v>122</v>
      </c>
      <c r="E1065" s="8">
        <v>114</v>
      </c>
      <c r="F1065" s="8">
        <v>2316.84</v>
      </c>
    </row>
    <row r="1066" spans="1:6" x14ac:dyDescent="0.25">
      <c r="A1066" s="1"/>
      <c r="B1066" s="2"/>
      <c r="C1066" s="8" t="s">
        <v>1029</v>
      </c>
      <c r="D1066" s="8" t="s">
        <v>122</v>
      </c>
      <c r="E1066" s="8">
        <v>121</v>
      </c>
      <c r="F1066" s="8">
        <v>2408.72</v>
      </c>
    </row>
    <row r="1067" spans="1:6" x14ac:dyDescent="0.25">
      <c r="A1067" s="1"/>
      <c r="B1067" s="2"/>
      <c r="C1067" s="8" t="s">
        <v>1030</v>
      </c>
      <c r="D1067" s="8" t="s">
        <v>122</v>
      </c>
      <c r="E1067" s="8">
        <v>122</v>
      </c>
      <c r="F1067" s="8">
        <v>2409.03</v>
      </c>
    </row>
    <row r="1068" spans="1:6" x14ac:dyDescent="0.25">
      <c r="A1068" s="1"/>
      <c r="B1068" s="2"/>
      <c r="C1068" s="8" t="s">
        <v>1031</v>
      </c>
      <c r="D1068" s="8" t="s">
        <v>122</v>
      </c>
      <c r="E1068" s="8">
        <v>190</v>
      </c>
      <c r="F1068" s="8">
        <v>971.33</v>
      </c>
    </row>
    <row r="1069" spans="1:6" x14ac:dyDescent="0.25">
      <c r="A1069" s="1"/>
      <c r="B1069" s="2"/>
      <c r="C1069" s="8" t="s">
        <v>1032</v>
      </c>
      <c r="D1069" s="8" t="s">
        <v>122</v>
      </c>
      <c r="E1069" s="8">
        <v>121</v>
      </c>
      <c r="F1069" s="8">
        <v>2522.26</v>
      </c>
    </row>
    <row r="1070" spans="1:6" x14ac:dyDescent="0.25">
      <c r="A1070" s="1"/>
      <c r="B1070" s="2"/>
      <c r="C1070" s="8" t="s">
        <v>1033</v>
      </c>
      <c r="D1070" s="8" t="s">
        <v>122</v>
      </c>
      <c r="E1070" s="8">
        <v>10</v>
      </c>
      <c r="F1070" s="8">
        <v>186.42</v>
      </c>
    </row>
    <row r="1071" spans="1:6" x14ac:dyDescent="0.25">
      <c r="A1071" s="1"/>
      <c r="B1071" s="2"/>
      <c r="C1071" s="8" t="s">
        <v>1034</v>
      </c>
      <c r="D1071" s="8" t="s">
        <v>122</v>
      </c>
      <c r="E1071" s="8">
        <v>131</v>
      </c>
      <c r="F1071" s="8">
        <v>2690.14</v>
      </c>
    </row>
    <row r="1072" spans="1:6" x14ac:dyDescent="0.25">
      <c r="A1072" s="1"/>
      <c r="B1072" s="2"/>
      <c r="C1072" s="8" t="s">
        <v>1035</v>
      </c>
      <c r="D1072" s="8" t="s">
        <v>122</v>
      </c>
      <c r="E1072" s="8">
        <v>102</v>
      </c>
      <c r="F1072" s="8">
        <v>2177.35</v>
      </c>
    </row>
    <row r="1073" spans="1:6" x14ac:dyDescent="0.25">
      <c r="A1073" s="1"/>
      <c r="B1073" s="2"/>
      <c r="C1073" s="8" t="s">
        <v>1036</v>
      </c>
      <c r="D1073" s="8" t="s">
        <v>122</v>
      </c>
      <c r="E1073" s="8">
        <v>102</v>
      </c>
      <c r="F1073" s="8">
        <v>2096.85</v>
      </c>
    </row>
    <row r="1074" spans="1:6" x14ac:dyDescent="0.25">
      <c r="A1074" s="1"/>
      <c r="B1074" s="2"/>
      <c r="C1074" s="8" t="s">
        <v>1037</v>
      </c>
      <c r="D1074" s="8" t="s">
        <v>122</v>
      </c>
      <c r="E1074" s="8">
        <v>66</v>
      </c>
      <c r="F1074" s="8">
        <v>1336.27</v>
      </c>
    </row>
    <row r="1075" spans="1:6" x14ac:dyDescent="0.25">
      <c r="A1075" s="1"/>
      <c r="B1075" s="2"/>
      <c r="C1075" s="8" t="s">
        <v>1038</v>
      </c>
      <c r="D1075" s="8" t="s">
        <v>122</v>
      </c>
      <c r="E1075" s="8">
        <v>75</v>
      </c>
      <c r="F1075" s="8">
        <v>1598.62</v>
      </c>
    </row>
    <row r="1076" spans="1:6" x14ac:dyDescent="0.25">
      <c r="A1076" s="1"/>
      <c r="B1076" s="2"/>
      <c r="C1076" s="8" t="s">
        <v>1039</v>
      </c>
      <c r="D1076" s="8" t="s">
        <v>122</v>
      </c>
      <c r="E1076" s="8">
        <v>63</v>
      </c>
      <c r="F1076" s="8">
        <v>1273.77</v>
      </c>
    </row>
    <row r="1077" spans="1:6" x14ac:dyDescent="0.25">
      <c r="A1077" s="1"/>
      <c r="B1077" s="2"/>
      <c r="C1077" s="8" t="s">
        <v>1040</v>
      </c>
      <c r="D1077" s="8" t="s">
        <v>122</v>
      </c>
      <c r="E1077" s="8">
        <v>78</v>
      </c>
      <c r="F1077" s="8">
        <v>1598.12</v>
      </c>
    </row>
    <row r="1078" spans="1:6" x14ac:dyDescent="0.25">
      <c r="A1078" s="1"/>
      <c r="B1078" s="2"/>
      <c r="C1078" s="8" t="s">
        <v>1041</v>
      </c>
      <c r="D1078" s="8" t="s">
        <v>122</v>
      </c>
      <c r="E1078" s="8">
        <v>141</v>
      </c>
      <c r="F1078" s="8">
        <v>2817.63</v>
      </c>
    </row>
    <row r="1079" spans="1:6" x14ac:dyDescent="0.25">
      <c r="A1079" s="1"/>
      <c r="B1079" s="2"/>
      <c r="C1079" s="8" t="s">
        <v>1042</v>
      </c>
      <c r="D1079" s="8" t="s">
        <v>122</v>
      </c>
      <c r="E1079" s="8">
        <v>141</v>
      </c>
      <c r="F1079" s="8">
        <v>2753.14</v>
      </c>
    </row>
    <row r="1080" spans="1:6" x14ac:dyDescent="0.25">
      <c r="A1080" s="1"/>
      <c r="B1080" s="2"/>
      <c r="C1080" s="8" t="s">
        <v>1043</v>
      </c>
      <c r="D1080" s="8" t="s">
        <v>122</v>
      </c>
      <c r="E1080" s="8">
        <v>35</v>
      </c>
      <c r="F1080" s="8">
        <v>680.02</v>
      </c>
    </row>
    <row r="1081" spans="1:6" x14ac:dyDescent="0.25">
      <c r="A1081" s="1"/>
      <c r="B1081" s="2"/>
      <c r="C1081" s="8" t="s">
        <v>1044</v>
      </c>
      <c r="D1081" s="8" t="s">
        <v>122</v>
      </c>
      <c r="E1081" s="8">
        <v>57</v>
      </c>
      <c r="F1081" s="8">
        <v>1153.59</v>
      </c>
    </row>
    <row r="1082" spans="1:6" x14ac:dyDescent="0.25">
      <c r="A1082" s="1"/>
      <c r="B1082" s="2"/>
      <c r="C1082" s="8" t="s">
        <v>1045</v>
      </c>
      <c r="D1082" s="8" t="s">
        <v>122</v>
      </c>
      <c r="E1082" s="8">
        <v>49</v>
      </c>
      <c r="F1082" s="8">
        <v>942.46</v>
      </c>
    </row>
    <row r="1083" spans="1:6" x14ac:dyDescent="0.25">
      <c r="A1083" s="1"/>
      <c r="B1083" s="2"/>
      <c r="C1083" s="8" t="s">
        <v>1046</v>
      </c>
      <c r="D1083" s="8" t="s">
        <v>122</v>
      </c>
      <c r="E1083" s="8">
        <v>115</v>
      </c>
      <c r="F1083" s="8">
        <v>2258.76</v>
      </c>
    </row>
    <row r="1084" spans="1:6" x14ac:dyDescent="0.25">
      <c r="A1084" s="1"/>
      <c r="B1084" s="2"/>
      <c r="C1084" s="8" t="s">
        <v>1047</v>
      </c>
      <c r="D1084" s="8" t="s">
        <v>122</v>
      </c>
      <c r="E1084" s="8">
        <v>26</v>
      </c>
      <c r="F1084" s="8">
        <v>516.97</v>
      </c>
    </row>
    <row r="1085" spans="1:6" x14ac:dyDescent="0.25">
      <c r="A1085" s="1"/>
      <c r="B1085" s="2"/>
      <c r="C1085" s="8" t="s">
        <v>1048</v>
      </c>
      <c r="D1085" s="8" t="s">
        <v>122</v>
      </c>
      <c r="E1085" s="8">
        <v>66</v>
      </c>
      <c r="F1085" s="8">
        <v>1290.19</v>
      </c>
    </row>
    <row r="1086" spans="1:6" x14ac:dyDescent="0.25">
      <c r="A1086" s="1"/>
      <c r="B1086" s="2"/>
      <c r="C1086" s="8" t="s">
        <v>1049</v>
      </c>
      <c r="D1086" s="8" t="s">
        <v>122</v>
      </c>
      <c r="E1086" s="8">
        <v>75</v>
      </c>
      <c r="F1086" s="8">
        <v>1465.73</v>
      </c>
    </row>
    <row r="1087" spans="1:6" x14ac:dyDescent="0.25">
      <c r="A1087" s="1"/>
      <c r="B1087" s="2"/>
      <c r="C1087" s="8" t="s">
        <v>1050</v>
      </c>
      <c r="D1087" s="8" t="s">
        <v>122</v>
      </c>
      <c r="E1087" s="8">
        <v>71</v>
      </c>
      <c r="F1087" s="8">
        <v>1427.78</v>
      </c>
    </row>
    <row r="1088" spans="1:6" x14ac:dyDescent="0.25">
      <c r="A1088" s="1"/>
      <c r="B1088" s="2"/>
      <c r="C1088" s="8" t="s">
        <v>1051</v>
      </c>
      <c r="D1088" s="8" t="s">
        <v>122</v>
      </c>
      <c r="E1088" s="8">
        <v>17</v>
      </c>
      <c r="F1088" s="8">
        <v>325.16</v>
      </c>
    </row>
    <row r="1089" spans="1:6" x14ac:dyDescent="0.25">
      <c r="A1089" s="1"/>
      <c r="B1089" s="2"/>
      <c r="C1089" s="8" t="s">
        <v>1052</v>
      </c>
      <c r="D1089" s="8" t="s">
        <v>122</v>
      </c>
      <c r="E1089" s="8">
        <v>14</v>
      </c>
      <c r="F1089" s="8">
        <v>264.05</v>
      </c>
    </row>
    <row r="1090" spans="1:6" x14ac:dyDescent="0.25">
      <c r="A1090" s="1"/>
      <c r="B1090" s="2"/>
      <c r="C1090" s="8" t="s">
        <v>1053</v>
      </c>
      <c r="D1090" s="8" t="s">
        <v>122</v>
      </c>
      <c r="E1090" s="8">
        <v>51</v>
      </c>
      <c r="F1090" s="8">
        <v>1639.12</v>
      </c>
    </row>
    <row r="1091" spans="1:6" x14ac:dyDescent="0.25">
      <c r="A1091" s="1"/>
      <c r="B1091" s="2"/>
      <c r="C1091" s="8" t="s">
        <v>1054</v>
      </c>
      <c r="D1091" s="8" t="s">
        <v>122</v>
      </c>
      <c r="E1091" s="8">
        <v>75</v>
      </c>
      <c r="F1091" s="8">
        <v>1513.51</v>
      </c>
    </row>
    <row r="1093" spans="1:7" x14ac:dyDescent="0.25">
      <c r="A1093" s="7">
        <v>46277</v>
      </c>
      <c r="B1093" s="8" t="s">
        <v>503</v>
      </c>
      <c r="C1093" s="8" t="s">
        <v>1055</v>
      </c>
      <c r="D1093" s="8" t="s">
        <v>42</v>
      </c>
      <c r="E1093" s="8">
        <v>102</v>
      </c>
      <c r="F1093" s="8">
        <v>1306.06</v>
      </c>
      <c r="G1093" s="7">
        <v>46277</v>
      </c>
    </row>
    <row r="1095" spans="1:7" x14ac:dyDescent="0.25">
      <c r="A1095" s="7">
        <v>46277</v>
      </c>
      <c r="B1095" s="8" t="s">
        <v>453</v>
      </c>
      <c r="C1095" s="8" t="s">
        <v>824</v>
      </c>
      <c r="D1095" s="8" t="s">
        <v>204</v>
      </c>
      <c r="E1095" s="8">
        <v>105</v>
      </c>
      <c r="F1095" s="8">
        <v>2127.15</v>
      </c>
      <c r="G1095" s="7">
        <v>46277</v>
      </c>
    </row>
    <row r="1096" spans="1:6" x14ac:dyDescent="0.25">
      <c r="A1096" s="1"/>
      <c r="B1096" s="2"/>
      <c r="C1096" s="8" t="s">
        <v>1056</v>
      </c>
      <c r="D1096" s="8" t="s">
        <v>216</v>
      </c>
      <c r="E1096" s="8">
        <v>42</v>
      </c>
      <c r="F1096" s="8">
        <v>767.81</v>
      </c>
    </row>
    <row r="1097" spans="1:6" x14ac:dyDescent="0.25">
      <c r="A1097" s="1"/>
      <c r="B1097" s="2"/>
      <c r="C1097" s="8" t="s">
        <v>1057</v>
      </c>
      <c r="D1097" s="8" t="s">
        <v>216</v>
      </c>
      <c r="E1097" s="8">
        <v>134</v>
      </c>
      <c r="F1097" s="8">
        <v>2787.48</v>
      </c>
    </row>
    <row r="1098" spans="1:6" x14ac:dyDescent="0.25">
      <c r="A1098" s="1"/>
      <c r="B1098" s="2"/>
      <c r="C1098" s="8" t="s">
        <v>825</v>
      </c>
      <c r="D1098" s="8" t="s">
        <v>204</v>
      </c>
      <c r="E1098" s="8">
        <v>105</v>
      </c>
      <c r="F1098" s="8">
        <v>1977.31</v>
      </c>
    </row>
    <row r="1099" spans="1:6" x14ac:dyDescent="0.25">
      <c r="A1099" s="1"/>
      <c r="B1099" s="2"/>
      <c r="C1099" s="8" t="s">
        <v>1058</v>
      </c>
      <c r="D1099" s="8" t="s">
        <v>214</v>
      </c>
      <c r="E1099" s="8">
        <v>156</v>
      </c>
      <c r="F1099" s="8">
        <v>3201.96</v>
      </c>
    </row>
    <row r="1100" spans="1:6" x14ac:dyDescent="0.25">
      <c r="A1100" s="1"/>
      <c r="B1100" s="2"/>
      <c r="C1100" s="8" t="s">
        <v>1059</v>
      </c>
      <c r="D1100" s="8" t="s">
        <v>214</v>
      </c>
      <c r="E1100" s="8">
        <v>100</v>
      </c>
      <c r="F1100" s="8">
        <v>2022.53</v>
      </c>
    </row>
    <row r="1101" spans="1:6" x14ac:dyDescent="0.25">
      <c r="A1101" s="1"/>
      <c r="B1101" s="2"/>
      <c r="C1101" s="8" t="s">
        <v>1060</v>
      </c>
      <c r="D1101" s="8" t="s">
        <v>214</v>
      </c>
      <c r="E1101" s="8">
        <v>56</v>
      </c>
      <c r="F1101" s="8">
        <v>1107.33</v>
      </c>
    </row>
    <row r="1102" spans="1:6" x14ac:dyDescent="0.25">
      <c r="A1102" s="1"/>
      <c r="B1102" s="2"/>
      <c r="C1102" s="8" t="s">
        <v>1061</v>
      </c>
      <c r="D1102" s="8" t="s">
        <v>204</v>
      </c>
      <c r="E1102" s="8">
        <v>106</v>
      </c>
      <c r="F1102" s="8">
        <v>960.64</v>
      </c>
    </row>
    <row r="1103" spans="1:6" x14ac:dyDescent="0.25">
      <c r="A1103" s="1"/>
      <c r="B1103" s="2"/>
      <c r="C1103" s="8" t="s">
        <v>1062</v>
      </c>
      <c r="D1103" s="8" t="s">
        <v>236</v>
      </c>
      <c r="E1103" s="8">
        <v>62</v>
      </c>
      <c r="F1103" s="8">
        <v>1193.92</v>
      </c>
    </row>
    <row r="1104" spans="1:6" x14ac:dyDescent="0.25">
      <c r="A1104" s="1"/>
      <c r="B1104" s="2"/>
      <c r="C1104" s="8" t="s">
        <v>1063</v>
      </c>
      <c r="D1104" s="8" t="s">
        <v>236</v>
      </c>
      <c r="E1104" s="8">
        <v>80</v>
      </c>
      <c r="F1104" s="8">
        <v>1592.79</v>
      </c>
    </row>
    <row r="1105" spans="1:6" x14ac:dyDescent="0.25">
      <c r="A1105" s="1"/>
      <c r="B1105" s="2"/>
      <c r="C1105" s="8" t="s">
        <v>1064</v>
      </c>
      <c r="D1105" s="8" t="s">
        <v>204</v>
      </c>
      <c r="E1105" s="8">
        <v>134</v>
      </c>
      <c r="F1105" s="8">
        <v>2742.3</v>
      </c>
    </row>
    <row r="1106" spans="1:6" x14ac:dyDescent="0.25">
      <c r="A1106" s="1"/>
      <c r="B1106" s="2"/>
      <c r="C1106" s="8" t="s">
        <v>1065</v>
      </c>
      <c r="D1106" s="8" t="s">
        <v>204</v>
      </c>
      <c r="E1106" s="8">
        <v>134</v>
      </c>
      <c r="F1106" s="8">
        <v>2608.42</v>
      </c>
    </row>
    <row r="1107" spans="1:6" x14ac:dyDescent="0.25">
      <c r="A1107" s="1"/>
      <c r="B1107" s="2"/>
      <c r="C1107" s="8" t="s">
        <v>1066</v>
      </c>
      <c r="D1107" s="8" t="s">
        <v>204</v>
      </c>
      <c r="E1107" s="8">
        <v>134</v>
      </c>
      <c r="F1107" s="8">
        <v>2722.72</v>
      </c>
    </row>
    <row r="1108" spans="1:6" x14ac:dyDescent="0.25">
      <c r="A1108" s="1"/>
      <c r="B1108" s="2"/>
      <c r="C1108" s="8" t="s">
        <v>1067</v>
      </c>
      <c r="D1108" s="8" t="s">
        <v>204</v>
      </c>
      <c r="E1108" s="8">
        <v>105</v>
      </c>
      <c r="F1108" s="8">
        <v>2122.89</v>
      </c>
    </row>
    <row r="1109" spans="1:6" x14ac:dyDescent="0.25">
      <c r="A1109" s="1"/>
      <c r="B1109" s="2"/>
      <c r="C1109" s="8" t="s">
        <v>1068</v>
      </c>
      <c r="D1109" s="8" t="s">
        <v>204</v>
      </c>
      <c r="E1109" s="8">
        <v>93</v>
      </c>
      <c r="F1109" s="8">
        <v>2177.29</v>
      </c>
    </row>
    <row r="1110" spans="1:6" x14ac:dyDescent="0.25">
      <c r="A1110" s="1"/>
      <c r="B1110" s="2"/>
      <c r="C1110" s="8" t="s">
        <v>1069</v>
      </c>
      <c r="D1110" s="8" t="s">
        <v>204</v>
      </c>
      <c r="E1110" s="8">
        <v>105</v>
      </c>
      <c r="F1110" s="8">
        <v>2026.6</v>
      </c>
    </row>
    <row r="1111" spans="1:6" x14ac:dyDescent="0.25">
      <c r="A1111" s="1"/>
      <c r="B1111" s="2"/>
      <c r="C1111" s="8" t="s">
        <v>1070</v>
      </c>
      <c r="D1111" s="8" t="s">
        <v>342</v>
      </c>
      <c r="E1111" s="8">
        <v>29</v>
      </c>
      <c r="F1111" s="8">
        <v>472.65</v>
      </c>
    </row>
    <row r="1112" spans="1:6" x14ac:dyDescent="0.25">
      <c r="A1112" s="1"/>
      <c r="B1112" s="2"/>
      <c r="C1112" s="8" t="s">
        <v>1071</v>
      </c>
      <c r="D1112" s="8" t="s">
        <v>214</v>
      </c>
      <c r="E1112" s="8">
        <v>56</v>
      </c>
      <c r="F1112" s="8">
        <v>1087.49</v>
      </c>
    </row>
    <row r="1113" spans="1:6" x14ac:dyDescent="0.25">
      <c r="A1113" s="1"/>
      <c r="B1113" s="2"/>
      <c r="C1113" s="8" t="s">
        <v>1072</v>
      </c>
      <c r="D1113" s="8" t="s">
        <v>214</v>
      </c>
      <c r="E1113" s="8">
        <v>100</v>
      </c>
      <c r="F1113" s="8">
        <v>1877.17</v>
      </c>
    </row>
    <row r="1114" spans="1:6" x14ac:dyDescent="0.25">
      <c r="A1114" s="1"/>
      <c r="B1114" s="2"/>
      <c r="C1114" s="8" t="s">
        <v>1073</v>
      </c>
      <c r="D1114" s="8" t="s">
        <v>342</v>
      </c>
      <c r="E1114" s="8">
        <v>76</v>
      </c>
      <c r="F1114" s="8">
        <v>1330.44</v>
      </c>
    </row>
    <row r="1115" spans="1:6" x14ac:dyDescent="0.25">
      <c r="A1115" s="1"/>
      <c r="B1115" s="2"/>
      <c r="C1115" s="8" t="s">
        <v>1074</v>
      </c>
      <c r="D1115" s="8" t="s">
        <v>347</v>
      </c>
      <c r="E1115" s="8">
        <v>56</v>
      </c>
      <c r="F1115" s="8">
        <v>1084.29</v>
      </c>
    </row>
    <row r="1116" spans="1:6" x14ac:dyDescent="0.25">
      <c r="A1116" s="1"/>
      <c r="B1116" s="2"/>
      <c r="C1116" s="8" t="s">
        <v>1075</v>
      </c>
      <c r="D1116" s="8" t="s">
        <v>347</v>
      </c>
      <c r="E1116" s="8">
        <v>100</v>
      </c>
      <c r="F1116" s="8">
        <v>1945.67</v>
      </c>
    </row>
    <row r="1117" spans="1:6" x14ac:dyDescent="0.25">
      <c r="A1117" s="1"/>
      <c r="B1117" s="2"/>
      <c r="C1117" s="8" t="s">
        <v>1076</v>
      </c>
      <c r="D1117" s="8" t="s">
        <v>347</v>
      </c>
      <c r="E1117" s="8">
        <v>100</v>
      </c>
      <c r="F1117" s="8">
        <v>1815.18</v>
      </c>
    </row>
    <row r="1118" spans="1:6" x14ac:dyDescent="0.25">
      <c r="A1118" s="1"/>
      <c r="B1118" s="2"/>
      <c r="C1118" s="8" t="s">
        <v>1077</v>
      </c>
      <c r="D1118" s="8" t="s">
        <v>347</v>
      </c>
      <c r="E1118" s="8">
        <v>56</v>
      </c>
      <c r="F1118" s="8">
        <v>1068.51</v>
      </c>
    </row>
    <row r="1119" spans="1:6" x14ac:dyDescent="0.25">
      <c r="A1119" s="1"/>
      <c r="B1119" s="2"/>
      <c r="C1119" s="8" t="s">
        <v>1078</v>
      </c>
      <c r="D1119" s="8" t="s">
        <v>236</v>
      </c>
      <c r="E1119" s="8">
        <v>76</v>
      </c>
      <c r="F1119" s="8">
        <v>1493.63</v>
      </c>
    </row>
    <row r="1120" spans="1:6" x14ac:dyDescent="0.25">
      <c r="A1120" s="1"/>
      <c r="B1120" s="2"/>
      <c r="C1120" s="8" t="s">
        <v>1079</v>
      </c>
      <c r="D1120" s="8" t="s">
        <v>236</v>
      </c>
      <c r="E1120" s="8">
        <v>80</v>
      </c>
      <c r="F1120" s="8">
        <v>1556.74</v>
      </c>
    </row>
    <row r="1121" spans="1:6" x14ac:dyDescent="0.25">
      <c r="A1121" s="1"/>
      <c r="B1121" s="2"/>
      <c r="C1121" s="8" t="s">
        <v>1080</v>
      </c>
      <c r="D1121" s="8" t="s">
        <v>214</v>
      </c>
      <c r="E1121" s="8">
        <v>100</v>
      </c>
      <c r="F1121" s="8">
        <v>1993.34</v>
      </c>
    </row>
    <row r="1122" spans="1:6" x14ac:dyDescent="0.25">
      <c r="A1122" s="1"/>
      <c r="B1122" s="2"/>
      <c r="C1122" s="8" t="s">
        <v>1081</v>
      </c>
      <c r="D1122" s="8" t="s">
        <v>214</v>
      </c>
      <c r="E1122" s="8">
        <v>56</v>
      </c>
      <c r="F1122" s="8">
        <v>1148.55</v>
      </c>
    </row>
    <row r="1123" spans="1:6" x14ac:dyDescent="0.25">
      <c r="A1123" s="1"/>
      <c r="B1123" s="2"/>
      <c r="C1123" s="8" t="s">
        <v>1082</v>
      </c>
      <c r="D1123" s="8" t="s">
        <v>236</v>
      </c>
      <c r="E1123" s="8">
        <v>60</v>
      </c>
      <c r="F1123" s="8">
        <v>1083.42</v>
      </c>
    </row>
    <row r="1124" spans="1:6" x14ac:dyDescent="0.25">
      <c r="A1124" s="1"/>
      <c r="B1124" s="2"/>
      <c r="C1124" s="8" t="s">
        <v>1083</v>
      </c>
      <c r="D1124" s="8" t="s">
        <v>236</v>
      </c>
      <c r="E1124" s="8">
        <v>36</v>
      </c>
      <c r="F1124" s="8">
        <v>654.01</v>
      </c>
    </row>
    <row r="1125" spans="1:6" x14ac:dyDescent="0.25">
      <c r="A1125" s="1"/>
      <c r="B1125" s="2"/>
      <c r="C1125" s="8" t="s">
        <v>1084</v>
      </c>
      <c r="D1125" s="8" t="s">
        <v>236</v>
      </c>
      <c r="E1125" s="8">
        <v>60</v>
      </c>
      <c r="F1125" s="8">
        <v>1113.91</v>
      </c>
    </row>
    <row r="1126" spans="1:6" x14ac:dyDescent="0.25">
      <c r="A1126" s="1"/>
      <c r="B1126" s="2"/>
      <c r="C1126" s="8" t="s">
        <v>1085</v>
      </c>
      <c r="D1126" s="8" t="s">
        <v>216</v>
      </c>
      <c r="E1126" s="8">
        <v>156</v>
      </c>
      <c r="F1126" s="8">
        <v>3243.37</v>
      </c>
    </row>
    <row r="1127" spans="1:6" x14ac:dyDescent="0.25">
      <c r="A1127" s="1"/>
      <c r="B1127" s="2"/>
      <c r="C1127" s="8" t="s">
        <v>1086</v>
      </c>
      <c r="D1127" s="8" t="s">
        <v>216</v>
      </c>
      <c r="E1127" s="8">
        <v>95</v>
      </c>
      <c r="F1127" s="8">
        <v>1973.55</v>
      </c>
    </row>
    <row r="1128" spans="1:6" x14ac:dyDescent="0.25">
      <c r="A1128" s="1"/>
      <c r="B1128" s="2"/>
      <c r="C1128" s="8" t="s">
        <v>1087</v>
      </c>
      <c r="D1128" s="8" t="s">
        <v>204</v>
      </c>
      <c r="E1128" s="8">
        <v>163</v>
      </c>
      <c r="F1128" s="8">
        <v>3041.45</v>
      </c>
    </row>
    <row r="1129" spans="1:6" x14ac:dyDescent="0.25">
      <c r="A1129" s="1"/>
      <c r="B1129" s="2"/>
      <c r="C1129" s="8" t="s">
        <v>1088</v>
      </c>
      <c r="D1129" s="8" t="s">
        <v>204</v>
      </c>
      <c r="E1129" s="8">
        <v>105</v>
      </c>
      <c r="F1129" s="8">
        <v>2073.99</v>
      </c>
    </row>
    <row r="1130" spans="1:7" x14ac:dyDescent="0.25">
      <c r="A1130" s="7">
        <v>46274</v>
      </c>
      <c r="B1130" s="8" t="s">
        <v>212</v>
      </c>
      <c r="C1130" s="8" t="s">
        <v>1089</v>
      </c>
      <c r="D1130" s="8" t="s">
        <v>204</v>
      </c>
      <c r="E1130" s="8">
        <v>85</v>
      </c>
      <c r="F1130" s="8">
        <v>1174.69</v>
      </c>
      <c r="G1130" s="7">
        <v>46277</v>
      </c>
    </row>
    <row r="1131" spans="1:6" x14ac:dyDescent="0.25">
      <c r="A1131" s="1"/>
      <c r="B1131" s="2"/>
      <c r="C1131" s="8" t="s">
        <v>1090</v>
      </c>
      <c r="D1131" s="8" t="s">
        <v>347</v>
      </c>
      <c r="E1131" s="8">
        <v>33</v>
      </c>
      <c r="F1131" s="8">
        <v>639.71</v>
      </c>
    </row>
    <row r="1132" spans="1:6" x14ac:dyDescent="0.25">
      <c r="A1132" s="1"/>
      <c r="B1132" s="2"/>
      <c r="C1132" s="8" t="s">
        <v>1091</v>
      </c>
      <c r="D1132" s="8" t="s">
        <v>347</v>
      </c>
      <c r="E1132" s="8">
        <v>23</v>
      </c>
      <c r="F1132" s="8">
        <v>447.05</v>
      </c>
    </row>
    <row r="1133" spans="1:6" x14ac:dyDescent="0.25">
      <c r="A1133" s="1"/>
      <c r="B1133" s="2"/>
      <c r="C1133" s="8" t="s">
        <v>1092</v>
      </c>
      <c r="D1133" s="8" t="s">
        <v>347</v>
      </c>
      <c r="E1133" s="8">
        <v>100</v>
      </c>
      <c r="F1133" s="8">
        <v>1842.08</v>
      </c>
    </row>
    <row r="1134" spans="1:7" x14ac:dyDescent="0.25">
      <c r="A1134" s="7">
        <v>46273</v>
      </c>
      <c r="B1134" s="8" t="s">
        <v>238</v>
      </c>
      <c r="C1134" s="8" t="s">
        <v>1093</v>
      </c>
      <c r="D1134" s="8" t="s">
        <v>204</v>
      </c>
      <c r="E1134" s="8">
        <v>163</v>
      </c>
      <c r="F1134" s="8">
        <v>3210.72</v>
      </c>
      <c r="G1134" s="7">
        <v>46277</v>
      </c>
    </row>
    <row r="1136" spans="1:7" x14ac:dyDescent="0.25">
      <c r="A1136" s="7">
        <v>46277</v>
      </c>
      <c r="B1136" s="8" t="s">
        <v>453</v>
      </c>
      <c r="C1136" s="8" t="s">
        <v>1094</v>
      </c>
      <c r="D1136" s="8" t="s">
        <v>216</v>
      </c>
      <c r="E1136" s="8">
        <v>133</v>
      </c>
      <c r="F1136" s="8">
        <v>2298</v>
      </c>
      <c r="G1136" s="7">
        <v>46277</v>
      </c>
    </row>
    <row r="1137" spans="1:6" x14ac:dyDescent="0.25">
      <c r="A1137" s="1"/>
      <c r="B1137" s="2"/>
      <c r="C1137" s="8" t="s">
        <v>1095</v>
      </c>
      <c r="D1137" s="8" t="s">
        <v>216</v>
      </c>
      <c r="E1137" s="8">
        <v>16</v>
      </c>
      <c r="F1137" s="8">
        <v>204</v>
      </c>
    </row>
    <row r="1138" spans="1:6" x14ac:dyDescent="0.25">
      <c r="A1138" s="1"/>
      <c r="B1138" s="2"/>
      <c r="C1138" s="8" t="s">
        <v>1096</v>
      </c>
      <c r="D1138" s="8" t="s">
        <v>297</v>
      </c>
      <c r="E1138" s="8">
        <v>105</v>
      </c>
      <c r="F1138" s="8">
        <v>2092</v>
      </c>
    </row>
    <row r="1139" spans="1:6" x14ac:dyDescent="0.25">
      <c r="A1139" s="1"/>
      <c r="B1139" s="2"/>
      <c r="C1139" s="8" t="s">
        <v>1097</v>
      </c>
      <c r="D1139" s="8" t="s">
        <v>216</v>
      </c>
      <c r="E1139" s="8">
        <v>105</v>
      </c>
      <c r="F1139" s="8">
        <v>1815</v>
      </c>
    </row>
    <row r="1140" spans="1:6" x14ac:dyDescent="0.25">
      <c r="A1140" s="1"/>
      <c r="B1140" s="2"/>
      <c r="C1140" s="8" t="s">
        <v>1098</v>
      </c>
      <c r="D1140" s="8" t="s">
        <v>297</v>
      </c>
      <c r="E1140" s="8">
        <v>156</v>
      </c>
      <c r="F1140" s="8">
        <v>3043</v>
      </c>
    </row>
    <row r="1141" spans="1:6" x14ac:dyDescent="0.25">
      <c r="A1141" s="1"/>
      <c r="B1141" s="2"/>
      <c r="C1141" s="8" t="s">
        <v>1099</v>
      </c>
      <c r="D1141" s="8" t="s">
        <v>204</v>
      </c>
      <c r="E1141" s="8">
        <v>140</v>
      </c>
      <c r="F1141" s="8">
        <v>2611</v>
      </c>
    </row>
    <row r="1142" spans="1:6" x14ac:dyDescent="0.25">
      <c r="A1142" s="1"/>
      <c r="B1142" s="2"/>
      <c r="C1142" s="8" t="s">
        <v>1100</v>
      </c>
      <c r="D1142" s="8" t="s">
        <v>204</v>
      </c>
      <c r="E1142" s="8">
        <v>16</v>
      </c>
      <c r="F1142" s="8">
        <v>272</v>
      </c>
    </row>
    <row r="1144" spans="1:7" x14ac:dyDescent="0.25">
      <c r="A1144" s="7">
        <v>46277</v>
      </c>
      <c r="B1144" s="8" t="s">
        <v>1101</v>
      </c>
      <c r="C1144" s="8" t="s">
        <v>1102</v>
      </c>
      <c r="D1144" s="8" t="s">
        <v>20</v>
      </c>
      <c r="E1144" s="8">
        <v>156</v>
      </c>
      <c r="F1144" s="8">
        <v>2978.33</v>
      </c>
      <c r="G1144" s="7">
        <v>46276</v>
      </c>
    </row>
    <row r="1145" spans="1:6" x14ac:dyDescent="0.25">
      <c r="A1145" s="1"/>
      <c r="B1145" s="2"/>
      <c r="C1145" s="8" t="s">
        <v>1103</v>
      </c>
      <c r="D1145" s="8" t="s">
        <v>20</v>
      </c>
      <c r="E1145" s="8">
        <v>156</v>
      </c>
      <c r="F1145" s="8">
        <v>2895.99</v>
      </c>
    </row>
    <row r="1146" spans="1:6" x14ac:dyDescent="0.25">
      <c r="A1146" s="1"/>
      <c r="B1146" s="2"/>
      <c r="C1146" s="8" t="s">
        <v>1104</v>
      </c>
      <c r="D1146" s="8" t="s">
        <v>20</v>
      </c>
      <c r="E1146" s="8">
        <v>105</v>
      </c>
      <c r="F1146" s="8">
        <v>1996.59</v>
      </c>
    </row>
    <row r="1147" spans="1:6" x14ac:dyDescent="0.25">
      <c r="A1147" s="1"/>
      <c r="B1147" s="2"/>
      <c r="C1147" s="8" t="s">
        <v>1105</v>
      </c>
      <c r="D1147" s="8" t="s">
        <v>20</v>
      </c>
      <c r="E1147" s="8">
        <v>156</v>
      </c>
      <c r="F1147" s="8">
        <v>3008.18</v>
      </c>
    </row>
    <row r="1148" spans="1:6" x14ac:dyDescent="0.25">
      <c r="A1148" s="1"/>
      <c r="B1148" s="2"/>
      <c r="C1148" s="8" t="s">
        <v>1106</v>
      </c>
      <c r="D1148" s="8" t="s">
        <v>20</v>
      </c>
      <c r="E1148" s="8">
        <v>105</v>
      </c>
      <c r="F1148" s="8">
        <v>2108.26</v>
      </c>
    </row>
    <row r="1149" spans="1:6" x14ac:dyDescent="0.25">
      <c r="A1149" s="1"/>
      <c r="B1149" s="2"/>
      <c r="C1149" s="8" t="s">
        <v>1107</v>
      </c>
      <c r="D1149" s="8" t="s">
        <v>20</v>
      </c>
      <c r="E1149" s="8">
        <v>259</v>
      </c>
      <c r="F1149" s="8">
        <v>4782.69</v>
      </c>
    </row>
    <row r="1150" spans="1:6" x14ac:dyDescent="0.25">
      <c r="A1150" s="1"/>
      <c r="B1150" s="2"/>
      <c r="C1150" s="8" t="s">
        <v>1108</v>
      </c>
      <c r="D1150" s="8" t="s">
        <v>20</v>
      </c>
      <c r="E1150" s="8">
        <v>156</v>
      </c>
      <c r="F1150" s="8">
        <v>3094.67</v>
      </c>
    </row>
    <row r="1151" spans="1:6" x14ac:dyDescent="0.25">
      <c r="A1151" s="1"/>
      <c r="B1151" s="2"/>
      <c r="C1151" s="8" t="s">
        <v>1109</v>
      </c>
      <c r="D1151" s="8" t="s">
        <v>20</v>
      </c>
      <c r="E1151" s="8">
        <v>84</v>
      </c>
      <c r="F1151" s="8">
        <v>1649.27</v>
      </c>
    </row>
    <row r="1152" spans="1:6" x14ac:dyDescent="0.25">
      <c r="A1152" s="1"/>
      <c r="B1152" s="2"/>
      <c r="C1152" s="8" t="s">
        <v>1110</v>
      </c>
      <c r="D1152" s="8" t="s">
        <v>20</v>
      </c>
      <c r="E1152" s="8">
        <v>133</v>
      </c>
      <c r="F1152" s="8">
        <v>2563.23</v>
      </c>
    </row>
    <row r="1153" spans="1:6" x14ac:dyDescent="0.25">
      <c r="A1153" s="1"/>
      <c r="B1153" s="2"/>
      <c r="C1153" s="8" t="s">
        <v>1111</v>
      </c>
      <c r="D1153" s="8" t="s">
        <v>20</v>
      </c>
      <c r="E1153" s="8">
        <v>105</v>
      </c>
      <c r="F1153" s="8">
        <v>1940.59</v>
      </c>
    </row>
    <row r="1155" spans="1:7" x14ac:dyDescent="0.25">
      <c r="A1155" s="7">
        <v>46277</v>
      </c>
      <c r="B1155" s="8" t="s">
        <v>10</v>
      </c>
      <c r="C1155" s="8" t="s">
        <v>1112</v>
      </c>
      <c r="D1155" s="8" t="s">
        <v>12</v>
      </c>
      <c r="E1155" s="8">
        <v>85</v>
      </c>
      <c r="F1155" s="8">
        <v>1808.51</v>
      </c>
      <c r="G1155" s="7">
        <v>46276</v>
      </c>
    </row>
    <row r="1156" spans="1:6" x14ac:dyDescent="0.25">
      <c r="A1156" s="1"/>
      <c r="B1156" s="2"/>
      <c r="C1156" s="8" t="s">
        <v>1113</v>
      </c>
      <c r="D1156" s="8" t="s">
        <v>12</v>
      </c>
      <c r="E1156" s="8">
        <v>85</v>
      </c>
      <c r="F1156" s="8">
        <v>1809.39</v>
      </c>
    </row>
    <row r="1158" spans="1:7" x14ac:dyDescent="0.25">
      <c r="A1158" s="7">
        <v>46276</v>
      </c>
      <c r="B1158" s="8" t="s">
        <v>7</v>
      </c>
      <c r="C1158" s="8" t="s">
        <v>1114</v>
      </c>
      <c r="D1158" s="8" t="s">
        <v>9</v>
      </c>
      <c r="E1158" s="8">
        <v>100</v>
      </c>
      <c r="F1158" s="8">
        <v>2057.95</v>
      </c>
      <c r="G1158" s="7">
        <v>46276</v>
      </c>
    </row>
    <row r="1160" spans="1:7" x14ac:dyDescent="0.25">
      <c r="A1160" s="7">
        <v>46276</v>
      </c>
      <c r="B1160" s="8" t="s">
        <v>10</v>
      </c>
      <c r="C1160" s="8" t="s">
        <v>1115</v>
      </c>
      <c r="D1160" s="8" t="s">
        <v>12</v>
      </c>
      <c r="E1160" s="8">
        <v>70</v>
      </c>
      <c r="F1160" s="8">
        <v>1206.09</v>
      </c>
      <c r="G1160" s="7">
        <v>46275</v>
      </c>
    </row>
    <row r="1161" spans="1:6" x14ac:dyDescent="0.25">
      <c r="A1161" s="1"/>
      <c r="B1161" s="2"/>
      <c r="C1161" s="8" t="s">
        <v>1116</v>
      </c>
      <c r="D1161" s="8" t="s">
        <v>12</v>
      </c>
      <c r="E1161" s="8">
        <v>85</v>
      </c>
      <c r="F1161" s="8">
        <v>1756.93</v>
      </c>
    </row>
    <row r="1163" spans="1:7" x14ac:dyDescent="0.25">
      <c r="A1163" s="7">
        <v>46276</v>
      </c>
      <c r="B1163" s="8" t="s">
        <v>14</v>
      </c>
      <c r="C1163" s="8" t="s">
        <v>1117</v>
      </c>
      <c r="D1163" s="8" t="s">
        <v>12</v>
      </c>
      <c r="E1163" s="8">
        <v>150</v>
      </c>
      <c r="F1163" s="8">
        <v>3040.91</v>
      </c>
      <c r="G1163" s="7">
        <v>46275</v>
      </c>
    </row>
    <row r="1164" spans="1:6" x14ac:dyDescent="0.25">
      <c r="A1164" s="1"/>
      <c r="B1164" s="2"/>
      <c r="C1164" s="8" t="s">
        <v>1118</v>
      </c>
      <c r="D1164" s="8" t="s">
        <v>12</v>
      </c>
      <c r="E1164" s="8">
        <v>150</v>
      </c>
      <c r="F1164" s="8">
        <v>3207.77</v>
      </c>
    </row>
    <row r="1165" spans="1:6" x14ac:dyDescent="0.25">
      <c r="A1165" s="1"/>
      <c r="B1165" s="2"/>
      <c r="C1165" s="8" t="s">
        <v>1119</v>
      </c>
      <c r="D1165" s="8" t="s">
        <v>12</v>
      </c>
      <c r="E1165" s="8">
        <v>75</v>
      </c>
      <c r="F1165" s="8">
        <v>1564.17</v>
      </c>
    </row>
    <row r="1167" spans="1:7" x14ac:dyDescent="0.25">
      <c r="A1167" s="7">
        <v>46276</v>
      </c>
      <c r="B1167" s="8" t="s">
        <v>120</v>
      </c>
      <c r="C1167" s="8" t="s">
        <v>1120</v>
      </c>
      <c r="D1167" s="8" t="s">
        <v>122</v>
      </c>
      <c r="E1167" s="8">
        <v>11</v>
      </c>
      <c r="F1167" s="8">
        <v>212.51</v>
      </c>
      <c r="G1167" s="7">
        <v>46275</v>
      </c>
    </row>
    <row r="1168" spans="1:6" x14ac:dyDescent="0.25">
      <c r="A1168" s="1"/>
      <c r="B1168" s="2"/>
      <c r="C1168" s="8" t="s">
        <v>1121</v>
      </c>
      <c r="D1168" s="8" t="s">
        <v>122</v>
      </c>
      <c r="E1168" s="8">
        <v>110</v>
      </c>
      <c r="F1168" s="8">
        <v>2228.9</v>
      </c>
    </row>
    <row r="1169" spans="1:6" x14ac:dyDescent="0.25">
      <c r="A1169" s="1"/>
      <c r="B1169" s="2"/>
      <c r="C1169" s="8" t="s">
        <v>1122</v>
      </c>
      <c r="D1169" s="8" t="s">
        <v>122</v>
      </c>
      <c r="E1169" s="8">
        <v>40</v>
      </c>
      <c r="F1169" s="8">
        <v>851.3</v>
      </c>
    </row>
    <row r="1170" spans="1:6" x14ac:dyDescent="0.25">
      <c r="A1170" s="1"/>
      <c r="B1170" s="2"/>
      <c r="C1170" s="8" t="s">
        <v>1123</v>
      </c>
      <c r="D1170" s="8" t="s">
        <v>122</v>
      </c>
      <c r="E1170" s="8">
        <v>81</v>
      </c>
      <c r="F1170" s="8">
        <v>1581.72</v>
      </c>
    </row>
    <row r="1171" spans="1:6" x14ac:dyDescent="0.25">
      <c r="A1171" s="1"/>
      <c r="B1171" s="2"/>
      <c r="C1171" s="8" t="s">
        <v>1124</v>
      </c>
      <c r="D1171" s="8" t="s">
        <v>122</v>
      </c>
      <c r="E1171" s="8">
        <v>35</v>
      </c>
      <c r="F1171" s="8">
        <v>732.43</v>
      </c>
    </row>
    <row r="1172" spans="1:6" x14ac:dyDescent="0.25">
      <c r="A1172" s="1"/>
      <c r="B1172" s="2"/>
      <c r="C1172" s="8" t="s">
        <v>1125</v>
      </c>
      <c r="D1172" s="8" t="s">
        <v>122</v>
      </c>
      <c r="E1172" s="8">
        <v>123</v>
      </c>
      <c r="F1172" s="8">
        <v>2501.61</v>
      </c>
    </row>
    <row r="1173" spans="1:6" x14ac:dyDescent="0.25">
      <c r="A1173" s="1"/>
      <c r="B1173" s="2"/>
      <c r="C1173" s="8" t="s">
        <v>1126</v>
      </c>
      <c r="D1173" s="8" t="s">
        <v>122</v>
      </c>
      <c r="E1173" s="8">
        <v>33</v>
      </c>
      <c r="F1173" s="8">
        <v>644.12</v>
      </c>
    </row>
    <row r="1174" spans="1:6" x14ac:dyDescent="0.25">
      <c r="A1174" s="1"/>
      <c r="B1174" s="2"/>
      <c r="C1174" s="8" t="s">
        <v>1127</v>
      </c>
      <c r="D1174" s="8" t="s">
        <v>122</v>
      </c>
      <c r="E1174" s="8">
        <v>88</v>
      </c>
      <c r="F1174" s="8">
        <v>1753.75</v>
      </c>
    </row>
    <row r="1175" spans="1:6" x14ac:dyDescent="0.25">
      <c r="A1175" s="1"/>
      <c r="B1175" s="2"/>
      <c r="C1175" s="8" t="s">
        <v>1128</v>
      </c>
      <c r="D1175" s="8" t="s">
        <v>122</v>
      </c>
      <c r="E1175" s="8">
        <v>70</v>
      </c>
      <c r="F1175" s="8">
        <v>1371.14</v>
      </c>
    </row>
    <row r="1176" spans="1:6" x14ac:dyDescent="0.25">
      <c r="A1176" s="1"/>
      <c r="B1176" s="2"/>
      <c r="C1176" s="8" t="s">
        <v>1129</v>
      </c>
      <c r="D1176" s="8" t="s">
        <v>122</v>
      </c>
      <c r="E1176" s="8">
        <v>32</v>
      </c>
      <c r="F1176" s="8">
        <v>605.44</v>
      </c>
    </row>
    <row r="1177" spans="1:6" x14ac:dyDescent="0.25">
      <c r="A1177" s="1"/>
      <c r="B1177" s="2"/>
      <c r="C1177" s="8" t="s">
        <v>1130</v>
      </c>
      <c r="D1177" s="8" t="s">
        <v>122</v>
      </c>
      <c r="E1177" s="8">
        <v>80</v>
      </c>
      <c r="F1177" s="8">
        <v>368.74</v>
      </c>
    </row>
    <row r="1178" spans="1:6" x14ac:dyDescent="0.25">
      <c r="A1178" s="1"/>
      <c r="B1178" s="2"/>
      <c r="C1178" s="8" t="s">
        <v>1131</v>
      </c>
      <c r="D1178" s="8" t="s">
        <v>122</v>
      </c>
      <c r="E1178" s="8">
        <v>60</v>
      </c>
      <c r="F1178" s="8">
        <v>227.74</v>
      </c>
    </row>
    <row r="1179" spans="1:6" x14ac:dyDescent="0.25">
      <c r="A1179" s="1"/>
      <c r="B1179" s="2"/>
      <c r="C1179" s="8" t="s">
        <v>1132</v>
      </c>
      <c r="D1179" s="8" t="s">
        <v>122</v>
      </c>
      <c r="E1179" s="8">
        <v>50</v>
      </c>
      <c r="F1179" s="8">
        <v>228.53</v>
      </c>
    </row>
    <row r="1180" spans="1:6" x14ac:dyDescent="0.25">
      <c r="A1180" s="1"/>
      <c r="B1180" s="2"/>
      <c r="C1180" s="8" t="s">
        <v>1133</v>
      </c>
      <c r="D1180" s="8" t="s">
        <v>122</v>
      </c>
      <c r="E1180" s="8">
        <v>75</v>
      </c>
      <c r="F1180" s="8">
        <v>1476.39</v>
      </c>
    </row>
    <row r="1181" spans="1:6" x14ac:dyDescent="0.25">
      <c r="A1181" s="1"/>
      <c r="B1181" s="2"/>
      <c r="C1181" s="8" t="s">
        <v>1134</v>
      </c>
      <c r="D1181" s="8" t="s">
        <v>122</v>
      </c>
      <c r="E1181" s="8">
        <v>29</v>
      </c>
      <c r="F1181" s="8">
        <v>569.82</v>
      </c>
    </row>
    <row r="1182" spans="1:6" x14ac:dyDescent="0.25">
      <c r="A1182" s="1"/>
      <c r="B1182" s="2"/>
      <c r="C1182" s="8" t="s">
        <v>1135</v>
      </c>
      <c r="D1182" s="8" t="s">
        <v>122</v>
      </c>
      <c r="E1182" s="8">
        <v>5</v>
      </c>
      <c r="F1182" s="8">
        <v>77.18</v>
      </c>
    </row>
    <row r="1183" spans="1:6" x14ac:dyDescent="0.25">
      <c r="A1183" s="1"/>
      <c r="B1183" s="2"/>
      <c r="C1183" s="8" t="s">
        <v>1136</v>
      </c>
      <c r="D1183" s="8" t="s">
        <v>122</v>
      </c>
      <c r="E1183" s="8">
        <v>32</v>
      </c>
      <c r="F1183" s="8">
        <v>617.05</v>
      </c>
    </row>
    <row r="1184" spans="1:6" x14ac:dyDescent="0.25">
      <c r="A1184" s="1"/>
      <c r="B1184" s="2"/>
      <c r="C1184" s="8" t="s">
        <v>1137</v>
      </c>
      <c r="D1184" s="8" t="s">
        <v>122</v>
      </c>
      <c r="E1184" s="8">
        <v>121</v>
      </c>
      <c r="F1184" s="8">
        <v>2476.31</v>
      </c>
    </row>
    <row r="1185" spans="1:6" x14ac:dyDescent="0.25">
      <c r="A1185" s="1"/>
      <c r="B1185" s="2"/>
      <c r="C1185" s="8" t="s">
        <v>1138</v>
      </c>
      <c r="D1185" s="8" t="s">
        <v>122</v>
      </c>
      <c r="E1185" s="8">
        <v>141</v>
      </c>
      <c r="F1185" s="8">
        <v>2743.6</v>
      </c>
    </row>
    <row r="1186" spans="1:6" x14ac:dyDescent="0.25">
      <c r="A1186" s="1"/>
      <c r="B1186" s="2"/>
      <c r="C1186" s="8" t="s">
        <v>1139</v>
      </c>
      <c r="D1186" s="8" t="s">
        <v>122</v>
      </c>
      <c r="E1186" s="8">
        <v>12</v>
      </c>
      <c r="F1186" s="8">
        <v>244.76</v>
      </c>
    </row>
    <row r="1187" spans="1:6" x14ac:dyDescent="0.25">
      <c r="A1187" s="1"/>
      <c r="B1187" s="2"/>
      <c r="C1187" s="8" t="s">
        <v>1140</v>
      </c>
      <c r="D1187" s="8" t="s">
        <v>122</v>
      </c>
      <c r="E1187" s="8">
        <v>57</v>
      </c>
      <c r="F1187" s="8">
        <v>1104.01</v>
      </c>
    </row>
    <row r="1188" spans="1:6" x14ac:dyDescent="0.25">
      <c r="A1188" s="1"/>
      <c r="B1188" s="2"/>
      <c r="C1188" s="8" t="s">
        <v>1141</v>
      </c>
      <c r="D1188" s="8" t="s">
        <v>122</v>
      </c>
      <c r="E1188" s="8">
        <v>4</v>
      </c>
      <c r="F1188" s="8">
        <v>68.6</v>
      </c>
    </row>
    <row r="1189" spans="1:6" x14ac:dyDescent="0.25">
      <c r="A1189" s="1"/>
      <c r="B1189" s="2"/>
      <c r="C1189" s="8" t="s">
        <v>1141</v>
      </c>
      <c r="D1189" s="8" t="s">
        <v>122</v>
      </c>
      <c r="E1189" s="8">
        <v>2</v>
      </c>
      <c r="F1189" s="8">
        <v>36.65</v>
      </c>
    </row>
    <row r="1190" spans="1:7" x14ac:dyDescent="0.25">
      <c r="A1190" s="7">
        <v>46275</v>
      </c>
      <c r="B1190" s="8" t="s">
        <v>172</v>
      </c>
      <c r="C1190" s="8" t="s">
        <v>1142</v>
      </c>
      <c r="D1190" s="8" t="s">
        <v>122</v>
      </c>
      <c r="E1190" s="8">
        <v>79</v>
      </c>
      <c r="F1190" s="8">
        <v>2343.11</v>
      </c>
      <c r="G1190" s="7">
        <v>46275</v>
      </c>
    </row>
    <row r="1191" spans="1:6" x14ac:dyDescent="0.25">
      <c r="A1191" s="1"/>
      <c r="B1191" s="2"/>
      <c r="C1191" s="8" t="s">
        <v>1143</v>
      </c>
      <c r="D1191" s="8" t="s">
        <v>122</v>
      </c>
      <c r="E1191" s="8">
        <v>51</v>
      </c>
      <c r="F1191" s="8">
        <v>1606.85</v>
      </c>
    </row>
    <row r="1192" spans="1:7" x14ac:dyDescent="0.25">
      <c r="A1192" s="7">
        <v>46276</v>
      </c>
      <c r="B1192" s="8" t="s">
        <v>120</v>
      </c>
      <c r="C1192" s="8" t="s">
        <v>1144</v>
      </c>
      <c r="D1192" s="8" t="s">
        <v>122</v>
      </c>
      <c r="E1192" s="8">
        <v>141</v>
      </c>
      <c r="F1192" s="8">
        <v>2935.57</v>
      </c>
      <c r="G1192" s="7">
        <v>46275</v>
      </c>
    </row>
    <row r="1193" spans="1:6" x14ac:dyDescent="0.25">
      <c r="A1193" s="1"/>
      <c r="B1193" s="2"/>
      <c r="C1193" s="8" t="s">
        <v>1145</v>
      </c>
      <c r="D1193" s="8" t="s">
        <v>122</v>
      </c>
      <c r="E1193" s="8">
        <v>141</v>
      </c>
      <c r="F1193" s="8">
        <v>2744.23</v>
      </c>
    </row>
    <row r="1194" spans="1:6" x14ac:dyDescent="0.25">
      <c r="A1194" s="1"/>
      <c r="B1194" s="2"/>
      <c r="C1194" s="8" t="s">
        <v>1146</v>
      </c>
      <c r="D1194" s="8" t="s">
        <v>122</v>
      </c>
      <c r="E1194" s="8">
        <v>59</v>
      </c>
      <c r="F1194" s="8">
        <v>1134.87</v>
      </c>
    </row>
    <row r="1195" spans="1:6" x14ac:dyDescent="0.25">
      <c r="A1195" s="1"/>
      <c r="B1195" s="2"/>
      <c r="C1195" s="8" t="s">
        <v>1147</v>
      </c>
      <c r="D1195" s="8" t="s">
        <v>122</v>
      </c>
      <c r="E1195" s="8">
        <v>34</v>
      </c>
      <c r="F1195" s="8">
        <v>673.36</v>
      </c>
    </row>
    <row r="1196" spans="1:6" x14ac:dyDescent="0.25">
      <c r="A1196" s="1"/>
      <c r="B1196" s="2"/>
      <c r="C1196" s="8" t="s">
        <v>1148</v>
      </c>
      <c r="D1196" s="8" t="s">
        <v>122</v>
      </c>
      <c r="E1196" s="8">
        <v>48</v>
      </c>
      <c r="F1196" s="8">
        <v>983.58</v>
      </c>
    </row>
    <row r="1197" spans="1:6" x14ac:dyDescent="0.25">
      <c r="A1197" s="1"/>
      <c r="B1197" s="2"/>
      <c r="C1197" s="8" t="s">
        <v>1149</v>
      </c>
      <c r="D1197" s="8" t="s">
        <v>122</v>
      </c>
      <c r="E1197" s="8">
        <v>29</v>
      </c>
      <c r="F1197" s="8">
        <v>616.03</v>
      </c>
    </row>
    <row r="1198" spans="1:6" x14ac:dyDescent="0.25">
      <c r="A1198" s="1"/>
      <c r="B1198" s="2"/>
      <c r="C1198" s="8" t="s">
        <v>1150</v>
      </c>
      <c r="D1198" s="8" t="s">
        <v>122</v>
      </c>
      <c r="E1198" s="8">
        <v>29</v>
      </c>
      <c r="F1198" s="8">
        <v>604.48</v>
      </c>
    </row>
    <row r="1199" spans="1:6" x14ac:dyDescent="0.25">
      <c r="A1199" s="1"/>
      <c r="B1199" s="2"/>
      <c r="C1199" s="8" t="s">
        <v>1151</v>
      </c>
      <c r="D1199" s="8" t="s">
        <v>122</v>
      </c>
      <c r="E1199" s="8">
        <v>48</v>
      </c>
      <c r="F1199" s="8">
        <v>953.36</v>
      </c>
    </row>
    <row r="1200" spans="1:6" x14ac:dyDescent="0.25">
      <c r="A1200" s="1"/>
      <c r="B1200" s="2"/>
      <c r="C1200" s="8" t="s">
        <v>1152</v>
      </c>
      <c r="D1200" s="8" t="s">
        <v>122</v>
      </c>
      <c r="E1200" s="8">
        <v>35</v>
      </c>
      <c r="F1200" s="8">
        <v>646.84</v>
      </c>
    </row>
    <row r="1201" spans="1:6" x14ac:dyDescent="0.25">
      <c r="A1201" s="1"/>
      <c r="B1201" s="2"/>
      <c r="C1201" s="8" t="s">
        <v>1153</v>
      </c>
      <c r="D1201" s="8" t="s">
        <v>122</v>
      </c>
      <c r="E1201" s="8">
        <v>42</v>
      </c>
      <c r="F1201" s="8">
        <v>867.93</v>
      </c>
    </row>
    <row r="1202" spans="1:6" x14ac:dyDescent="0.25">
      <c r="A1202" s="1"/>
      <c r="B1202" s="2"/>
      <c r="C1202" s="8" t="s">
        <v>1154</v>
      </c>
      <c r="D1202" s="8" t="s">
        <v>122</v>
      </c>
      <c r="E1202" s="8">
        <v>51</v>
      </c>
      <c r="F1202" s="8">
        <v>1026.44</v>
      </c>
    </row>
    <row r="1203" spans="1:6" x14ac:dyDescent="0.25">
      <c r="A1203" s="1"/>
      <c r="B1203" s="2"/>
      <c r="C1203" s="8" t="s">
        <v>1155</v>
      </c>
      <c r="D1203" s="8" t="s">
        <v>122</v>
      </c>
      <c r="E1203" s="8">
        <v>48</v>
      </c>
      <c r="F1203" s="8">
        <v>1030.24</v>
      </c>
    </row>
    <row r="1204" spans="1:6" x14ac:dyDescent="0.25">
      <c r="A1204" s="1"/>
      <c r="B1204" s="2"/>
      <c r="C1204" s="8" t="s">
        <v>1156</v>
      </c>
      <c r="D1204" s="8" t="s">
        <v>122</v>
      </c>
      <c r="E1204" s="8">
        <v>32</v>
      </c>
      <c r="F1204" s="8">
        <v>669.89</v>
      </c>
    </row>
    <row r="1205" spans="1:6" x14ac:dyDescent="0.25">
      <c r="A1205" s="1"/>
      <c r="B1205" s="2"/>
      <c r="C1205" s="8" t="s">
        <v>1157</v>
      </c>
      <c r="D1205" s="8" t="s">
        <v>122</v>
      </c>
      <c r="E1205" s="8">
        <v>36</v>
      </c>
      <c r="F1205" s="8">
        <v>768.57</v>
      </c>
    </row>
    <row r="1206" spans="1:6" x14ac:dyDescent="0.25">
      <c r="A1206" s="1"/>
      <c r="B1206" s="2"/>
      <c r="C1206" s="8" t="s">
        <v>1158</v>
      </c>
      <c r="D1206" s="8" t="s">
        <v>122</v>
      </c>
      <c r="E1206" s="8">
        <v>16</v>
      </c>
      <c r="F1206" s="8">
        <v>342.67</v>
      </c>
    </row>
    <row r="1207" spans="1:6" x14ac:dyDescent="0.25">
      <c r="A1207" s="1"/>
      <c r="B1207" s="2"/>
      <c r="C1207" s="8" t="s">
        <v>1159</v>
      </c>
      <c r="D1207" s="8" t="s">
        <v>122</v>
      </c>
      <c r="E1207" s="8">
        <v>57</v>
      </c>
      <c r="F1207" s="8">
        <v>1037.04</v>
      </c>
    </row>
    <row r="1208" spans="1:6" x14ac:dyDescent="0.25">
      <c r="A1208" s="1"/>
      <c r="B1208" s="2"/>
      <c r="C1208" s="8" t="s">
        <v>1160</v>
      </c>
      <c r="D1208" s="8" t="s">
        <v>122</v>
      </c>
      <c r="E1208" s="8">
        <v>21</v>
      </c>
      <c r="F1208" s="8">
        <v>419.9</v>
      </c>
    </row>
    <row r="1209" spans="1:6" x14ac:dyDescent="0.25">
      <c r="A1209" s="1"/>
      <c r="B1209" s="2"/>
      <c r="C1209" s="8" t="s">
        <v>1161</v>
      </c>
      <c r="D1209" s="8" t="s">
        <v>122</v>
      </c>
      <c r="E1209" s="8">
        <v>111</v>
      </c>
      <c r="F1209" s="8">
        <v>2186.55</v>
      </c>
    </row>
    <row r="1210" spans="1:6" x14ac:dyDescent="0.25">
      <c r="A1210" s="1"/>
      <c r="B1210" s="2"/>
      <c r="C1210" s="8" t="s">
        <v>1162</v>
      </c>
      <c r="D1210" s="8" t="s">
        <v>122</v>
      </c>
      <c r="E1210" s="8">
        <v>10</v>
      </c>
      <c r="F1210" s="8">
        <v>182.7</v>
      </c>
    </row>
    <row r="1211" spans="1:6" x14ac:dyDescent="0.25">
      <c r="A1211" s="1"/>
      <c r="B1211" s="2"/>
      <c r="C1211" s="8" t="s">
        <v>1163</v>
      </c>
      <c r="D1211" s="8" t="s">
        <v>122</v>
      </c>
      <c r="E1211" s="8">
        <v>78</v>
      </c>
      <c r="F1211" s="8">
        <v>1658.34</v>
      </c>
    </row>
    <row r="1212" spans="1:6" x14ac:dyDescent="0.25">
      <c r="A1212" s="1"/>
      <c r="B1212" s="2"/>
      <c r="C1212" s="8" t="s">
        <v>1164</v>
      </c>
      <c r="D1212" s="8" t="s">
        <v>122</v>
      </c>
      <c r="E1212" s="8">
        <v>24</v>
      </c>
      <c r="F1212" s="8">
        <v>461.26</v>
      </c>
    </row>
    <row r="1213" spans="1:6" x14ac:dyDescent="0.25">
      <c r="A1213" s="1"/>
      <c r="B1213" s="2"/>
      <c r="C1213" s="8" t="s">
        <v>1165</v>
      </c>
      <c r="D1213" s="8" t="s">
        <v>122</v>
      </c>
      <c r="E1213" s="8">
        <v>35</v>
      </c>
      <c r="F1213" s="8">
        <v>735.64</v>
      </c>
    </row>
    <row r="1214" spans="1:6" x14ac:dyDescent="0.25">
      <c r="A1214" s="1"/>
      <c r="B1214" s="2"/>
      <c r="C1214" s="8" t="s">
        <v>1166</v>
      </c>
      <c r="D1214" s="8" t="s">
        <v>122</v>
      </c>
      <c r="E1214" s="8">
        <v>88</v>
      </c>
      <c r="F1214" s="8">
        <v>1843.91</v>
      </c>
    </row>
    <row r="1216" spans="1:7" x14ac:dyDescent="0.25">
      <c r="A1216" s="7">
        <v>46276</v>
      </c>
      <c r="B1216" s="8" t="s">
        <v>90</v>
      </c>
      <c r="C1216" s="8" t="s">
        <v>1167</v>
      </c>
      <c r="D1216" s="8" t="s">
        <v>42</v>
      </c>
      <c r="E1216" s="8">
        <v>63</v>
      </c>
      <c r="F1216" s="8">
        <v>779.75</v>
      </c>
      <c r="G1216" s="7">
        <v>46275</v>
      </c>
    </row>
    <row r="1217" spans="1:6" x14ac:dyDescent="0.25">
      <c r="A1217" s="1"/>
      <c r="B1217" s="2"/>
      <c r="C1217" s="8" t="s">
        <v>1168</v>
      </c>
      <c r="D1217" s="8" t="s">
        <v>42</v>
      </c>
      <c r="E1217" s="8">
        <v>31</v>
      </c>
      <c r="F1217" s="8">
        <v>547.19</v>
      </c>
    </row>
    <row r="1218" spans="1:6" x14ac:dyDescent="0.25">
      <c r="A1218" s="1"/>
      <c r="B1218" s="2"/>
      <c r="C1218" s="8" t="s">
        <v>1169</v>
      </c>
      <c r="D1218" s="8" t="s">
        <v>42</v>
      </c>
      <c r="E1218" s="8">
        <v>37</v>
      </c>
      <c r="F1218" s="8">
        <v>745.76</v>
      </c>
    </row>
    <row r="1219" spans="1:6" x14ac:dyDescent="0.25">
      <c r="A1219" s="1"/>
      <c r="B1219" s="2"/>
      <c r="C1219" s="8" t="s">
        <v>1170</v>
      </c>
      <c r="D1219" s="8" t="s">
        <v>42</v>
      </c>
      <c r="E1219" s="8">
        <v>60</v>
      </c>
      <c r="F1219" s="8">
        <v>316.6</v>
      </c>
    </row>
    <row r="1220" spans="1:6" x14ac:dyDescent="0.25">
      <c r="A1220" s="1"/>
      <c r="B1220" s="2"/>
      <c r="C1220" s="8" t="s">
        <v>1171</v>
      </c>
      <c r="D1220" s="8" t="s">
        <v>42</v>
      </c>
      <c r="E1220" s="8">
        <v>141</v>
      </c>
      <c r="F1220" s="8">
        <v>2899.78</v>
      </c>
    </row>
    <row r="1221" spans="1:6" x14ac:dyDescent="0.25">
      <c r="A1221" s="1"/>
      <c r="B1221" s="2"/>
      <c r="C1221" s="8" t="s">
        <v>1172</v>
      </c>
      <c r="D1221" s="8" t="s">
        <v>42</v>
      </c>
      <c r="E1221" s="8">
        <v>123</v>
      </c>
      <c r="F1221" s="8">
        <v>2381.45</v>
      </c>
    </row>
    <row r="1222" spans="1:6" x14ac:dyDescent="0.25">
      <c r="A1222" s="1"/>
      <c r="B1222" s="2"/>
      <c r="C1222" s="8" t="s">
        <v>1173</v>
      </c>
      <c r="D1222" s="8" t="s">
        <v>42</v>
      </c>
      <c r="E1222" s="8">
        <v>65</v>
      </c>
      <c r="F1222" s="8">
        <v>1596.84</v>
      </c>
    </row>
    <row r="1223" spans="1:6" x14ac:dyDescent="0.25">
      <c r="A1223" s="1"/>
      <c r="B1223" s="2"/>
      <c r="C1223" s="8" t="s">
        <v>1174</v>
      </c>
      <c r="D1223" s="8" t="s">
        <v>42</v>
      </c>
      <c r="E1223" s="8">
        <v>10</v>
      </c>
      <c r="F1223" s="8">
        <v>272.45</v>
      </c>
    </row>
    <row r="1224" spans="1:6" x14ac:dyDescent="0.25">
      <c r="A1224" s="1"/>
      <c r="B1224" s="2"/>
      <c r="C1224" s="8" t="s">
        <v>1175</v>
      </c>
      <c r="D1224" s="8" t="s">
        <v>42</v>
      </c>
      <c r="E1224" s="8">
        <v>123</v>
      </c>
      <c r="F1224" s="8">
        <v>2778.29</v>
      </c>
    </row>
    <row r="1225" spans="1:6" x14ac:dyDescent="0.25">
      <c r="A1225" s="1"/>
      <c r="B1225" s="2"/>
      <c r="C1225" s="8" t="s">
        <v>1176</v>
      </c>
      <c r="D1225" s="8" t="s">
        <v>42</v>
      </c>
      <c r="E1225" s="8">
        <v>98</v>
      </c>
      <c r="F1225" s="8">
        <v>1973.77</v>
      </c>
    </row>
    <row r="1226" spans="1:6" x14ac:dyDescent="0.25">
      <c r="A1226" s="1"/>
      <c r="B1226" s="2"/>
      <c r="C1226" s="8" t="s">
        <v>1177</v>
      </c>
      <c r="D1226" s="8" t="s">
        <v>42</v>
      </c>
      <c r="E1226" s="8">
        <v>50</v>
      </c>
      <c r="F1226" s="8">
        <v>249.78</v>
      </c>
    </row>
    <row r="1227" spans="1:6" x14ac:dyDescent="0.25">
      <c r="A1227" s="1"/>
      <c r="B1227" s="2"/>
      <c r="C1227" s="8" t="s">
        <v>1178</v>
      </c>
      <c r="D1227" s="8" t="s">
        <v>42</v>
      </c>
      <c r="E1227" s="8">
        <v>45</v>
      </c>
      <c r="F1227" s="8">
        <v>1046.31</v>
      </c>
    </row>
    <row r="1228" spans="1:6" x14ac:dyDescent="0.25">
      <c r="A1228" s="1"/>
      <c r="B1228" s="2"/>
      <c r="C1228" s="8" t="s">
        <v>1179</v>
      </c>
      <c r="D1228" s="8" t="s">
        <v>42</v>
      </c>
      <c r="E1228" s="8">
        <v>96</v>
      </c>
      <c r="F1228" s="8">
        <v>1876.64</v>
      </c>
    </row>
    <row r="1229" spans="1:6" x14ac:dyDescent="0.25">
      <c r="A1229" s="1"/>
      <c r="B1229" s="2"/>
      <c r="C1229" s="8" t="s">
        <v>1180</v>
      </c>
      <c r="D1229" s="8" t="s">
        <v>42</v>
      </c>
      <c r="E1229" s="8">
        <v>43</v>
      </c>
      <c r="F1229" s="8">
        <v>925.9</v>
      </c>
    </row>
    <row r="1230" spans="1:6" x14ac:dyDescent="0.25">
      <c r="A1230" s="1"/>
      <c r="B1230" s="2"/>
      <c r="C1230" s="8" t="s">
        <v>1181</v>
      </c>
      <c r="D1230" s="8" t="s">
        <v>42</v>
      </c>
      <c r="E1230" s="8">
        <v>54</v>
      </c>
      <c r="F1230" s="8">
        <v>1045.12</v>
      </c>
    </row>
    <row r="1231" spans="1:6" x14ac:dyDescent="0.25">
      <c r="A1231" s="1"/>
      <c r="B1231" s="2"/>
      <c r="C1231" s="8" t="s">
        <v>1182</v>
      </c>
      <c r="D1231" s="8" t="s">
        <v>42</v>
      </c>
      <c r="E1231" s="8">
        <v>36</v>
      </c>
      <c r="F1231" s="8">
        <v>686.46</v>
      </c>
    </row>
    <row r="1232" spans="1:6" x14ac:dyDescent="0.25">
      <c r="A1232" s="1"/>
      <c r="B1232" s="2"/>
      <c r="C1232" s="8" t="s">
        <v>1183</v>
      </c>
      <c r="D1232" s="8" t="s">
        <v>42</v>
      </c>
      <c r="E1232" s="8">
        <v>69</v>
      </c>
      <c r="F1232" s="8">
        <v>1493.06</v>
      </c>
    </row>
    <row r="1233" spans="1:6" x14ac:dyDescent="0.25">
      <c r="A1233" s="1"/>
      <c r="B1233" s="2"/>
      <c r="C1233" s="8" t="s">
        <v>1184</v>
      </c>
      <c r="D1233" s="8" t="s">
        <v>42</v>
      </c>
      <c r="E1233" s="8">
        <v>141</v>
      </c>
      <c r="F1233" s="8">
        <v>2957.38</v>
      </c>
    </row>
    <row r="1234" spans="1:6" x14ac:dyDescent="0.25">
      <c r="A1234" s="1"/>
      <c r="B1234" s="2"/>
      <c r="C1234" s="8" t="s">
        <v>1185</v>
      </c>
      <c r="D1234" s="8" t="s">
        <v>42</v>
      </c>
      <c r="E1234" s="8">
        <v>100</v>
      </c>
      <c r="F1234" s="8">
        <v>1944.64</v>
      </c>
    </row>
    <row r="1235" spans="1:6" x14ac:dyDescent="0.25">
      <c r="A1235" s="1"/>
      <c r="B1235" s="2"/>
      <c r="C1235" s="8" t="s">
        <v>1186</v>
      </c>
      <c r="D1235" s="8" t="s">
        <v>42</v>
      </c>
      <c r="E1235" s="8">
        <v>32</v>
      </c>
      <c r="F1235" s="8">
        <v>621.53</v>
      </c>
    </row>
    <row r="1236" spans="1:6" x14ac:dyDescent="0.25">
      <c r="A1236" s="1"/>
      <c r="B1236" s="2"/>
      <c r="C1236" s="8" t="s">
        <v>1187</v>
      </c>
      <c r="D1236" s="8" t="s">
        <v>42</v>
      </c>
      <c r="E1236" s="8">
        <v>30</v>
      </c>
      <c r="F1236" s="8">
        <v>576.83</v>
      </c>
    </row>
    <row r="1237" spans="1:6" x14ac:dyDescent="0.25">
      <c r="A1237" s="1"/>
      <c r="B1237" s="2"/>
      <c r="C1237" s="8" t="s">
        <v>1188</v>
      </c>
      <c r="D1237" s="8" t="s">
        <v>42</v>
      </c>
      <c r="E1237" s="8">
        <v>50</v>
      </c>
      <c r="F1237" s="8">
        <v>961.87</v>
      </c>
    </row>
    <row r="1239" spans="1:7" x14ac:dyDescent="0.25">
      <c r="A1239" s="7">
        <v>46276</v>
      </c>
      <c r="B1239" s="8" t="s">
        <v>1189</v>
      </c>
      <c r="C1239" s="8" t="s">
        <v>1190</v>
      </c>
      <c r="D1239" s="8" t="s">
        <v>20</v>
      </c>
      <c r="E1239" s="8">
        <v>251</v>
      </c>
      <c r="F1239" s="8">
        <v>4997.96</v>
      </c>
      <c r="G1239" s="7">
        <v>46275</v>
      </c>
    </row>
    <row r="1240" spans="1:6" x14ac:dyDescent="0.25">
      <c r="A1240" s="1"/>
      <c r="B1240" s="2"/>
      <c r="C1240" s="8" t="s">
        <v>1191</v>
      </c>
      <c r="D1240" s="8" t="s">
        <v>20</v>
      </c>
      <c r="E1240" s="8">
        <v>105</v>
      </c>
      <c r="F1240" s="8">
        <v>1915.53</v>
      </c>
    </row>
    <row r="1241" spans="1:6" x14ac:dyDescent="0.25">
      <c r="A1241" s="1"/>
      <c r="B1241" s="2"/>
      <c r="C1241" s="8" t="s">
        <v>1192</v>
      </c>
      <c r="D1241" s="8" t="s">
        <v>20</v>
      </c>
      <c r="E1241" s="8">
        <v>260</v>
      </c>
      <c r="F1241" s="8">
        <v>4825.87</v>
      </c>
    </row>
    <row r="1242" spans="1:6" x14ac:dyDescent="0.25">
      <c r="A1242" s="1"/>
      <c r="B1242" s="2"/>
      <c r="C1242" s="8" t="s">
        <v>1193</v>
      </c>
      <c r="D1242" s="8" t="s">
        <v>20</v>
      </c>
      <c r="E1242" s="8">
        <v>154</v>
      </c>
      <c r="F1242" s="8">
        <v>2860.62</v>
      </c>
    </row>
    <row r="1243" spans="1:6" x14ac:dyDescent="0.25">
      <c r="A1243" s="1"/>
      <c r="B1243" s="2"/>
      <c r="C1243" s="8" t="s">
        <v>1194</v>
      </c>
      <c r="D1243" s="8" t="s">
        <v>20</v>
      </c>
      <c r="E1243" s="8">
        <v>156</v>
      </c>
      <c r="F1243" s="8">
        <v>3023.53</v>
      </c>
    </row>
    <row r="1244" spans="1:6" x14ac:dyDescent="0.25">
      <c r="A1244" s="1"/>
      <c r="B1244" s="2"/>
      <c r="C1244" s="8" t="s">
        <v>1195</v>
      </c>
      <c r="D1244" s="8" t="s">
        <v>20</v>
      </c>
      <c r="E1244" s="8">
        <v>105</v>
      </c>
      <c r="F1244" s="8">
        <v>2034.22</v>
      </c>
    </row>
    <row r="1245" spans="1:6" x14ac:dyDescent="0.25">
      <c r="A1245" s="1"/>
      <c r="B1245" s="2"/>
      <c r="C1245" s="8" t="s">
        <v>1196</v>
      </c>
      <c r="D1245" s="8" t="s">
        <v>20</v>
      </c>
      <c r="E1245" s="8">
        <v>261</v>
      </c>
      <c r="F1245" s="8">
        <v>5117.84</v>
      </c>
    </row>
    <row r="1246" spans="1:6" x14ac:dyDescent="0.25">
      <c r="A1246" s="1"/>
      <c r="B1246" s="2"/>
      <c r="C1246" s="8" t="s">
        <v>1197</v>
      </c>
      <c r="D1246" s="8" t="s">
        <v>20</v>
      </c>
      <c r="E1246" s="8">
        <v>156</v>
      </c>
      <c r="F1246" s="8">
        <v>3101.53</v>
      </c>
    </row>
    <row r="1248" spans="1:7" x14ac:dyDescent="0.25">
      <c r="A1248" s="7">
        <v>46276</v>
      </c>
      <c r="B1248" s="8" t="s">
        <v>32</v>
      </c>
      <c r="C1248" s="8" t="s">
        <v>1198</v>
      </c>
      <c r="D1248" s="8" t="s">
        <v>20</v>
      </c>
      <c r="E1248" s="8">
        <v>156</v>
      </c>
      <c r="F1248" s="8">
        <v>3123.76</v>
      </c>
      <c r="G1248" s="7">
        <v>46275</v>
      </c>
    </row>
    <row r="1249" spans="1:6" x14ac:dyDescent="0.25">
      <c r="A1249" s="1"/>
      <c r="B1249" s="2"/>
      <c r="C1249" s="8" t="s">
        <v>1199</v>
      </c>
      <c r="D1249" s="8" t="s">
        <v>20</v>
      </c>
      <c r="E1249" s="8">
        <v>210</v>
      </c>
      <c r="F1249" s="8">
        <v>4164.7</v>
      </c>
    </row>
    <row r="1250" spans="1:6" x14ac:dyDescent="0.25">
      <c r="A1250" s="1"/>
      <c r="B1250" s="2"/>
      <c r="C1250" s="8" t="s">
        <v>1200</v>
      </c>
      <c r="D1250" s="8" t="s">
        <v>20</v>
      </c>
      <c r="E1250" s="8">
        <v>261</v>
      </c>
      <c r="F1250" s="8">
        <v>4878.81</v>
      </c>
    </row>
    <row r="1251" spans="1:6" x14ac:dyDescent="0.25">
      <c r="A1251" s="1"/>
      <c r="B1251" s="2"/>
      <c r="C1251" s="8" t="s">
        <v>1201</v>
      </c>
      <c r="D1251" s="8" t="s">
        <v>20</v>
      </c>
      <c r="E1251" s="8">
        <v>261</v>
      </c>
      <c r="F1251" s="8">
        <v>5116.56</v>
      </c>
    </row>
    <row r="1252" spans="1:6" x14ac:dyDescent="0.25">
      <c r="A1252" s="1"/>
      <c r="B1252" s="2"/>
      <c r="C1252" s="8" t="s">
        <v>1202</v>
      </c>
      <c r="D1252" s="8" t="s">
        <v>20</v>
      </c>
      <c r="E1252" s="8">
        <v>156</v>
      </c>
      <c r="F1252" s="8">
        <v>3130.18</v>
      </c>
    </row>
    <row r="1253" spans="1:6" x14ac:dyDescent="0.25">
      <c r="A1253" s="1"/>
      <c r="B1253" s="2"/>
      <c r="C1253" s="8" t="s">
        <v>1203</v>
      </c>
      <c r="D1253" s="8" t="s">
        <v>20</v>
      </c>
      <c r="E1253" s="8">
        <v>252</v>
      </c>
      <c r="F1253" s="8">
        <v>4998</v>
      </c>
    </row>
    <row r="1254" spans="1:6" x14ac:dyDescent="0.25">
      <c r="A1254" s="1"/>
      <c r="B1254" s="2"/>
      <c r="C1254" s="8" t="s">
        <v>1204</v>
      </c>
      <c r="D1254" s="8" t="s">
        <v>20</v>
      </c>
      <c r="E1254" s="8">
        <v>156</v>
      </c>
      <c r="F1254" s="8">
        <v>3054.68</v>
      </c>
    </row>
    <row r="1255" spans="1:6" x14ac:dyDescent="0.25">
      <c r="A1255" s="1"/>
      <c r="B1255" s="2"/>
      <c r="C1255" s="8" t="s">
        <v>1205</v>
      </c>
      <c r="D1255" s="8" t="s">
        <v>20</v>
      </c>
      <c r="E1255" s="8">
        <v>72</v>
      </c>
      <c r="F1255" s="8">
        <v>1621.5</v>
      </c>
    </row>
    <row r="1257" spans="1:7" x14ac:dyDescent="0.25">
      <c r="A1257" s="7">
        <v>46276</v>
      </c>
      <c r="B1257" s="8" t="s">
        <v>40</v>
      </c>
      <c r="C1257" s="8" t="s">
        <v>1206</v>
      </c>
      <c r="D1257" s="8" t="s">
        <v>42</v>
      </c>
      <c r="E1257" s="8">
        <v>40</v>
      </c>
      <c r="F1257" s="8">
        <v>199.15</v>
      </c>
      <c r="G1257" s="7">
        <v>46275</v>
      </c>
    </row>
    <row r="1258" spans="1:6" x14ac:dyDescent="0.25">
      <c r="A1258" s="1"/>
      <c r="B1258" s="2"/>
      <c r="C1258" s="8" t="s">
        <v>1207</v>
      </c>
      <c r="D1258" s="8" t="s">
        <v>42</v>
      </c>
      <c r="E1258" s="8">
        <v>141</v>
      </c>
      <c r="F1258" s="8">
        <v>2791.85</v>
      </c>
    </row>
    <row r="1259" spans="1:6" x14ac:dyDescent="0.25">
      <c r="A1259" s="1"/>
      <c r="B1259" s="2"/>
      <c r="C1259" s="8" t="s">
        <v>1208</v>
      </c>
      <c r="D1259" s="8" t="s">
        <v>42</v>
      </c>
      <c r="E1259" s="8">
        <v>100</v>
      </c>
      <c r="F1259" s="8">
        <v>1971.63</v>
      </c>
    </row>
    <row r="1260" spans="1:6" x14ac:dyDescent="0.25">
      <c r="A1260" s="1"/>
      <c r="B1260" s="2"/>
      <c r="C1260" s="8" t="s">
        <v>1209</v>
      </c>
      <c r="D1260" s="8" t="s">
        <v>42</v>
      </c>
      <c r="E1260" s="8">
        <v>65</v>
      </c>
      <c r="F1260" s="8">
        <v>1304.67</v>
      </c>
    </row>
    <row r="1261" spans="1:6" x14ac:dyDescent="0.25">
      <c r="A1261" s="1"/>
      <c r="B1261" s="2"/>
      <c r="C1261" s="8" t="s">
        <v>1210</v>
      </c>
      <c r="D1261" s="8" t="s">
        <v>42</v>
      </c>
      <c r="E1261" s="8">
        <v>10</v>
      </c>
      <c r="F1261" s="8">
        <v>203.6</v>
      </c>
    </row>
    <row r="1262" spans="1:6" x14ac:dyDescent="0.25">
      <c r="A1262" s="1"/>
      <c r="B1262" s="2"/>
      <c r="C1262" s="8" t="s">
        <v>1211</v>
      </c>
      <c r="D1262" s="8" t="s">
        <v>42</v>
      </c>
      <c r="E1262" s="8">
        <v>40</v>
      </c>
      <c r="F1262" s="8">
        <v>204.24</v>
      </c>
    </row>
    <row r="1263" spans="1:6" x14ac:dyDescent="0.25">
      <c r="A1263" s="1"/>
      <c r="B1263" s="2"/>
      <c r="C1263" s="8" t="s">
        <v>1212</v>
      </c>
      <c r="D1263" s="8" t="s">
        <v>42</v>
      </c>
      <c r="E1263" s="8">
        <v>141</v>
      </c>
      <c r="F1263" s="8">
        <v>3253.55</v>
      </c>
    </row>
    <row r="1264" spans="1:6" x14ac:dyDescent="0.25">
      <c r="A1264" s="1"/>
      <c r="B1264" s="2"/>
      <c r="C1264" s="8" t="s">
        <v>1213</v>
      </c>
      <c r="D1264" s="8" t="s">
        <v>42</v>
      </c>
      <c r="E1264" s="8">
        <v>141</v>
      </c>
      <c r="F1264" s="8">
        <v>2759.99</v>
      </c>
    </row>
    <row r="1265" spans="1:6" x14ac:dyDescent="0.25">
      <c r="A1265" s="1"/>
      <c r="B1265" s="2"/>
      <c r="C1265" s="8" t="s">
        <v>1214</v>
      </c>
      <c r="D1265" s="8" t="s">
        <v>42</v>
      </c>
      <c r="E1265" s="8">
        <v>141</v>
      </c>
      <c r="F1265" s="8">
        <v>3427.16</v>
      </c>
    </row>
    <row r="1266" spans="1:6" x14ac:dyDescent="0.25">
      <c r="A1266" s="1"/>
      <c r="B1266" s="2"/>
      <c r="C1266" s="8" t="s">
        <v>1215</v>
      </c>
      <c r="D1266" s="8" t="s">
        <v>42</v>
      </c>
      <c r="E1266" s="8">
        <v>141</v>
      </c>
      <c r="F1266" s="8">
        <v>2982.02</v>
      </c>
    </row>
    <row r="1267" spans="1:6" x14ac:dyDescent="0.25">
      <c r="A1267" s="1"/>
      <c r="B1267" s="2"/>
      <c r="C1267" s="8" t="s">
        <v>1216</v>
      </c>
      <c r="D1267" s="8" t="s">
        <v>42</v>
      </c>
      <c r="E1267" s="8">
        <v>141</v>
      </c>
      <c r="F1267" s="8">
        <v>2716.81</v>
      </c>
    </row>
    <row r="1268" spans="1:6" x14ac:dyDescent="0.25">
      <c r="A1268" s="1"/>
      <c r="B1268" s="2"/>
      <c r="C1268" s="8" t="s">
        <v>1217</v>
      </c>
      <c r="D1268" s="8" t="s">
        <v>42</v>
      </c>
      <c r="E1268" s="8">
        <v>102</v>
      </c>
      <c r="F1268" s="8">
        <v>2108.7</v>
      </c>
    </row>
    <row r="1269" spans="1:6" x14ac:dyDescent="0.25">
      <c r="A1269" s="1"/>
      <c r="B1269" s="2"/>
      <c r="C1269" s="8" t="s">
        <v>1218</v>
      </c>
      <c r="D1269" s="8" t="s">
        <v>42</v>
      </c>
      <c r="E1269" s="8">
        <v>141</v>
      </c>
      <c r="F1269" s="8">
        <v>2875.81</v>
      </c>
    </row>
    <row r="1270" spans="1:6" x14ac:dyDescent="0.25">
      <c r="A1270" s="1"/>
      <c r="B1270" s="2"/>
      <c r="C1270" s="8" t="s">
        <v>1219</v>
      </c>
      <c r="D1270" s="8" t="s">
        <v>42</v>
      </c>
      <c r="E1270" s="8">
        <v>141</v>
      </c>
      <c r="F1270" s="8">
        <v>2750.57</v>
      </c>
    </row>
    <row r="1271" spans="1:6" x14ac:dyDescent="0.25">
      <c r="A1271" s="1"/>
      <c r="B1271" s="2"/>
      <c r="C1271" s="8" t="s">
        <v>1220</v>
      </c>
      <c r="D1271" s="8" t="s">
        <v>42</v>
      </c>
      <c r="E1271" s="8">
        <v>141</v>
      </c>
      <c r="F1271" s="8">
        <v>3103.2</v>
      </c>
    </row>
    <row r="1272" spans="1:6" x14ac:dyDescent="0.25">
      <c r="A1272" s="1"/>
      <c r="B1272" s="2"/>
      <c r="C1272" s="8" t="s">
        <v>1221</v>
      </c>
      <c r="D1272" s="8" t="s">
        <v>42</v>
      </c>
      <c r="E1272" s="8">
        <v>33</v>
      </c>
      <c r="F1272" s="8">
        <v>666.62</v>
      </c>
    </row>
    <row r="1273" spans="1:6" x14ac:dyDescent="0.25">
      <c r="A1273" s="1"/>
      <c r="B1273" s="2"/>
      <c r="C1273" s="8" t="s">
        <v>1222</v>
      </c>
      <c r="D1273" s="8" t="s">
        <v>42</v>
      </c>
      <c r="E1273" s="8">
        <v>40</v>
      </c>
      <c r="F1273" s="8">
        <v>199.49</v>
      </c>
    </row>
    <row r="1274" spans="1:6" x14ac:dyDescent="0.25">
      <c r="A1274" s="1"/>
      <c r="B1274" s="2"/>
      <c r="C1274" s="8" t="s">
        <v>1223</v>
      </c>
      <c r="D1274" s="8" t="s">
        <v>42</v>
      </c>
      <c r="E1274" s="8">
        <v>105</v>
      </c>
      <c r="F1274" s="8">
        <v>2048.32</v>
      </c>
    </row>
    <row r="1275" spans="1:6" x14ac:dyDescent="0.25">
      <c r="A1275" s="1"/>
      <c r="B1275" s="2"/>
      <c r="C1275" s="8" t="s">
        <v>1224</v>
      </c>
      <c r="D1275" s="8" t="s">
        <v>42</v>
      </c>
      <c r="E1275" s="8">
        <v>35</v>
      </c>
      <c r="F1275" s="8">
        <v>708.7</v>
      </c>
    </row>
    <row r="1276" spans="1:6" x14ac:dyDescent="0.25">
      <c r="A1276" s="1"/>
      <c r="B1276" s="2"/>
      <c r="C1276" s="8" t="s">
        <v>1225</v>
      </c>
      <c r="D1276" s="8" t="s">
        <v>42</v>
      </c>
      <c r="E1276" s="8">
        <v>18</v>
      </c>
      <c r="F1276" s="8">
        <v>360.47</v>
      </c>
    </row>
    <row r="1277" spans="1:6" x14ac:dyDescent="0.25">
      <c r="A1277" s="1"/>
      <c r="B1277" s="2"/>
      <c r="C1277" s="8" t="s">
        <v>1226</v>
      </c>
      <c r="D1277" s="8" t="s">
        <v>42</v>
      </c>
      <c r="E1277" s="8">
        <v>88</v>
      </c>
      <c r="F1277" s="8">
        <v>1689.74</v>
      </c>
    </row>
    <row r="1278" spans="1:6" x14ac:dyDescent="0.25">
      <c r="A1278" s="1"/>
      <c r="B1278" s="2"/>
      <c r="C1278" s="8" t="s">
        <v>1227</v>
      </c>
      <c r="D1278" s="8" t="s">
        <v>42</v>
      </c>
      <c r="E1278" s="8">
        <v>123</v>
      </c>
      <c r="F1278" s="8">
        <v>2531.25</v>
      </c>
    </row>
    <row r="1279" spans="1:6" x14ac:dyDescent="0.25">
      <c r="A1279" s="1"/>
      <c r="B1279" s="2"/>
      <c r="C1279" s="8" t="s">
        <v>1228</v>
      </c>
      <c r="D1279" s="8" t="s">
        <v>42</v>
      </c>
      <c r="E1279" s="8">
        <v>111</v>
      </c>
      <c r="F1279" s="8">
        <v>1915.9</v>
      </c>
    </row>
    <row r="1280" spans="1:6" x14ac:dyDescent="0.25">
      <c r="A1280" s="1"/>
      <c r="B1280" s="2"/>
      <c r="C1280" s="8" t="s">
        <v>1229</v>
      </c>
      <c r="D1280" s="8" t="s">
        <v>42</v>
      </c>
      <c r="E1280" s="8">
        <v>8</v>
      </c>
      <c r="F1280" s="8">
        <v>161.83</v>
      </c>
    </row>
    <row r="1281" spans="1:6" x14ac:dyDescent="0.25">
      <c r="A1281" s="1"/>
      <c r="B1281" s="2"/>
      <c r="C1281" s="8" t="s">
        <v>1230</v>
      </c>
      <c r="D1281" s="8" t="s">
        <v>42</v>
      </c>
      <c r="E1281" s="8">
        <v>24</v>
      </c>
      <c r="F1281" s="8">
        <v>455.49</v>
      </c>
    </row>
    <row r="1282" spans="1:6" x14ac:dyDescent="0.25">
      <c r="A1282" s="1"/>
      <c r="B1282" s="2"/>
      <c r="C1282" s="8" t="s">
        <v>1231</v>
      </c>
      <c r="D1282" s="8" t="s">
        <v>42</v>
      </c>
      <c r="E1282" s="8">
        <v>60</v>
      </c>
      <c r="F1282" s="8">
        <v>1113.2</v>
      </c>
    </row>
    <row r="1283" spans="1:6" x14ac:dyDescent="0.25">
      <c r="A1283" s="1"/>
      <c r="B1283" s="2"/>
      <c r="C1283" s="8" t="s">
        <v>1232</v>
      </c>
      <c r="D1283" s="8" t="s">
        <v>42</v>
      </c>
      <c r="E1283" s="8">
        <v>75</v>
      </c>
      <c r="F1283" s="8">
        <v>1337.11</v>
      </c>
    </row>
    <row r="1284" spans="1:6" x14ac:dyDescent="0.25">
      <c r="A1284" s="1"/>
      <c r="B1284" s="2"/>
      <c r="C1284" s="8" t="s">
        <v>1233</v>
      </c>
      <c r="D1284" s="8" t="s">
        <v>42</v>
      </c>
      <c r="E1284" s="8">
        <v>141</v>
      </c>
      <c r="F1284" s="8">
        <v>2817.33</v>
      </c>
    </row>
    <row r="1285" spans="1:6" x14ac:dyDescent="0.25">
      <c r="A1285" s="1"/>
      <c r="B1285" s="2"/>
      <c r="C1285" s="8" t="s">
        <v>1234</v>
      </c>
      <c r="D1285" s="8" t="s">
        <v>42</v>
      </c>
      <c r="E1285" s="8">
        <v>134</v>
      </c>
      <c r="F1285" s="8">
        <v>2668.26</v>
      </c>
    </row>
    <row r="1286" spans="1:6" x14ac:dyDescent="0.25">
      <c r="A1286" s="1"/>
      <c r="B1286" s="2"/>
      <c r="C1286" s="8" t="s">
        <v>1235</v>
      </c>
      <c r="D1286" s="8" t="s">
        <v>42</v>
      </c>
      <c r="E1286" s="8">
        <v>56</v>
      </c>
      <c r="F1286" s="8">
        <v>1103.36</v>
      </c>
    </row>
    <row r="1287" spans="1:6" x14ac:dyDescent="0.25">
      <c r="A1287" s="1"/>
      <c r="B1287" s="2"/>
      <c r="C1287" s="8" t="s">
        <v>1236</v>
      </c>
      <c r="D1287" s="8" t="s">
        <v>42</v>
      </c>
      <c r="E1287" s="8">
        <v>51</v>
      </c>
      <c r="F1287" s="8">
        <v>1078.23</v>
      </c>
    </row>
    <row r="1288" spans="1:6" x14ac:dyDescent="0.25">
      <c r="A1288" s="1"/>
      <c r="B1288" s="2"/>
      <c r="C1288" s="8" t="s">
        <v>1237</v>
      </c>
      <c r="D1288" s="8" t="s">
        <v>42</v>
      </c>
      <c r="E1288" s="8">
        <v>100</v>
      </c>
      <c r="F1288" s="8">
        <v>1968.98</v>
      </c>
    </row>
    <row r="1289" spans="1:6" x14ac:dyDescent="0.25">
      <c r="A1289" s="1"/>
      <c r="B1289" s="2"/>
      <c r="C1289" s="8" t="s">
        <v>1238</v>
      </c>
      <c r="D1289" s="8" t="s">
        <v>42</v>
      </c>
      <c r="E1289" s="8">
        <v>141</v>
      </c>
      <c r="F1289" s="8">
        <v>3151.38</v>
      </c>
    </row>
    <row r="1290" spans="1:6" x14ac:dyDescent="0.25">
      <c r="A1290" s="1"/>
      <c r="B1290" s="2"/>
      <c r="C1290" s="8" t="s">
        <v>1239</v>
      </c>
      <c r="D1290" s="8" t="s">
        <v>42</v>
      </c>
      <c r="E1290" s="8">
        <v>40</v>
      </c>
      <c r="F1290" s="8">
        <v>205.18</v>
      </c>
    </row>
    <row r="1291" spans="1:6" x14ac:dyDescent="0.25">
      <c r="A1291" s="1"/>
      <c r="B1291" s="2"/>
      <c r="C1291" s="8" t="s">
        <v>1240</v>
      </c>
      <c r="D1291" s="8" t="s">
        <v>42</v>
      </c>
      <c r="E1291" s="8">
        <v>67</v>
      </c>
      <c r="F1291" s="8">
        <v>1313.23</v>
      </c>
    </row>
    <row r="1292" spans="1:6" x14ac:dyDescent="0.25">
      <c r="A1292" s="1"/>
      <c r="B1292" s="2"/>
      <c r="C1292" s="8" t="s">
        <v>1241</v>
      </c>
      <c r="D1292" s="8" t="s">
        <v>42</v>
      </c>
      <c r="E1292" s="8">
        <v>102</v>
      </c>
      <c r="F1292" s="8">
        <v>2089.87</v>
      </c>
    </row>
    <row r="1293" spans="1:6" x14ac:dyDescent="0.25">
      <c r="A1293" s="1"/>
      <c r="B1293" s="2"/>
      <c r="C1293" s="8" t="s">
        <v>1242</v>
      </c>
      <c r="D1293" s="8" t="s">
        <v>42</v>
      </c>
      <c r="E1293" s="8">
        <v>141</v>
      </c>
      <c r="F1293" s="8">
        <v>2865.97</v>
      </c>
    </row>
    <row r="1295" spans="1:7" x14ac:dyDescent="0.25">
      <c r="A1295" s="7">
        <v>46275</v>
      </c>
      <c r="B1295" s="8" t="s">
        <v>172</v>
      </c>
      <c r="C1295" s="8" t="s">
        <v>1243</v>
      </c>
      <c r="D1295" s="8" t="s">
        <v>122</v>
      </c>
      <c r="E1295" s="8">
        <v>121</v>
      </c>
      <c r="F1295" s="8">
        <v>2482.25</v>
      </c>
      <c r="G1295" s="7">
        <v>46275</v>
      </c>
    </row>
    <row r="1296" spans="1:6" x14ac:dyDescent="0.25">
      <c r="A1296" s="1"/>
      <c r="B1296" s="2"/>
      <c r="C1296" s="8" t="s">
        <v>1244</v>
      </c>
      <c r="D1296" s="8" t="s">
        <v>122</v>
      </c>
      <c r="E1296" s="8">
        <v>121</v>
      </c>
      <c r="F1296" s="8">
        <v>2412.46</v>
      </c>
    </row>
    <row r="1297" spans="1:6" x14ac:dyDescent="0.25">
      <c r="A1297" s="1"/>
      <c r="B1297" s="2"/>
      <c r="C1297" s="8" t="s">
        <v>1245</v>
      </c>
      <c r="D1297" s="8" t="s">
        <v>122</v>
      </c>
      <c r="E1297" s="8">
        <v>141</v>
      </c>
      <c r="F1297" s="8">
        <v>2909.55</v>
      </c>
    </row>
    <row r="1298" spans="1:6" x14ac:dyDescent="0.25">
      <c r="A1298" s="1"/>
      <c r="B1298" s="2"/>
      <c r="C1298" s="8" t="s">
        <v>1246</v>
      </c>
      <c r="D1298" s="8" t="s">
        <v>122</v>
      </c>
      <c r="E1298" s="8">
        <v>92</v>
      </c>
      <c r="F1298" s="8">
        <v>1899.47</v>
      </c>
    </row>
    <row r="1299" spans="1:6" x14ac:dyDescent="0.25">
      <c r="A1299" s="1"/>
      <c r="B1299" s="2"/>
      <c r="C1299" s="8" t="s">
        <v>1247</v>
      </c>
      <c r="D1299" s="8" t="s">
        <v>122</v>
      </c>
      <c r="E1299" s="8">
        <v>49</v>
      </c>
      <c r="F1299" s="8">
        <v>1032.54</v>
      </c>
    </row>
    <row r="1300" spans="1:6" x14ac:dyDescent="0.25">
      <c r="A1300" s="1"/>
      <c r="B1300" s="2"/>
      <c r="C1300" s="8" t="s">
        <v>1248</v>
      </c>
      <c r="D1300" s="8" t="s">
        <v>122</v>
      </c>
      <c r="E1300" s="8">
        <v>29</v>
      </c>
      <c r="F1300" s="8">
        <v>568.64</v>
      </c>
    </row>
    <row r="1301" spans="1:6" x14ac:dyDescent="0.25">
      <c r="A1301" s="1"/>
      <c r="B1301" s="2"/>
      <c r="C1301" s="8" t="s">
        <v>1249</v>
      </c>
      <c r="D1301" s="8" t="s">
        <v>122</v>
      </c>
      <c r="E1301" s="8">
        <v>45</v>
      </c>
      <c r="F1301" s="8">
        <v>932.98</v>
      </c>
    </row>
    <row r="1302" spans="1:6" x14ac:dyDescent="0.25">
      <c r="A1302" s="1"/>
      <c r="B1302" s="2"/>
      <c r="C1302" s="8" t="s">
        <v>1250</v>
      </c>
      <c r="D1302" s="8" t="s">
        <v>122</v>
      </c>
      <c r="E1302" s="8">
        <v>67</v>
      </c>
      <c r="F1302" s="8">
        <v>1287.27</v>
      </c>
    </row>
    <row r="1303" spans="1:6" x14ac:dyDescent="0.25">
      <c r="A1303" s="1"/>
      <c r="B1303" s="2"/>
      <c r="C1303" s="8" t="s">
        <v>1251</v>
      </c>
      <c r="D1303" s="8" t="s">
        <v>122</v>
      </c>
      <c r="E1303" s="8">
        <v>55</v>
      </c>
      <c r="F1303" s="8">
        <v>1128.57</v>
      </c>
    </row>
    <row r="1304" spans="1:6" x14ac:dyDescent="0.25">
      <c r="A1304" s="1"/>
      <c r="B1304" s="2"/>
      <c r="C1304" s="8" t="s">
        <v>1252</v>
      </c>
      <c r="D1304" s="8" t="s">
        <v>122</v>
      </c>
      <c r="E1304" s="8">
        <v>35</v>
      </c>
      <c r="F1304" s="8">
        <v>660.05</v>
      </c>
    </row>
    <row r="1305" spans="1:6" x14ac:dyDescent="0.25">
      <c r="A1305" s="1"/>
      <c r="B1305" s="2"/>
      <c r="C1305" s="8" t="s">
        <v>1253</v>
      </c>
      <c r="D1305" s="8" t="s">
        <v>122</v>
      </c>
      <c r="E1305" s="8">
        <v>44</v>
      </c>
      <c r="F1305" s="8">
        <v>863.84</v>
      </c>
    </row>
    <row r="1306" spans="1:6" x14ac:dyDescent="0.25">
      <c r="A1306" s="1"/>
      <c r="B1306" s="2"/>
      <c r="C1306" s="8" t="s">
        <v>1254</v>
      </c>
      <c r="D1306" s="8" t="s">
        <v>122</v>
      </c>
      <c r="E1306" s="8">
        <v>22</v>
      </c>
      <c r="F1306" s="8">
        <v>417.37</v>
      </c>
    </row>
    <row r="1307" spans="1:6" x14ac:dyDescent="0.25">
      <c r="A1307" s="1"/>
      <c r="B1307" s="2"/>
      <c r="C1307" s="8" t="s">
        <v>1255</v>
      </c>
      <c r="D1307" s="8" t="s">
        <v>122</v>
      </c>
      <c r="E1307" s="8">
        <v>20</v>
      </c>
      <c r="F1307" s="8">
        <v>389.3</v>
      </c>
    </row>
    <row r="1308" spans="1:6" x14ac:dyDescent="0.25">
      <c r="A1308" s="1"/>
      <c r="B1308" s="2"/>
      <c r="C1308" s="8" t="s">
        <v>1256</v>
      </c>
      <c r="D1308" s="8" t="s">
        <v>122</v>
      </c>
      <c r="E1308" s="8">
        <v>99</v>
      </c>
      <c r="F1308" s="8">
        <v>1879.2</v>
      </c>
    </row>
    <row r="1309" spans="1:6" x14ac:dyDescent="0.25">
      <c r="A1309" s="1"/>
      <c r="B1309" s="2"/>
      <c r="C1309" s="8" t="s">
        <v>1257</v>
      </c>
      <c r="D1309" s="8" t="s">
        <v>122</v>
      </c>
      <c r="E1309" s="8">
        <v>108</v>
      </c>
      <c r="F1309" s="8">
        <v>2080.45</v>
      </c>
    </row>
    <row r="1310" spans="1:6" x14ac:dyDescent="0.25">
      <c r="A1310" s="1"/>
      <c r="B1310" s="2"/>
      <c r="C1310" s="8" t="s">
        <v>1258</v>
      </c>
      <c r="D1310" s="8" t="s">
        <v>122</v>
      </c>
      <c r="E1310" s="8">
        <v>33</v>
      </c>
      <c r="F1310" s="8">
        <v>619.74</v>
      </c>
    </row>
    <row r="1311" spans="1:6" x14ac:dyDescent="0.25">
      <c r="A1311" s="1"/>
      <c r="B1311" s="2"/>
      <c r="C1311" s="8" t="s">
        <v>1259</v>
      </c>
      <c r="D1311" s="8" t="s">
        <v>122</v>
      </c>
      <c r="E1311" s="8">
        <v>121</v>
      </c>
      <c r="F1311" s="8">
        <v>2442.26</v>
      </c>
    </row>
    <row r="1312" spans="1:6" x14ac:dyDescent="0.25">
      <c r="A1312" s="1"/>
      <c r="B1312" s="2"/>
      <c r="C1312" s="8" t="s">
        <v>1260</v>
      </c>
      <c r="D1312" s="8" t="s">
        <v>122</v>
      </c>
      <c r="E1312" s="8">
        <v>121</v>
      </c>
      <c r="F1312" s="8">
        <v>2285.27</v>
      </c>
    </row>
    <row r="1313" spans="1:6" x14ac:dyDescent="0.25">
      <c r="A1313" s="1"/>
      <c r="B1313" s="2"/>
      <c r="C1313" s="8" t="s">
        <v>1261</v>
      </c>
      <c r="D1313" s="8" t="s">
        <v>122</v>
      </c>
      <c r="E1313" s="8">
        <v>75</v>
      </c>
      <c r="F1313" s="8">
        <v>1457.06</v>
      </c>
    </row>
    <row r="1314" spans="1:6" x14ac:dyDescent="0.25">
      <c r="A1314" s="1"/>
      <c r="B1314" s="2"/>
      <c r="C1314" s="8" t="s">
        <v>1262</v>
      </c>
      <c r="D1314" s="8" t="s">
        <v>122</v>
      </c>
      <c r="E1314" s="8">
        <v>66</v>
      </c>
      <c r="F1314" s="8">
        <v>1291.59</v>
      </c>
    </row>
    <row r="1315" spans="1:6" x14ac:dyDescent="0.25">
      <c r="A1315" s="1"/>
      <c r="B1315" s="2"/>
      <c r="C1315" s="8" t="s">
        <v>1263</v>
      </c>
      <c r="D1315" s="8" t="s">
        <v>122</v>
      </c>
      <c r="E1315" s="8">
        <v>18</v>
      </c>
      <c r="F1315" s="8">
        <v>359.64</v>
      </c>
    </row>
    <row r="1316" spans="1:6" x14ac:dyDescent="0.25">
      <c r="A1316" s="1"/>
      <c r="B1316" s="2"/>
      <c r="C1316" s="8" t="s">
        <v>1264</v>
      </c>
      <c r="D1316" s="8" t="s">
        <v>122</v>
      </c>
      <c r="E1316" s="8">
        <v>123</v>
      </c>
      <c r="F1316" s="8">
        <v>2529.7</v>
      </c>
    </row>
    <row r="1317" spans="1:6" x14ac:dyDescent="0.25">
      <c r="A1317" s="1"/>
      <c r="B1317" s="2"/>
      <c r="C1317" s="8" t="s">
        <v>1265</v>
      </c>
      <c r="D1317" s="8" t="s">
        <v>122</v>
      </c>
      <c r="E1317" s="8">
        <v>60</v>
      </c>
      <c r="F1317" s="8">
        <v>236.24</v>
      </c>
    </row>
    <row r="1318" spans="1:6" x14ac:dyDescent="0.25">
      <c r="A1318" s="1"/>
      <c r="B1318" s="2"/>
      <c r="C1318" s="8" t="s">
        <v>1266</v>
      </c>
      <c r="D1318" s="8" t="s">
        <v>122</v>
      </c>
      <c r="E1318" s="8">
        <v>130</v>
      </c>
      <c r="F1318" s="8">
        <v>614.05</v>
      </c>
    </row>
    <row r="1319" spans="1:6" x14ac:dyDescent="0.25">
      <c r="A1319" s="1"/>
      <c r="B1319" s="2"/>
      <c r="C1319" s="8" t="s">
        <v>1267</v>
      </c>
      <c r="D1319" s="8" t="s">
        <v>122</v>
      </c>
      <c r="E1319" s="8">
        <v>31</v>
      </c>
      <c r="F1319" s="8">
        <v>618.09</v>
      </c>
    </row>
    <row r="1320" spans="1:6" x14ac:dyDescent="0.25">
      <c r="A1320" s="1"/>
      <c r="B1320" s="2"/>
      <c r="C1320" s="8" t="s">
        <v>1268</v>
      </c>
      <c r="D1320" s="8" t="s">
        <v>122</v>
      </c>
      <c r="E1320" s="8">
        <v>15</v>
      </c>
      <c r="F1320" s="8">
        <v>277.64</v>
      </c>
    </row>
    <row r="1321" spans="1:6" x14ac:dyDescent="0.25">
      <c r="A1321" s="1"/>
      <c r="B1321" s="2"/>
      <c r="C1321" s="8" t="s">
        <v>1269</v>
      </c>
      <c r="D1321" s="8" t="s">
        <v>122</v>
      </c>
      <c r="E1321" s="8">
        <v>95</v>
      </c>
      <c r="F1321" s="8">
        <v>1849.29</v>
      </c>
    </row>
    <row r="1322" spans="1:6" x14ac:dyDescent="0.25">
      <c r="A1322" s="1"/>
      <c r="B1322" s="2"/>
      <c r="C1322" s="8" t="s">
        <v>1270</v>
      </c>
      <c r="D1322" s="8" t="s">
        <v>122</v>
      </c>
      <c r="E1322" s="8">
        <v>1</v>
      </c>
      <c r="F1322" s="8">
        <v>29.68</v>
      </c>
    </row>
    <row r="1323" spans="1:6" x14ac:dyDescent="0.25">
      <c r="A1323" s="1"/>
      <c r="B1323" s="2"/>
      <c r="C1323" s="8" t="s">
        <v>1271</v>
      </c>
      <c r="D1323" s="8" t="s">
        <v>122</v>
      </c>
      <c r="E1323" s="8">
        <v>1</v>
      </c>
      <c r="F1323" s="8">
        <v>5.34</v>
      </c>
    </row>
    <row r="1324" spans="1:6" x14ac:dyDescent="0.25">
      <c r="A1324" s="1"/>
      <c r="B1324" s="2"/>
      <c r="C1324" s="8" t="s">
        <v>1272</v>
      </c>
      <c r="D1324" s="8" t="s">
        <v>122</v>
      </c>
      <c r="E1324" s="8">
        <v>33</v>
      </c>
      <c r="F1324" s="8">
        <v>1216.98</v>
      </c>
    </row>
    <row r="1325" spans="1:6" x14ac:dyDescent="0.25">
      <c r="A1325" s="1"/>
      <c r="B1325" s="2"/>
      <c r="C1325" s="8" t="s">
        <v>1273</v>
      </c>
      <c r="D1325" s="8" t="s">
        <v>122</v>
      </c>
      <c r="E1325" s="8">
        <v>141</v>
      </c>
      <c r="F1325" s="8">
        <v>2886.41</v>
      </c>
    </row>
    <row r="1326" spans="1:6" x14ac:dyDescent="0.25">
      <c r="A1326" s="1"/>
      <c r="B1326" s="2"/>
      <c r="C1326" s="8" t="s">
        <v>1274</v>
      </c>
      <c r="D1326" s="8" t="s">
        <v>122</v>
      </c>
      <c r="E1326" s="8">
        <v>102</v>
      </c>
      <c r="F1326" s="8">
        <v>1985.26</v>
      </c>
    </row>
    <row r="1327" spans="1:6" x14ac:dyDescent="0.25">
      <c r="A1327" s="1"/>
      <c r="B1327" s="2"/>
      <c r="C1327" s="8" t="s">
        <v>1275</v>
      </c>
      <c r="D1327" s="8" t="s">
        <v>122</v>
      </c>
      <c r="E1327" s="8">
        <v>22</v>
      </c>
      <c r="F1327" s="8">
        <v>437.12</v>
      </c>
    </row>
    <row r="1328" spans="1:6" x14ac:dyDescent="0.25">
      <c r="A1328" s="1"/>
      <c r="B1328" s="2"/>
      <c r="C1328" s="8" t="s">
        <v>1276</v>
      </c>
      <c r="D1328" s="8" t="s">
        <v>122</v>
      </c>
      <c r="E1328" s="8">
        <v>24</v>
      </c>
      <c r="F1328" s="8">
        <v>483.92</v>
      </c>
    </row>
    <row r="1329" spans="1:6" x14ac:dyDescent="0.25">
      <c r="A1329" s="1"/>
      <c r="B1329" s="2"/>
      <c r="C1329" s="8" t="s">
        <v>1277</v>
      </c>
      <c r="D1329" s="8" t="s">
        <v>122</v>
      </c>
      <c r="E1329" s="8">
        <v>36</v>
      </c>
      <c r="F1329" s="8">
        <v>729.01</v>
      </c>
    </row>
    <row r="1330" spans="1:6" x14ac:dyDescent="0.25">
      <c r="A1330" s="1"/>
      <c r="B1330" s="2"/>
      <c r="C1330" s="8" t="s">
        <v>1278</v>
      </c>
      <c r="D1330" s="8" t="s">
        <v>122</v>
      </c>
      <c r="E1330" s="8">
        <v>29</v>
      </c>
      <c r="F1330" s="8">
        <v>555.31</v>
      </c>
    </row>
    <row r="1331" spans="1:6" x14ac:dyDescent="0.25">
      <c r="A1331" s="1"/>
      <c r="B1331" s="2"/>
      <c r="C1331" s="8" t="s">
        <v>1279</v>
      </c>
      <c r="D1331" s="8" t="s">
        <v>122</v>
      </c>
      <c r="E1331" s="8">
        <v>52</v>
      </c>
      <c r="F1331" s="8">
        <v>1062.6</v>
      </c>
    </row>
    <row r="1332" spans="1:6" x14ac:dyDescent="0.25">
      <c r="A1332" s="1"/>
      <c r="B1332" s="2"/>
      <c r="C1332" s="8" t="s">
        <v>1280</v>
      </c>
      <c r="D1332" s="8" t="s">
        <v>122</v>
      </c>
      <c r="E1332" s="8">
        <v>43</v>
      </c>
      <c r="F1332" s="8">
        <v>891.35</v>
      </c>
    </row>
    <row r="1333" spans="1:7" x14ac:dyDescent="0.25">
      <c r="A1333" s="7">
        <v>46276</v>
      </c>
      <c r="B1333" s="8" t="s">
        <v>120</v>
      </c>
      <c r="C1333" s="8" t="s">
        <v>1281</v>
      </c>
      <c r="D1333" s="8" t="s">
        <v>122</v>
      </c>
      <c r="E1333" s="8">
        <v>102</v>
      </c>
      <c r="F1333" s="8">
        <v>1989.01</v>
      </c>
      <c r="G1333" s="7">
        <v>46275</v>
      </c>
    </row>
    <row r="1334" spans="1:6" x14ac:dyDescent="0.25">
      <c r="A1334" s="1"/>
      <c r="B1334" s="2"/>
      <c r="C1334" s="8" t="s">
        <v>1282</v>
      </c>
      <c r="D1334" s="8" t="s">
        <v>122</v>
      </c>
      <c r="E1334" s="8">
        <v>62</v>
      </c>
      <c r="F1334" s="8">
        <v>1274.95</v>
      </c>
    </row>
    <row r="1335" spans="1:6" x14ac:dyDescent="0.25">
      <c r="A1335" s="1"/>
      <c r="B1335" s="2"/>
      <c r="C1335" s="8" t="s">
        <v>1283</v>
      </c>
      <c r="D1335" s="8" t="s">
        <v>122</v>
      </c>
      <c r="E1335" s="8">
        <v>79</v>
      </c>
      <c r="F1335" s="8">
        <v>1570.51</v>
      </c>
    </row>
    <row r="1337" spans="1:7" x14ac:dyDescent="0.25">
      <c r="A1337" s="7">
        <v>46275</v>
      </c>
      <c r="B1337" s="8" t="s">
        <v>10</v>
      </c>
      <c r="C1337" s="8" t="s">
        <v>1284</v>
      </c>
      <c r="D1337" s="8" t="s">
        <v>12</v>
      </c>
      <c r="E1337" s="8">
        <v>85</v>
      </c>
      <c r="F1337" s="8">
        <v>1830.78</v>
      </c>
      <c r="G1337" s="7">
        <v>46275</v>
      </c>
    </row>
    <row r="1338" spans="1:6" x14ac:dyDescent="0.25">
      <c r="A1338" s="1"/>
      <c r="B1338" s="2"/>
      <c r="C1338" s="8" t="s">
        <v>1285</v>
      </c>
      <c r="D1338" s="8" t="s">
        <v>12</v>
      </c>
      <c r="E1338" s="8">
        <v>88</v>
      </c>
      <c r="F1338" s="8">
        <v>1835.74</v>
      </c>
    </row>
    <row r="1340" spans="1:7" x14ac:dyDescent="0.25">
      <c r="A1340" s="7">
        <v>46274</v>
      </c>
      <c r="B1340" s="8" t="s">
        <v>1286</v>
      </c>
      <c r="C1340" s="8" t="s">
        <v>1287</v>
      </c>
      <c r="D1340" s="8" t="s">
        <v>1288</v>
      </c>
      <c r="E1340" s="8">
        <v>101</v>
      </c>
      <c r="F1340" s="8">
        <v>1833.61</v>
      </c>
      <c r="G1340" s="7">
        <v>46275</v>
      </c>
    </row>
    <row r="1342" spans="1:7" x14ac:dyDescent="0.25">
      <c r="A1342" s="7">
        <v>46274</v>
      </c>
      <c r="B1342" s="8" t="s">
        <v>1289</v>
      </c>
      <c r="C1342" s="8" t="s">
        <v>1290</v>
      </c>
      <c r="D1342" s="8" t="s">
        <v>9</v>
      </c>
      <c r="E1342" s="8">
        <v>29</v>
      </c>
      <c r="F1342" s="8">
        <v>572.54</v>
      </c>
      <c r="G1342" s="7">
        <v>46275</v>
      </c>
    </row>
    <row r="1343" spans="1:6" x14ac:dyDescent="0.25">
      <c r="A1343" s="1"/>
      <c r="B1343" s="2"/>
      <c r="C1343" s="8" t="s">
        <v>1291</v>
      </c>
      <c r="D1343" s="8" t="s">
        <v>9</v>
      </c>
      <c r="E1343" s="8">
        <v>58</v>
      </c>
      <c r="F1343" s="8">
        <v>1170.17</v>
      </c>
    </row>
    <row r="1344" spans="1:6" x14ac:dyDescent="0.25">
      <c r="A1344" s="1"/>
      <c r="B1344" s="2"/>
      <c r="C1344" s="8" t="s">
        <v>1292</v>
      </c>
      <c r="D1344" s="8" t="s">
        <v>9</v>
      </c>
      <c r="E1344" s="8">
        <v>54</v>
      </c>
      <c r="F1344" s="8">
        <v>1120.15</v>
      </c>
    </row>
    <row r="1345" spans="1:6" x14ac:dyDescent="0.25">
      <c r="A1345" s="1"/>
      <c r="B1345" s="2"/>
      <c r="C1345" s="8" t="s">
        <v>1293</v>
      </c>
      <c r="D1345" s="8" t="s">
        <v>9</v>
      </c>
      <c r="E1345" s="8">
        <v>141</v>
      </c>
      <c r="F1345" s="8">
        <v>2865.58</v>
      </c>
    </row>
    <row r="1346" spans="1:6" x14ac:dyDescent="0.25">
      <c r="A1346" s="1"/>
      <c r="B1346" s="2"/>
      <c r="C1346" s="8" t="s">
        <v>1294</v>
      </c>
      <c r="D1346" s="8" t="s">
        <v>9</v>
      </c>
      <c r="E1346" s="8">
        <v>77</v>
      </c>
      <c r="F1346" s="8">
        <v>376.94</v>
      </c>
    </row>
    <row r="1347" spans="1:6" x14ac:dyDescent="0.25">
      <c r="A1347" s="1"/>
      <c r="B1347" s="2"/>
      <c r="C1347" s="8" t="s">
        <v>1295</v>
      </c>
      <c r="D1347" s="8" t="s">
        <v>9</v>
      </c>
      <c r="E1347" s="8">
        <v>123</v>
      </c>
      <c r="F1347" s="8">
        <v>2440.7</v>
      </c>
    </row>
    <row r="1348" spans="1:6" x14ac:dyDescent="0.25">
      <c r="A1348" s="1"/>
      <c r="B1348" s="2"/>
      <c r="C1348" s="8" t="s">
        <v>1296</v>
      </c>
      <c r="D1348" s="8" t="s">
        <v>9</v>
      </c>
      <c r="E1348" s="8">
        <v>123</v>
      </c>
      <c r="F1348" s="8">
        <v>2534.49</v>
      </c>
    </row>
    <row r="1349" spans="1:6" x14ac:dyDescent="0.25">
      <c r="A1349" s="1"/>
      <c r="B1349" s="2"/>
      <c r="C1349" s="8" t="s">
        <v>1297</v>
      </c>
      <c r="D1349" s="8" t="s">
        <v>9</v>
      </c>
      <c r="E1349" s="8">
        <v>123</v>
      </c>
      <c r="F1349" s="8">
        <v>2515.13</v>
      </c>
    </row>
    <row r="1350" spans="1:6" x14ac:dyDescent="0.25">
      <c r="A1350" s="1"/>
      <c r="B1350" s="2"/>
      <c r="C1350" s="8" t="s">
        <v>1298</v>
      </c>
      <c r="D1350" s="8" t="s">
        <v>9</v>
      </c>
      <c r="E1350" s="8">
        <v>123</v>
      </c>
      <c r="F1350" s="8">
        <v>2413.77</v>
      </c>
    </row>
    <row r="1351" spans="1:6" x14ac:dyDescent="0.25">
      <c r="A1351" s="1"/>
      <c r="B1351" s="2"/>
      <c r="C1351" s="8" t="s">
        <v>1299</v>
      </c>
      <c r="D1351" s="8" t="s">
        <v>9</v>
      </c>
      <c r="E1351" s="8">
        <v>135</v>
      </c>
      <c r="F1351" s="8">
        <v>685.79</v>
      </c>
    </row>
    <row r="1352" spans="1:6" x14ac:dyDescent="0.25">
      <c r="A1352" s="1"/>
      <c r="B1352" s="2"/>
      <c r="C1352" s="8" t="s">
        <v>1300</v>
      </c>
      <c r="D1352" s="8" t="s">
        <v>9</v>
      </c>
      <c r="E1352" s="8">
        <v>59</v>
      </c>
      <c r="F1352" s="8">
        <v>1104.89</v>
      </c>
    </row>
    <row r="1353" spans="1:6" x14ac:dyDescent="0.25">
      <c r="A1353" s="1"/>
      <c r="B1353" s="2"/>
      <c r="C1353" s="8" t="s">
        <v>1301</v>
      </c>
      <c r="D1353" s="8" t="s">
        <v>9</v>
      </c>
      <c r="E1353" s="8">
        <v>52</v>
      </c>
      <c r="F1353" s="8">
        <v>1024.46</v>
      </c>
    </row>
    <row r="1354" spans="1:6" x14ac:dyDescent="0.25">
      <c r="A1354" s="1"/>
      <c r="B1354" s="2"/>
      <c r="C1354" s="8" t="s">
        <v>1302</v>
      </c>
      <c r="D1354" s="8" t="s">
        <v>9</v>
      </c>
      <c r="E1354" s="8">
        <v>16</v>
      </c>
      <c r="F1354" s="8">
        <v>293.43</v>
      </c>
    </row>
    <row r="1355" spans="1:6" x14ac:dyDescent="0.25">
      <c r="A1355" s="1"/>
      <c r="B1355" s="2"/>
      <c r="C1355" s="8" t="s">
        <v>1303</v>
      </c>
      <c r="D1355" s="8" t="s">
        <v>9</v>
      </c>
      <c r="E1355" s="8">
        <v>100</v>
      </c>
      <c r="F1355" s="8">
        <v>1980.15</v>
      </c>
    </row>
    <row r="1356" spans="1:6" x14ac:dyDescent="0.25">
      <c r="A1356" s="1"/>
      <c r="B1356" s="2"/>
      <c r="C1356" s="8" t="s">
        <v>1304</v>
      </c>
      <c r="D1356" s="8" t="s">
        <v>9</v>
      </c>
      <c r="E1356" s="8">
        <v>41</v>
      </c>
      <c r="F1356" s="8">
        <v>821.27</v>
      </c>
    </row>
    <row r="1357" spans="1:6" x14ac:dyDescent="0.25">
      <c r="A1357" s="1"/>
      <c r="B1357" s="2"/>
      <c r="C1357" s="8" t="s">
        <v>1305</v>
      </c>
      <c r="D1357" s="8" t="s">
        <v>9</v>
      </c>
      <c r="E1357" s="8">
        <v>216</v>
      </c>
      <c r="F1357" s="8">
        <v>1328.37</v>
      </c>
    </row>
    <row r="1358" spans="1:6" x14ac:dyDescent="0.25">
      <c r="A1358" s="1"/>
      <c r="B1358" s="2"/>
      <c r="C1358" s="8" t="s">
        <v>1306</v>
      </c>
      <c r="D1358" s="8" t="s">
        <v>9</v>
      </c>
      <c r="E1358" s="8">
        <v>120</v>
      </c>
      <c r="F1358" s="8">
        <v>2087.01</v>
      </c>
    </row>
    <row r="1359" spans="1:7" x14ac:dyDescent="0.25">
      <c r="A1359" s="7">
        <v>46274</v>
      </c>
      <c r="B1359" s="8" t="s">
        <v>90</v>
      </c>
      <c r="C1359" s="8" t="s">
        <v>1307</v>
      </c>
      <c r="D1359" s="8" t="s">
        <v>9</v>
      </c>
      <c r="E1359" s="8">
        <v>102</v>
      </c>
      <c r="F1359" s="8">
        <v>1705.63</v>
      </c>
      <c r="G1359" s="7">
        <v>46275</v>
      </c>
    </row>
    <row r="1360" spans="1:6" x14ac:dyDescent="0.25">
      <c r="A1360" s="1"/>
      <c r="B1360" s="2"/>
      <c r="C1360" s="8" t="s">
        <v>1308</v>
      </c>
      <c r="D1360" s="8" t="s">
        <v>9</v>
      </c>
      <c r="E1360" s="8">
        <v>18</v>
      </c>
      <c r="F1360" s="8">
        <v>335.81</v>
      </c>
    </row>
    <row r="1361" spans="1:6" x14ac:dyDescent="0.25">
      <c r="A1361" s="1"/>
      <c r="B1361" s="2"/>
      <c r="C1361" s="8" t="s">
        <v>1309</v>
      </c>
      <c r="D1361" s="8" t="s">
        <v>9</v>
      </c>
      <c r="E1361" s="8">
        <v>38</v>
      </c>
      <c r="F1361" s="8">
        <v>661.56</v>
      </c>
    </row>
    <row r="1362" spans="1:6" x14ac:dyDescent="0.25">
      <c r="A1362" s="1"/>
      <c r="B1362" s="2"/>
      <c r="C1362" s="8" t="s">
        <v>1310</v>
      </c>
      <c r="D1362" s="8" t="s">
        <v>9</v>
      </c>
      <c r="E1362" s="8">
        <v>44</v>
      </c>
      <c r="F1362" s="8">
        <v>828.27</v>
      </c>
    </row>
    <row r="1363" spans="1:6" x14ac:dyDescent="0.25">
      <c r="A1363" s="1"/>
      <c r="B1363" s="2"/>
      <c r="C1363" s="8" t="s">
        <v>1311</v>
      </c>
      <c r="D1363" s="8" t="s">
        <v>9</v>
      </c>
      <c r="E1363" s="8">
        <v>102</v>
      </c>
      <c r="F1363" s="8">
        <v>2025.58</v>
      </c>
    </row>
    <row r="1364" spans="1:6" x14ac:dyDescent="0.25">
      <c r="A1364" s="1"/>
      <c r="B1364" s="2"/>
      <c r="C1364" s="8" t="s">
        <v>1312</v>
      </c>
      <c r="D1364" s="8" t="s">
        <v>9</v>
      </c>
      <c r="E1364" s="8">
        <v>141</v>
      </c>
      <c r="F1364" s="8">
        <v>2763.52</v>
      </c>
    </row>
    <row r="1365" spans="1:6" x14ac:dyDescent="0.25">
      <c r="A1365" s="1"/>
      <c r="B1365" s="2"/>
      <c r="C1365" s="8" t="s">
        <v>1313</v>
      </c>
      <c r="D1365" s="8" t="s">
        <v>9</v>
      </c>
      <c r="E1365" s="8">
        <v>141</v>
      </c>
      <c r="F1365" s="8">
        <v>2748.58</v>
      </c>
    </row>
    <row r="1366" spans="1:6" x14ac:dyDescent="0.25">
      <c r="A1366" s="1"/>
      <c r="B1366" s="2"/>
      <c r="C1366" s="8" t="s">
        <v>1314</v>
      </c>
      <c r="D1366" s="8" t="s">
        <v>9</v>
      </c>
      <c r="E1366" s="8">
        <v>66</v>
      </c>
      <c r="F1366" s="8">
        <v>1234.55</v>
      </c>
    </row>
    <row r="1367" spans="1:6" x14ac:dyDescent="0.25">
      <c r="A1367" s="1"/>
      <c r="B1367" s="2"/>
      <c r="C1367" s="8" t="s">
        <v>1315</v>
      </c>
      <c r="D1367" s="8" t="s">
        <v>9</v>
      </c>
      <c r="E1367" s="8">
        <v>75</v>
      </c>
      <c r="F1367" s="8">
        <v>1481.17</v>
      </c>
    </row>
    <row r="1368" spans="1:6" x14ac:dyDescent="0.25">
      <c r="A1368" s="1"/>
      <c r="B1368" s="2"/>
      <c r="C1368" s="8" t="s">
        <v>1316</v>
      </c>
      <c r="D1368" s="8" t="s">
        <v>9</v>
      </c>
      <c r="E1368" s="8">
        <v>54</v>
      </c>
      <c r="F1368" s="8">
        <v>1052.59</v>
      </c>
    </row>
    <row r="1369" spans="1:6" x14ac:dyDescent="0.25">
      <c r="A1369" s="1"/>
      <c r="B1369" s="2"/>
      <c r="C1369" s="8" t="s">
        <v>1317</v>
      </c>
      <c r="D1369" s="8" t="s">
        <v>9</v>
      </c>
      <c r="E1369" s="8">
        <v>88</v>
      </c>
      <c r="F1369" s="8">
        <v>1600.76</v>
      </c>
    </row>
    <row r="1370" spans="1:6" x14ac:dyDescent="0.25">
      <c r="A1370" s="1"/>
      <c r="B1370" s="2"/>
      <c r="C1370" s="8" t="s">
        <v>1318</v>
      </c>
      <c r="D1370" s="8" t="s">
        <v>9</v>
      </c>
      <c r="E1370" s="8">
        <v>101</v>
      </c>
      <c r="F1370" s="8">
        <v>2013.73</v>
      </c>
    </row>
    <row r="1371" spans="1:6" x14ac:dyDescent="0.25">
      <c r="A1371" s="1"/>
      <c r="B1371" s="2"/>
      <c r="C1371" s="8" t="s">
        <v>1319</v>
      </c>
      <c r="D1371" s="8" t="s">
        <v>9</v>
      </c>
      <c r="E1371" s="8">
        <v>40</v>
      </c>
      <c r="F1371" s="8">
        <v>756.45</v>
      </c>
    </row>
    <row r="1372" spans="1:6" x14ac:dyDescent="0.25">
      <c r="A1372" s="1"/>
      <c r="B1372" s="2"/>
      <c r="C1372" s="8" t="s">
        <v>1320</v>
      </c>
      <c r="D1372" s="8" t="s">
        <v>9</v>
      </c>
      <c r="E1372" s="8">
        <v>62</v>
      </c>
      <c r="F1372" s="8">
        <v>1204.64</v>
      </c>
    </row>
    <row r="1373" spans="1:6" x14ac:dyDescent="0.25">
      <c r="A1373" s="1"/>
      <c r="B1373" s="2"/>
      <c r="C1373" s="8" t="s">
        <v>1321</v>
      </c>
      <c r="D1373" s="8" t="s">
        <v>9</v>
      </c>
      <c r="E1373" s="8">
        <v>25</v>
      </c>
      <c r="F1373" s="8">
        <v>476.4</v>
      </c>
    </row>
    <row r="1374" spans="1:6" x14ac:dyDescent="0.25">
      <c r="A1374" s="1"/>
      <c r="B1374" s="2"/>
      <c r="C1374" s="8" t="s">
        <v>1322</v>
      </c>
      <c r="D1374" s="8" t="s">
        <v>9</v>
      </c>
      <c r="E1374" s="8">
        <v>12</v>
      </c>
      <c r="F1374" s="8">
        <v>144.64</v>
      </c>
    </row>
    <row r="1375" spans="1:6" x14ac:dyDescent="0.25">
      <c r="A1375" s="1"/>
      <c r="B1375" s="2"/>
      <c r="C1375" s="8" t="s">
        <v>1323</v>
      </c>
      <c r="D1375" s="8" t="s">
        <v>9</v>
      </c>
      <c r="E1375" s="8">
        <v>5</v>
      </c>
      <c r="F1375" s="8">
        <v>99.23</v>
      </c>
    </row>
    <row r="1376" spans="1:6" x14ac:dyDescent="0.25">
      <c r="A1376" s="1"/>
      <c r="B1376" s="2"/>
      <c r="C1376" s="8" t="s">
        <v>1324</v>
      </c>
      <c r="D1376" s="8" t="s">
        <v>9</v>
      </c>
      <c r="E1376" s="8">
        <v>141</v>
      </c>
      <c r="F1376" s="8">
        <v>2927.41</v>
      </c>
    </row>
    <row r="1377" spans="1:6" x14ac:dyDescent="0.25">
      <c r="A1377" s="1"/>
      <c r="B1377" s="2"/>
      <c r="C1377" s="8" t="s">
        <v>1325</v>
      </c>
      <c r="D1377" s="8" t="s">
        <v>9</v>
      </c>
      <c r="E1377" s="8">
        <v>107</v>
      </c>
      <c r="F1377" s="8">
        <v>2185.18</v>
      </c>
    </row>
    <row r="1378" spans="1:6" x14ac:dyDescent="0.25">
      <c r="A1378" s="1"/>
      <c r="B1378" s="2"/>
      <c r="C1378" s="8" t="s">
        <v>1326</v>
      </c>
      <c r="D1378" s="8" t="s">
        <v>9</v>
      </c>
      <c r="E1378" s="8">
        <v>34</v>
      </c>
      <c r="F1378" s="8">
        <v>729.84</v>
      </c>
    </row>
    <row r="1379" spans="1:6" x14ac:dyDescent="0.25">
      <c r="A1379" s="1"/>
      <c r="B1379" s="2"/>
      <c r="C1379" s="8" t="s">
        <v>1327</v>
      </c>
      <c r="D1379" s="8" t="s">
        <v>9</v>
      </c>
      <c r="E1379" s="8">
        <v>26</v>
      </c>
      <c r="F1379" s="8">
        <v>438.16</v>
      </c>
    </row>
    <row r="1380" spans="1:6" x14ac:dyDescent="0.25">
      <c r="A1380" s="1"/>
      <c r="B1380" s="2"/>
      <c r="C1380" s="8" t="s">
        <v>1328</v>
      </c>
      <c r="D1380" s="8" t="s">
        <v>9</v>
      </c>
      <c r="E1380" s="8">
        <v>82</v>
      </c>
      <c r="F1380" s="8">
        <v>1545.78</v>
      </c>
    </row>
    <row r="1381" spans="1:6" x14ac:dyDescent="0.25">
      <c r="A1381" s="1"/>
      <c r="B1381" s="2"/>
      <c r="C1381" s="8" t="s">
        <v>1329</v>
      </c>
      <c r="D1381" s="8" t="s">
        <v>9</v>
      </c>
      <c r="E1381" s="8">
        <v>33</v>
      </c>
      <c r="F1381" s="8">
        <v>677.31</v>
      </c>
    </row>
    <row r="1382" spans="1:6" x14ac:dyDescent="0.25">
      <c r="A1382" s="1"/>
      <c r="B1382" s="2"/>
      <c r="C1382" s="8" t="s">
        <v>1330</v>
      </c>
      <c r="D1382" s="8" t="s">
        <v>9</v>
      </c>
      <c r="E1382" s="8">
        <v>16</v>
      </c>
      <c r="F1382" s="8">
        <v>302.67</v>
      </c>
    </row>
    <row r="1383" spans="1:6" x14ac:dyDescent="0.25">
      <c r="A1383" s="1"/>
      <c r="B1383" s="2"/>
      <c r="C1383" s="8" t="s">
        <v>1331</v>
      </c>
      <c r="D1383" s="8" t="s">
        <v>9</v>
      </c>
      <c r="E1383" s="8">
        <v>36</v>
      </c>
      <c r="F1383" s="8">
        <v>678.11</v>
      </c>
    </row>
    <row r="1384" spans="1:6" x14ac:dyDescent="0.25">
      <c r="A1384" s="1"/>
      <c r="B1384" s="2"/>
      <c r="C1384" s="8" t="s">
        <v>1332</v>
      </c>
      <c r="D1384" s="8" t="s">
        <v>9</v>
      </c>
      <c r="E1384" s="8">
        <v>4</v>
      </c>
      <c r="F1384" s="8">
        <v>57.79</v>
      </c>
    </row>
    <row r="1385" spans="1:6" x14ac:dyDescent="0.25">
      <c r="A1385" s="1"/>
      <c r="B1385" s="2"/>
      <c r="C1385" s="8" t="s">
        <v>1333</v>
      </c>
      <c r="D1385" s="8" t="s">
        <v>9</v>
      </c>
      <c r="E1385" s="8">
        <v>4</v>
      </c>
      <c r="F1385" s="8">
        <v>57.67</v>
      </c>
    </row>
    <row r="1386" spans="1:6" x14ac:dyDescent="0.25">
      <c r="A1386" s="1"/>
      <c r="B1386" s="2"/>
      <c r="C1386" s="8" t="s">
        <v>1334</v>
      </c>
      <c r="D1386" s="8" t="s">
        <v>9</v>
      </c>
      <c r="E1386" s="8">
        <v>14</v>
      </c>
      <c r="F1386" s="8">
        <v>244.7</v>
      </c>
    </row>
    <row r="1387" spans="1:6" x14ac:dyDescent="0.25">
      <c r="A1387" s="1"/>
      <c r="B1387" s="2"/>
      <c r="C1387" s="8" t="s">
        <v>1335</v>
      </c>
      <c r="D1387" s="8" t="s">
        <v>9</v>
      </c>
      <c r="E1387" s="8">
        <v>141</v>
      </c>
      <c r="F1387" s="8">
        <v>2883.09</v>
      </c>
    </row>
    <row r="1388" spans="1:6" x14ac:dyDescent="0.25">
      <c r="A1388" s="1"/>
      <c r="B1388" s="2"/>
      <c r="C1388" s="8" t="s">
        <v>1336</v>
      </c>
      <c r="D1388" s="8" t="s">
        <v>9</v>
      </c>
      <c r="E1388" s="8">
        <v>29</v>
      </c>
      <c r="F1388" s="8">
        <v>579.12</v>
      </c>
    </row>
    <row r="1389" spans="1:6" x14ac:dyDescent="0.25">
      <c r="A1389" s="1"/>
      <c r="B1389" s="2"/>
      <c r="C1389" s="8" t="s">
        <v>1337</v>
      </c>
      <c r="D1389" s="8" t="s">
        <v>9</v>
      </c>
      <c r="E1389" s="8">
        <v>58</v>
      </c>
      <c r="F1389" s="8">
        <v>1171.12</v>
      </c>
    </row>
    <row r="1390" spans="1:6" x14ac:dyDescent="0.25">
      <c r="A1390" s="1"/>
      <c r="B1390" s="2"/>
      <c r="C1390" s="8" t="s">
        <v>1338</v>
      </c>
      <c r="D1390" s="8" t="s">
        <v>9</v>
      </c>
      <c r="E1390" s="8">
        <v>54</v>
      </c>
      <c r="F1390" s="8">
        <v>1121.85</v>
      </c>
    </row>
    <row r="1391" spans="1:6" x14ac:dyDescent="0.25">
      <c r="A1391" s="1"/>
      <c r="B1391" s="2"/>
      <c r="C1391" s="8" t="s">
        <v>1339</v>
      </c>
      <c r="D1391" s="8" t="s">
        <v>9</v>
      </c>
      <c r="E1391" s="8">
        <v>102</v>
      </c>
      <c r="F1391" s="8">
        <v>2083.82</v>
      </c>
    </row>
    <row r="1392" spans="1:6" x14ac:dyDescent="0.25">
      <c r="A1392" s="1"/>
      <c r="B1392" s="2"/>
      <c r="C1392" s="8" t="s">
        <v>1340</v>
      </c>
      <c r="D1392" s="8" t="s">
        <v>9</v>
      </c>
      <c r="E1392" s="8">
        <v>15</v>
      </c>
      <c r="F1392" s="8">
        <v>312.1</v>
      </c>
    </row>
    <row r="1393" spans="1:6" x14ac:dyDescent="0.25">
      <c r="A1393" s="1"/>
      <c r="B1393" s="2"/>
      <c r="C1393" s="8" t="s">
        <v>1341</v>
      </c>
      <c r="D1393" s="8" t="s">
        <v>9</v>
      </c>
      <c r="E1393" s="8">
        <v>44</v>
      </c>
      <c r="F1393" s="8">
        <v>875.14</v>
      </c>
    </row>
    <row r="1394" spans="1:6" x14ac:dyDescent="0.25">
      <c r="A1394" s="1"/>
      <c r="B1394" s="2"/>
      <c r="C1394" s="8" t="s">
        <v>1342</v>
      </c>
      <c r="D1394" s="8" t="s">
        <v>9</v>
      </c>
      <c r="E1394" s="8">
        <v>35</v>
      </c>
      <c r="F1394" s="8">
        <v>716.9</v>
      </c>
    </row>
    <row r="1395" spans="1:6" x14ac:dyDescent="0.25">
      <c r="A1395" s="1"/>
      <c r="B1395" s="2"/>
      <c r="C1395" s="8" t="s">
        <v>1343</v>
      </c>
      <c r="D1395" s="8" t="s">
        <v>9</v>
      </c>
      <c r="E1395" s="8">
        <v>8</v>
      </c>
      <c r="F1395" s="8">
        <v>157.17</v>
      </c>
    </row>
    <row r="1397" spans="1:7" x14ac:dyDescent="0.25">
      <c r="A1397" s="7">
        <v>46276</v>
      </c>
      <c r="B1397" s="8" t="s">
        <v>18</v>
      </c>
      <c r="C1397" s="8" t="s">
        <v>1344</v>
      </c>
      <c r="D1397" s="8" t="s">
        <v>20</v>
      </c>
      <c r="E1397" s="8">
        <v>142</v>
      </c>
      <c r="F1397" s="8">
        <v>2751.18</v>
      </c>
      <c r="G1397" s="7">
        <v>46275</v>
      </c>
    </row>
    <row r="1398" spans="1:6" x14ac:dyDescent="0.25">
      <c r="A1398" s="1"/>
      <c r="B1398" s="2"/>
      <c r="C1398" s="8" t="s">
        <v>1345</v>
      </c>
      <c r="D1398" s="8" t="s">
        <v>20</v>
      </c>
      <c r="E1398" s="8">
        <v>142</v>
      </c>
      <c r="F1398" s="8">
        <v>2816.15</v>
      </c>
    </row>
    <row r="1399" spans="1:6" x14ac:dyDescent="0.25">
      <c r="A1399" s="1"/>
      <c r="B1399" s="2"/>
      <c r="C1399" s="8" t="s">
        <v>1346</v>
      </c>
      <c r="D1399" s="8" t="s">
        <v>20</v>
      </c>
      <c r="E1399" s="8">
        <v>142</v>
      </c>
      <c r="F1399" s="8">
        <v>2748.14</v>
      </c>
    </row>
    <row r="1400" spans="1:6" x14ac:dyDescent="0.25">
      <c r="A1400" s="1"/>
      <c r="B1400" s="2"/>
      <c r="C1400" s="8" t="s">
        <v>1347</v>
      </c>
      <c r="D1400" s="8" t="s">
        <v>20</v>
      </c>
      <c r="E1400" s="8">
        <v>102</v>
      </c>
      <c r="F1400" s="8">
        <v>1931.71</v>
      </c>
    </row>
    <row r="1401" spans="1:6" x14ac:dyDescent="0.25">
      <c r="A1401" s="1"/>
      <c r="B1401" s="2"/>
      <c r="C1401" s="8" t="s">
        <v>1348</v>
      </c>
      <c r="D1401" s="8" t="s">
        <v>20</v>
      </c>
      <c r="E1401" s="8">
        <v>90</v>
      </c>
      <c r="F1401" s="8">
        <v>1812.72</v>
      </c>
    </row>
    <row r="1403" spans="1:7" x14ac:dyDescent="0.25">
      <c r="A1403" s="7">
        <v>46274</v>
      </c>
      <c r="B1403" s="8" t="s">
        <v>10</v>
      </c>
      <c r="C1403" s="8" t="s">
        <v>1349</v>
      </c>
      <c r="D1403" s="8" t="s">
        <v>12</v>
      </c>
      <c r="E1403" s="8">
        <v>98</v>
      </c>
      <c r="F1403" s="8">
        <v>2002.88</v>
      </c>
      <c r="G1403" s="7">
        <v>46273</v>
      </c>
    </row>
    <row r="1404" spans="1:6" x14ac:dyDescent="0.25">
      <c r="A1404" s="1"/>
      <c r="B1404" s="2"/>
      <c r="C1404" s="8" t="s">
        <v>1350</v>
      </c>
      <c r="D1404" s="8" t="s">
        <v>12</v>
      </c>
      <c r="E1404" s="8">
        <v>97</v>
      </c>
      <c r="F1404" s="8">
        <v>2056.35</v>
      </c>
    </row>
    <row r="1406" spans="1:7" x14ac:dyDescent="0.25">
      <c r="A1406" s="7">
        <v>46270</v>
      </c>
      <c r="B1406" s="8" t="s">
        <v>453</v>
      </c>
      <c r="C1406" s="8" t="s">
        <v>1351</v>
      </c>
      <c r="D1406" s="8" t="s">
        <v>204</v>
      </c>
      <c r="E1406" s="8">
        <v>105</v>
      </c>
      <c r="F1406" s="8">
        <v>1585.77</v>
      </c>
      <c r="G1406" s="7">
        <v>46273</v>
      </c>
    </row>
    <row r="1407" spans="1:6" x14ac:dyDescent="0.25">
      <c r="A1407" s="1"/>
      <c r="B1407" s="2"/>
      <c r="C1407" s="8" t="s">
        <v>1352</v>
      </c>
      <c r="D1407" s="8" t="s">
        <v>204</v>
      </c>
      <c r="E1407" s="8">
        <v>134</v>
      </c>
      <c r="F1407" s="8">
        <v>2687.82</v>
      </c>
    </row>
    <row r="1408" spans="1:6" x14ac:dyDescent="0.25">
      <c r="A1408" s="1"/>
      <c r="B1408" s="2"/>
      <c r="C1408" s="8" t="s">
        <v>1353</v>
      </c>
      <c r="D1408" s="8" t="s">
        <v>236</v>
      </c>
      <c r="E1408" s="8">
        <v>45</v>
      </c>
      <c r="F1408" s="8">
        <v>832.36</v>
      </c>
    </row>
    <row r="1409" spans="1:6" x14ac:dyDescent="0.25">
      <c r="A1409" s="1"/>
      <c r="B1409" s="2"/>
      <c r="C1409" s="8" t="s">
        <v>1354</v>
      </c>
      <c r="D1409" s="8" t="s">
        <v>236</v>
      </c>
      <c r="E1409" s="8">
        <v>60</v>
      </c>
      <c r="F1409" s="8">
        <v>1091.3</v>
      </c>
    </row>
    <row r="1410" spans="1:6" x14ac:dyDescent="0.25">
      <c r="A1410" s="1"/>
      <c r="B1410" s="2"/>
      <c r="C1410" s="8" t="s">
        <v>1355</v>
      </c>
      <c r="D1410" s="8" t="s">
        <v>214</v>
      </c>
      <c r="E1410" s="8">
        <v>56</v>
      </c>
      <c r="F1410" s="8">
        <v>1141.94</v>
      </c>
    </row>
    <row r="1411" spans="1:6" x14ac:dyDescent="0.25">
      <c r="A1411" s="1"/>
      <c r="B1411" s="2"/>
      <c r="C1411" s="8" t="s">
        <v>1356</v>
      </c>
      <c r="D1411" s="8" t="s">
        <v>214</v>
      </c>
      <c r="E1411" s="8">
        <v>100</v>
      </c>
      <c r="F1411" s="8">
        <v>1984.4</v>
      </c>
    </row>
    <row r="1412" spans="1:6" x14ac:dyDescent="0.25">
      <c r="A1412" s="1"/>
      <c r="B1412" s="2"/>
      <c r="C1412" s="8" t="s">
        <v>1357</v>
      </c>
      <c r="D1412" s="8" t="s">
        <v>216</v>
      </c>
      <c r="E1412" s="8">
        <v>25</v>
      </c>
      <c r="F1412" s="8">
        <v>459.7</v>
      </c>
    </row>
    <row r="1413" spans="1:6" x14ac:dyDescent="0.25">
      <c r="A1413" s="1"/>
      <c r="B1413" s="2"/>
      <c r="C1413" s="8" t="s">
        <v>1358</v>
      </c>
      <c r="D1413" s="8" t="s">
        <v>204</v>
      </c>
      <c r="E1413" s="8">
        <v>105</v>
      </c>
      <c r="F1413" s="8">
        <v>2119.89</v>
      </c>
    </row>
    <row r="1414" spans="1:6" x14ac:dyDescent="0.25">
      <c r="A1414" s="1"/>
      <c r="B1414" s="2"/>
      <c r="C1414" s="8" t="s">
        <v>1359</v>
      </c>
      <c r="D1414" s="8" t="s">
        <v>214</v>
      </c>
      <c r="E1414" s="8">
        <v>156</v>
      </c>
      <c r="F1414" s="8">
        <v>3041.16</v>
      </c>
    </row>
    <row r="1415" spans="1:6" x14ac:dyDescent="0.25">
      <c r="A1415" s="1"/>
      <c r="B1415" s="2"/>
      <c r="C1415" s="8" t="s">
        <v>1360</v>
      </c>
      <c r="D1415" s="8" t="s">
        <v>214</v>
      </c>
      <c r="E1415" s="8">
        <v>156</v>
      </c>
      <c r="F1415" s="8">
        <v>3133.33</v>
      </c>
    </row>
    <row r="1416" spans="1:6" x14ac:dyDescent="0.25">
      <c r="A1416" s="1"/>
      <c r="B1416" s="2"/>
      <c r="C1416" s="8" t="s">
        <v>1361</v>
      </c>
      <c r="D1416" s="8" t="s">
        <v>204</v>
      </c>
      <c r="E1416" s="8">
        <v>66</v>
      </c>
      <c r="F1416" s="8">
        <v>1323.2</v>
      </c>
    </row>
    <row r="1417" spans="1:6" x14ac:dyDescent="0.25">
      <c r="A1417" s="1"/>
      <c r="B1417" s="2"/>
      <c r="C1417" s="8" t="s">
        <v>1362</v>
      </c>
      <c r="D1417" s="8" t="s">
        <v>204</v>
      </c>
      <c r="E1417" s="8">
        <v>105</v>
      </c>
      <c r="F1417" s="8">
        <v>2095.46</v>
      </c>
    </row>
    <row r="1418" spans="1:6" x14ac:dyDescent="0.25">
      <c r="A1418" s="1"/>
      <c r="B1418" s="2"/>
      <c r="C1418" s="8" t="s">
        <v>1363</v>
      </c>
      <c r="D1418" s="8" t="s">
        <v>214</v>
      </c>
      <c r="E1418" s="8">
        <v>56</v>
      </c>
      <c r="F1418" s="8">
        <v>1094.81</v>
      </c>
    </row>
    <row r="1419" spans="1:6" x14ac:dyDescent="0.25">
      <c r="A1419" s="1"/>
      <c r="B1419" s="2"/>
      <c r="C1419" s="8" t="s">
        <v>1364</v>
      </c>
      <c r="D1419" s="8" t="s">
        <v>214</v>
      </c>
      <c r="E1419" s="8">
        <v>100</v>
      </c>
      <c r="F1419" s="8">
        <v>1976.96</v>
      </c>
    </row>
    <row r="1420" spans="1:6" x14ac:dyDescent="0.25">
      <c r="A1420" s="1"/>
      <c r="B1420" s="2"/>
      <c r="C1420" s="8" t="s">
        <v>1365</v>
      </c>
      <c r="D1420" s="8" t="s">
        <v>347</v>
      </c>
      <c r="E1420" s="8">
        <v>65</v>
      </c>
      <c r="F1420" s="8">
        <v>1220.07</v>
      </c>
    </row>
    <row r="1421" spans="1:6" x14ac:dyDescent="0.25">
      <c r="A1421" s="1"/>
      <c r="B1421" s="2"/>
      <c r="C1421" s="8" t="s">
        <v>1366</v>
      </c>
      <c r="D1421" s="8" t="s">
        <v>347</v>
      </c>
      <c r="E1421" s="8">
        <v>91</v>
      </c>
      <c r="F1421" s="8">
        <v>1699.5</v>
      </c>
    </row>
    <row r="1422" spans="1:6" x14ac:dyDescent="0.25">
      <c r="A1422" s="1"/>
      <c r="B1422" s="2"/>
      <c r="C1422" s="8" t="s">
        <v>1367</v>
      </c>
      <c r="D1422" s="8" t="s">
        <v>236</v>
      </c>
      <c r="E1422" s="8">
        <v>14</v>
      </c>
      <c r="F1422" s="8">
        <v>279.65</v>
      </c>
    </row>
    <row r="1423" spans="1:6" x14ac:dyDescent="0.25">
      <c r="A1423" s="1"/>
      <c r="B1423" s="2"/>
      <c r="C1423" s="8" t="s">
        <v>1368</v>
      </c>
      <c r="D1423" s="8" t="s">
        <v>236</v>
      </c>
      <c r="E1423" s="8">
        <v>80</v>
      </c>
      <c r="F1423" s="8">
        <v>1553.4</v>
      </c>
    </row>
    <row r="1424" spans="1:6" x14ac:dyDescent="0.25">
      <c r="A1424" s="1"/>
      <c r="B1424" s="2"/>
      <c r="C1424" s="8" t="s">
        <v>1369</v>
      </c>
      <c r="D1424" s="8" t="s">
        <v>236</v>
      </c>
      <c r="E1424" s="8">
        <v>45</v>
      </c>
      <c r="F1424" s="8">
        <v>816.01</v>
      </c>
    </row>
    <row r="1425" spans="1:6" x14ac:dyDescent="0.25">
      <c r="A1425" s="1"/>
      <c r="B1425" s="2"/>
      <c r="C1425" s="8" t="s">
        <v>1370</v>
      </c>
      <c r="D1425" s="8" t="s">
        <v>204</v>
      </c>
      <c r="E1425" s="8">
        <v>105</v>
      </c>
      <c r="F1425" s="8">
        <v>2074.74</v>
      </c>
    </row>
    <row r="1426" spans="1:6" x14ac:dyDescent="0.25">
      <c r="A1426" s="1"/>
      <c r="B1426" s="2"/>
      <c r="C1426" s="8" t="s">
        <v>1371</v>
      </c>
      <c r="D1426" s="8" t="s">
        <v>216</v>
      </c>
      <c r="E1426" s="8">
        <v>134</v>
      </c>
      <c r="F1426" s="8">
        <v>2673.94</v>
      </c>
    </row>
    <row r="1427" spans="1:6" x14ac:dyDescent="0.25">
      <c r="A1427" s="1"/>
      <c r="B1427" s="2"/>
      <c r="C1427" s="8" t="s">
        <v>1372</v>
      </c>
      <c r="D1427" s="8" t="s">
        <v>216</v>
      </c>
      <c r="E1427" s="8">
        <v>134</v>
      </c>
      <c r="F1427" s="8">
        <v>2851.31</v>
      </c>
    </row>
    <row r="1428" spans="1:6" x14ac:dyDescent="0.25">
      <c r="A1428" s="1"/>
      <c r="B1428" s="2"/>
      <c r="C1428" s="8" t="s">
        <v>1373</v>
      </c>
      <c r="D1428" s="8" t="s">
        <v>236</v>
      </c>
      <c r="E1428" s="8">
        <v>60</v>
      </c>
      <c r="F1428" s="8">
        <v>1094.56</v>
      </c>
    </row>
    <row r="1429" spans="1:6" x14ac:dyDescent="0.25">
      <c r="A1429" s="1"/>
      <c r="B1429" s="2"/>
      <c r="C1429" s="8" t="s">
        <v>1374</v>
      </c>
      <c r="D1429" s="8" t="s">
        <v>216</v>
      </c>
      <c r="E1429" s="8">
        <v>134</v>
      </c>
      <c r="F1429" s="8">
        <v>2767.02</v>
      </c>
    </row>
    <row r="1430" spans="1:6" x14ac:dyDescent="0.25">
      <c r="A1430" s="1"/>
      <c r="B1430" s="2"/>
      <c r="C1430" s="8" t="s">
        <v>1375</v>
      </c>
      <c r="D1430" s="8" t="s">
        <v>216</v>
      </c>
      <c r="E1430" s="8">
        <v>134</v>
      </c>
      <c r="F1430" s="8">
        <v>2888.83</v>
      </c>
    </row>
    <row r="1431" spans="1:6" x14ac:dyDescent="0.25">
      <c r="A1431" s="1"/>
      <c r="B1431" s="2"/>
      <c r="C1431" s="8" t="s">
        <v>1376</v>
      </c>
      <c r="D1431" s="8" t="s">
        <v>204</v>
      </c>
      <c r="E1431" s="8">
        <v>163</v>
      </c>
      <c r="F1431" s="8">
        <v>3246.46</v>
      </c>
    </row>
    <row r="1432" spans="1:6" x14ac:dyDescent="0.25">
      <c r="A1432" s="1"/>
      <c r="B1432" s="2"/>
      <c r="C1432" s="8" t="s">
        <v>1377</v>
      </c>
      <c r="D1432" s="8" t="s">
        <v>204</v>
      </c>
      <c r="E1432" s="8">
        <v>105</v>
      </c>
      <c r="F1432" s="8">
        <v>2093.15</v>
      </c>
    </row>
    <row r="1433" spans="1:6" x14ac:dyDescent="0.25">
      <c r="A1433" s="1"/>
      <c r="B1433" s="2"/>
      <c r="C1433" s="8" t="s">
        <v>1378</v>
      </c>
      <c r="D1433" s="8" t="s">
        <v>216</v>
      </c>
      <c r="E1433" s="8">
        <v>156</v>
      </c>
      <c r="F1433" s="8">
        <v>3219.14</v>
      </c>
    </row>
    <row r="1434" spans="1:6" x14ac:dyDescent="0.25">
      <c r="A1434" s="1"/>
      <c r="B1434" s="2"/>
      <c r="C1434" s="8" t="s">
        <v>1379</v>
      </c>
      <c r="D1434" s="8" t="s">
        <v>216</v>
      </c>
      <c r="E1434" s="8">
        <v>95</v>
      </c>
      <c r="F1434" s="8">
        <v>1961.72</v>
      </c>
    </row>
    <row r="1435" spans="1:6" x14ac:dyDescent="0.25">
      <c r="A1435" s="1"/>
      <c r="B1435" s="2"/>
      <c r="C1435" s="8" t="s">
        <v>1380</v>
      </c>
      <c r="D1435" s="8" t="s">
        <v>204</v>
      </c>
      <c r="E1435" s="8">
        <v>163</v>
      </c>
      <c r="F1435" s="8">
        <v>3101.43</v>
      </c>
    </row>
    <row r="1436" spans="1:6" x14ac:dyDescent="0.25">
      <c r="A1436" s="1"/>
      <c r="B1436" s="2"/>
      <c r="C1436" s="8" t="s">
        <v>1381</v>
      </c>
      <c r="D1436" s="8" t="s">
        <v>204</v>
      </c>
      <c r="E1436" s="8">
        <v>105</v>
      </c>
      <c r="F1436" s="8">
        <v>2093.1</v>
      </c>
    </row>
    <row r="1437" spans="1:6" x14ac:dyDescent="0.25">
      <c r="A1437" s="1"/>
      <c r="B1437" s="2"/>
      <c r="C1437" s="8" t="s">
        <v>1382</v>
      </c>
      <c r="D1437" s="8" t="s">
        <v>204</v>
      </c>
      <c r="E1437" s="8">
        <v>163</v>
      </c>
      <c r="F1437" s="8">
        <v>3126.51</v>
      </c>
    </row>
    <row r="1438" spans="1:7" x14ac:dyDescent="0.25">
      <c r="A1438" s="7">
        <v>46267</v>
      </c>
      <c r="B1438" s="8" t="s">
        <v>212</v>
      </c>
      <c r="C1438" s="8" t="s">
        <v>1383</v>
      </c>
      <c r="D1438" s="8" t="s">
        <v>216</v>
      </c>
      <c r="E1438" s="8">
        <v>36</v>
      </c>
      <c r="F1438" s="8">
        <v>682.97</v>
      </c>
      <c r="G1438" s="7">
        <v>46273</v>
      </c>
    </row>
    <row r="1439" spans="1:6" x14ac:dyDescent="0.25">
      <c r="A1439" s="1"/>
      <c r="B1439" s="2"/>
      <c r="C1439" s="8" t="s">
        <v>1384</v>
      </c>
      <c r="D1439" s="8" t="s">
        <v>347</v>
      </c>
      <c r="E1439" s="8">
        <v>83</v>
      </c>
      <c r="F1439" s="8">
        <v>1630.84</v>
      </c>
    </row>
    <row r="1440" spans="1:6" x14ac:dyDescent="0.25">
      <c r="A1440" s="1"/>
      <c r="B1440" s="2"/>
      <c r="C1440" s="8" t="s">
        <v>1385</v>
      </c>
      <c r="D1440" s="8" t="s">
        <v>347</v>
      </c>
      <c r="E1440" s="8">
        <v>55</v>
      </c>
      <c r="F1440" s="8">
        <v>1035.8</v>
      </c>
    </row>
    <row r="1442" spans="1:7" x14ac:dyDescent="0.25">
      <c r="A1442" s="7">
        <v>46274</v>
      </c>
      <c r="B1442" s="8" t="s">
        <v>120</v>
      </c>
      <c r="C1442" s="8" t="s">
        <v>1386</v>
      </c>
      <c r="D1442" s="8" t="s">
        <v>42</v>
      </c>
      <c r="E1442" s="8">
        <v>60</v>
      </c>
      <c r="F1442" s="8">
        <v>302.3</v>
      </c>
      <c r="G1442" s="7">
        <v>46273</v>
      </c>
    </row>
    <row r="1443" spans="1:6" x14ac:dyDescent="0.25">
      <c r="A1443" s="1"/>
      <c r="B1443" s="2"/>
      <c r="C1443" s="8" t="s">
        <v>1387</v>
      </c>
      <c r="D1443" s="8" t="s">
        <v>42</v>
      </c>
      <c r="E1443" s="8">
        <v>73</v>
      </c>
      <c r="F1443" s="8">
        <v>1422</v>
      </c>
    </row>
    <row r="1444" spans="1:6" x14ac:dyDescent="0.25">
      <c r="A1444" s="1"/>
      <c r="B1444" s="2"/>
      <c r="C1444" s="8" t="s">
        <v>1388</v>
      </c>
      <c r="D1444" s="8" t="s">
        <v>42</v>
      </c>
      <c r="E1444" s="8">
        <v>35</v>
      </c>
      <c r="F1444" s="8">
        <v>694.27</v>
      </c>
    </row>
    <row r="1445" spans="1:6" x14ac:dyDescent="0.25">
      <c r="A1445" s="1"/>
      <c r="B1445" s="2"/>
      <c r="C1445" s="8" t="s">
        <v>1389</v>
      </c>
      <c r="D1445" s="8" t="s">
        <v>42</v>
      </c>
      <c r="E1445" s="8">
        <v>55</v>
      </c>
      <c r="F1445" s="8">
        <v>1145.59</v>
      </c>
    </row>
    <row r="1446" spans="1:6" x14ac:dyDescent="0.25">
      <c r="A1446" s="1"/>
      <c r="B1446" s="2"/>
      <c r="C1446" s="8" t="s">
        <v>1390</v>
      </c>
      <c r="D1446" s="8" t="s">
        <v>42</v>
      </c>
      <c r="E1446" s="8">
        <v>97</v>
      </c>
      <c r="F1446" s="8">
        <v>1438.53</v>
      </c>
    </row>
    <row r="1447" spans="1:6" x14ac:dyDescent="0.25">
      <c r="A1447" s="1"/>
      <c r="B1447" s="2"/>
      <c r="C1447" s="8" t="s">
        <v>1391</v>
      </c>
      <c r="D1447" s="8" t="s">
        <v>42</v>
      </c>
      <c r="E1447" s="8">
        <v>141</v>
      </c>
      <c r="F1447" s="8">
        <v>2705.35</v>
      </c>
    </row>
    <row r="1448" spans="1:6" x14ac:dyDescent="0.25">
      <c r="A1448" s="1"/>
      <c r="B1448" s="2"/>
      <c r="C1448" s="8" t="s">
        <v>1392</v>
      </c>
      <c r="D1448" s="8" t="s">
        <v>42</v>
      </c>
      <c r="E1448" s="8">
        <v>104</v>
      </c>
      <c r="F1448" s="8">
        <v>2064.8</v>
      </c>
    </row>
    <row r="1449" spans="1:6" x14ac:dyDescent="0.25">
      <c r="A1449" s="1"/>
      <c r="B1449" s="2"/>
      <c r="C1449" s="8" t="s">
        <v>1393</v>
      </c>
      <c r="D1449" s="8" t="s">
        <v>42</v>
      </c>
      <c r="E1449" s="8">
        <v>11</v>
      </c>
      <c r="F1449" s="8">
        <v>217.5</v>
      </c>
    </row>
    <row r="1450" spans="1:6" x14ac:dyDescent="0.25">
      <c r="A1450" s="1"/>
      <c r="B1450" s="2"/>
      <c r="C1450" s="8" t="s">
        <v>1394</v>
      </c>
      <c r="D1450" s="8" t="s">
        <v>42</v>
      </c>
      <c r="E1450" s="8">
        <v>79</v>
      </c>
      <c r="F1450" s="8">
        <v>1575.01</v>
      </c>
    </row>
    <row r="1451" spans="1:6" x14ac:dyDescent="0.25">
      <c r="A1451" s="1"/>
      <c r="B1451" s="2"/>
      <c r="C1451" s="8" t="s">
        <v>1395</v>
      </c>
      <c r="D1451" s="8" t="s">
        <v>42</v>
      </c>
      <c r="E1451" s="8">
        <v>60</v>
      </c>
      <c r="F1451" s="8">
        <v>289.19</v>
      </c>
    </row>
    <row r="1452" spans="1:6" x14ac:dyDescent="0.25">
      <c r="A1452" s="1"/>
      <c r="B1452" s="2"/>
      <c r="C1452" s="8" t="s">
        <v>1396</v>
      </c>
      <c r="D1452" s="8" t="s">
        <v>42</v>
      </c>
      <c r="E1452" s="8">
        <v>21</v>
      </c>
      <c r="F1452" s="8">
        <v>394.47</v>
      </c>
    </row>
    <row r="1453" spans="1:6" x14ac:dyDescent="0.25">
      <c r="A1453" s="1"/>
      <c r="B1453" s="2"/>
      <c r="C1453" s="8" t="s">
        <v>1397</v>
      </c>
      <c r="D1453" s="8" t="s">
        <v>42</v>
      </c>
      <c r="E1453" s="8">
        <v>29</v>
      </c>
      <c r="F1453" s="8">
        <v>453.34</v>
      </c>
    </row>
    <row r="1454" spans="1:6" x14ac:dyDescent="0.25">
      <c r="A1454" s="1"/>
      <c r="B1454" s="2"/>
      <c r="C1454" s="8" t="s">
        <v>1398</v>
      </c>
      <c r="D1454" s="8" t="s">
        <v>42</v>
      </c>
      <c r="E1454" s="8">
        <v>51</v>
      </c>
      <c r="F1454" s="8">
        <v>1072.8</v>
      </c>
    </row>
    <row r="1455" spans="1:6" x14ac:dyDescent="0.25">
      <c r="A1455" s="1"/>
      <c r="B1455" s="2"/>
      <c r="C1455" s="8" t="s">
        <v>1399</v>
      </c>
      <c r="D1455" s="8" t="s">
        <v>42</v>
      </c>
      <c r="E1455" s="8">
        <v>40</v>
      </c>
      <c r="F1455" s="8">
        <v>803.44</v>
      </c>
    </row>
    <row r="1456" spans="1:6" x14ac:dyDescent="0.25">
      <c r="A1456" s="1"/>
      <c r="B1456" s="2"/>
      <c r="C1456" s="8" t="s">
        <v>1400</v>
      </c>
      <c r="D1456" s="8" t="s">
        <v>42</v>
      </c>
      <c r="E1456" s="8">
        <v>50</v>
      </c>
      <c r="F1456" s="8">
        <v>968.53</v>
      </c>
    </row>
    <row r="1457" spans="1:6" x14ac:dyDescent="0.25">
      <c r="A1457" s="1"/>
      <c r="B1457" s="2"/>
      <c r="C1457" s="8" t="s">
        <v>1401</v>
      </c>
      <c r="D1457" s="8" t="s">
        <v>42</v>
      </c>
      <c r="E1457" s="8">
        <v>48</v>
      </c>
      <c r="F1457" s="8">
        <v>835.6</v>
      </c>
    </row>
    <row r="1458" spans="1:6" x14ac:dyDescent="0.25">
      <c r="A1458" s="1"/>
      <c r="B1458" s="2"/>
      <c r="C1458" s="8" t="s">
        <v>1402</v>
      </c>
      <c r="D1458" s="8" t="s">
        <v>42</v>
      </c>
      <c r="E1458" s="8">
        <v>52</v>
      </c>
      <c r="F1458" s="8">
        <v>1037.48</v>
      </c>
    </row>
    <row r="1459" spans="1:6" x14ac:dyDescent="0.25">
      <c r="A1459" s="1"/>
      <c r="B1459" s="2"/>
      <c r="C1459" s="8" t="s">
        <v>1403</v>
      </c>
      <c r="D1459" s="8" t="s">
        <v>42</v>
      </c>
      <c r="E1459" s="8">
        <v>18</v>
      </c>
      <c r="F1459" s="8">
        <v>376.69</v>
      </c>
    </row>
    <row r="1460" spans="1:6" x14ac:dyDescent="0.25">
      <c r="A1460" s="1"/>
      <c r="B1460" s="2"/>
      <c r="C1460" s="8" t="s">
        <v>1404</v>
      </c>
      <c r="D1460" s="8" t="s">
        <v>42</v>
      </c>
      <c r="E1460" s="8">
        <v>18</v>
      </c>
      <c r="F1460" s="8">
        <v>368.11</v>
      </c>
    </row>
    <row r="1461" spans="1:6" x14ac:dyDescent="0.25">
      <c r="A1461" s="1"/>
      <c r="B1461" s="2"/>
      <c r="C1461" s="8" t="s">
        <v>1405</v>
      </c>
      <c r="D1461" s="8" t="s">
        <v>42</v>
      </c>
      <c r="E1461" s="8">
        <v>25</v>
      </c>
      <c r="F1461" s="8">
        <v>511.65</v>
      </c>
    </row>
    <row r="1462" spans="1:6" x14ac:dyDescent="0.25">
      <c r="A1462" s="1"/>
      <c r="B1462" s="2"/>
      <c r="C1462" s="8" t="s">
        <v>1406</v>
      </c>
      <c r="D1462" s="8" t="s">
        <v>42</v>
      </c>
      <c r="E1462" s="8">
        <v>65</v>
      </c>
      <c r="F1462" s="8">
        <v>1358.49</v>
      </c>
    </row>
    <row r="1463" spans="1:6" x14ac:dyDescent="0.25">
      <c r="A1463" s="1"/>
      <c r="B1463" s="2"/>
      <c r="C1463" s="8" t="s">
        <v>1407</v>
      </c>
      <c r="D1463" s="8" t="s">
        <v>42</v>
      </c>
      <c r="E1463" s="8">
        <v>64</v>
      </c>
      <c r="F1463" s="8">
        <v>1231.79</v>
      </c>
    </row>
    <row r="1464" spans="1:6" x14ac:dyDescent="0.25">
      <c r="A1464" s="1"/>
      <c r="B1464" s="2"/>
      <c r="C1464" s="8" t="s">
        <v>1408</v>
      </c>
      <c r="D1464" s="8" t="s">
        <v>42</v>
      </c>
      <c r="E1464" s="8">
        <v>57</v>
      </c>
      <c r="F1464" s="8">
        <v>1130.61</v>
      </c>
    </row>
    <row r="1465" spans="1:6" x14ac:dyDescent="0.25">
      <c r="A1465" s="1"/>
      <c r="B1465" s="2"/>
      <c r="C1465" s="8" t="s">
        <v>1409</v>
      </c>
      <c r="D1465" s="8" t="s">
        <v>42</v>
      </c>
      <c r="E1465" s="8">
        <v>32</v>
      </c>
      <c r="F1465" s="8">
        <v>626.12</v>
      </c>
    </row>
    <row r="1466" spans="1:6" x14ac:dyDescent="0.25">
      <c r="A1466" s="1"/>
      <c r="B1466" s="2"/>
      <c r="C1466" s="8" t="s">
        <v>1410</v>
      </c>
      <c r="D1466" s="8" t="s">
        <v>42</v>
      </c>
      <c r="E1466" s="8">
        <v>32</v>
      </c>
      <c r="F1466" s="8">
        <v>612.2</v>
      </c>
    </row>
    <row r="1467" spans="1:6" x14ac:dyDescent="0.25">
      <c r="A1467" s="1"/>
      <c r="B1467" s="2"/>
      <c r="C1467" s="8" t="s">
        <v>1411</v>
      </c>
      <c r="D1467" s="8" t="s">
        <v>42</v>
      </c>
      <c r="E1467" s="8">
        <v>59</v>
      </c>
      <c r="F1467" s="8">
        <v>1150.95</v>
      </c>
    </row>
    <row r="1468" spans="1:6" x14ac:dyDescent="0.25">
      <c r="A1468" s="1"/>
      <c r="B1468" s="2"/>
      <c r="C1468" s="8" t="s">
        <v>1412</v>
      </c>
      <c r="D1468" s="8" t="s">
        <v>42</v>
      </c>
      <c r="E1468" s="8">
        <v>37</v>
      </c>
      <c r="F1468" s="8">
        <v>770.15</v>
      </c>
    </row>
    <row r="1470" spans="1:7" x14ac:dyDescent="0.25">
      <c r="A1470" s="7">
        <v>46275</v>
      </c>
      <c r="B1470" s="8" t="s">
        <v>1101</v>
      </c>
      <c r="C1470" s="8" t="s">
        <v>1413</v>
      </c>
      <c r="D1470" s="8" t="s">
        <v>20</v>
      </c>
      <c r="E1470" s="8">
        <v>156</v>
      </c>
      <c r="F1470" s="8">
        <v>3107.35</v>
      </c>
      <c r="G1470" s="7">
        <v>46273</v>
      </c>
    </row>
    <row r="1471" spans="1:6" x14ac:dyDescent="0.25">
      <c r="A1471" s="1"/>
      <c r="B1471" s="2"/>
      <c r="C1471" s="8" t="s">
        <v>1414</v>
      </c>
      <c r="D1471" s="8" t="s">
        <v>20</v>
      </c>
      <c r="E1471" s="8">
        <v>156</v>
      </c>
      <c r="F1471" s="8">
        <v>2991.37</v>
      </c>
    </row>
    <row r="1472" spans="1:6" x14ac:dyDescent="0.25">
      <c r="A1472" s="1"/>
      <c r="B1472" s="2"/>
      <c r="C1472" s="8" t="s">
        <v>1415</v>
      </c>
      <c r="D1472" s="8" t="s">
        <v>20</v>
      </c>
      <c r="E1472" s="8">
        <v>97</v>
      </c>
      <c r="F1472" s="8">
        <v>1975.12</v>
      </c>
    </row>
    <row r="1473" spans="1:6" x14ac:dyDescent="0.25">
      <c r="A1473" s="1"/>
      <c r="B1473" s="2"/>
      <c r="C1473" s="8" t="s">
        <v>1416</v>
      </c>
      <c r="D1473" s="8" t="s">
        <v>20</v>
      </c>
      <c r="E1473" s="8">
        <v>105</v>
      </c>
      <c r="F1473" s="8">
        <v>2116.12</v>
      </c>
    </row>
    <row r="1474" spans="1:6" x14ac:dyDescent="0.25">
      <c r="A1474" s="1"/>
      <c r="B1474" s="2"/>
      <c r="C1474" s="8" t="s">
        <v>1417</v>
      </c>
      <c r="D1474" s="8" t="s">
        <v>20</v>
      </c>
      <c r="E1474" s="8">
        <v>105</v>
      </c>
      <c r="F1474" s="8">
        <v>2019.73</v>
      </c>
    </row>
    <row r="1475" spans="1:6" x14ac:dyDescent="0.25">
      <c r="A1475" s="1"/>
      <c r="B1475" s="2"/>
      <c r="C1475" s="8" t="s">
        <v>1418</v>
      </c>
      <c r="D1475" s="8" t="s">
        <v>20</v>
      </c>
      <c r="E1475" s="8">
        <v>156</v>
      </c>
      <c r="F1475" s="8">
        <v>3081.26</v>
      </c>
    </row>
    <row r="1476" spans="1:6" x14ac:dyDescent="0.25">
      <c r="A1476" s="1"/>
      <c r="B1476" s="2"/>
      <c r="C1476" s="8" t="s">
        <v>1419</v>
      </c>
      <c r="D1476" s="8" t="s">
        <v>20</v>
      </c>
      <c r="E1476" s="8">
        <v>156</v>
      </c>
      <c r="F1476" s="8">
        <v>2932.95</v>
      </c>
    </row>
    <row r="1477" spans="1:6" x14ac:dyDescent="0.25">
      <c r="A1477" s="1"/>
      <c r="B1477" s="2"/>
      <c r="C1477" s="8" t="s">
        <v>1420</v>
      </c>
      <c r="D1477" s="8" t="s">
        <v>20</v>
      </c>
      <c r="E1477" s="8">
        <v>105</v>
      </c>
      <c r="F1477" s="8">
        <v>2024.75</v>
      </c>
    </row>
    <row r="1479" spans="1:7" x14ac:dyDescent="0.25">
      <c r="A1479" s="7">
        <v>46274</v>
      </c>
      <c r="B1479" s="8" t="s">
        <v>335</v>
      </c>
      <c r="C1479" s="8" t="s">
        <v>1421</v>
      </c>
      <c r="D1479" s="8" t="s">
        <v>20</v>
      </c>
      <c r="E1479" s="8">
        <v>149</v>
      </c>
      <c r="F1479" s="8">
        <v>3023.65</v>
      </c>
      <c r="G1479" s="7">
        <v>46273</v>
      </c>
    </row>
    <row r="1480" spans="1:6" x14ac:dyDescent="0.25">
      <c r="A1480" s="1"/>
      <c r="B1480" s="2"/>
      <c r="C1480" s="8" t="s">
        <v>1422</v>
      </c>
      <c r="D1480" s="8" t="s">
        <v>20</v>
      </c>
      <c r="E1480" s="8">
        <v>149</v>
      </c>
      <c r="F1480" s="8">
        <v>2959.01</v>
      </c>
    </row>
    <row r="1482" spans="1:7" x14ac:dyDescent="0.25">
      <c r="A1482" s="7">
        <v>46273</v>
      </c>
      <c r="B1482" s="8" t="s">
        <v>338</v>
      </c>
      <c r="C1482" s="8" t="s">
        <v>1423</v>
      </c>
      <c r="D1482" s="8" t="s">
        <v>9</v>
      </c>
      <c r="E1482" s="8">
        <v>100</v>
      </c>
      <c r="F1482" s="8">
        <v>1986.54</v>
      </c>
      <c r="G1482" s="7">
        <v>46273</v>
      </c>
    </row>
    <row r="1484" spans="1:7" x14ac:dyDescent="0.25">
      <c r="A1484" s="7">
        <v>46273</v>
      </c>
      <c r="B1484" s="8" t="s">
        <v>324</v>
      </c>
      <c r="C1484" s="8" t="s">
        <v>1424</v>
      </c>
      <c r="D1484" s="8" t="s">
        <v>27</v>
      </c>
      <c r="E1484" s="8">
        <v>36</v>
      </c>
      <c r="F1484" s="8">
        <v>567.7</v>
      </c>
      <c r="G1484" s="7">
        <v>46273</v>
      </c>
    </row>
    <row r="1485" spans="1:6" x14ac:dyDescent="0.25">
      <c r="A1485" s="1"/>
      <c r="B1485" s="2"/>
      <c r="C1485" s="8" t="s">
        <v>1425</v>
      </c>
      <c r="D1485" s="8" t="s">
        <v>27</v>
      </c>
      <c r="E1485" s="8">
        <v>63</v>
      </c>
      <c r="F1485" s="8">
        <v>1144.42</v>
      </c>
    </row>
    <row r="1486" spans="1:6" x14ac:dyDescent="0.25">
      <c r="A1486" s="1"/>
      <c r="B1486" s="2"/>
      <c r="C1486" s="8" t="s">
        <v>1426</v>
      </c>
      <c r="D1486" s="8" t="s">
        <v>27</v>
      </c>
      <c r="E1486" s="8">
        <v>21</v>
      </c>
      <c r="F1486" s="8">
        <v>383.24</v>
      </c>
    </row>
    <row r="1487" spans="1:6" x14ac:dyDescent="0.25">
      <c r="A1487" s="1"/>
      <c r="B1487" s="2"/>
      <c r="C1487" s="8" t="s">
        <v>1427</v>
      </c>
      <c r="D1487" s="8" t="s">
        <v>27</v>
      </c>
      <c r="E1487" s="8">
        <v>86</v>
      </c>
      <c r="F1487" s="8">
        <v>1589.68</v>
      </c>
    </row>
    <row r="1488" spans="1:7" x14ac:dyDescent="0.25">
      <c r="A1488" s="7">
        <v>46274</v>
      </c>
      <c r="B1488" s="8" t="s">
        <v>324</v>
      </c>
      <c r="C1488" s="8" t="s">
        <v>1428</v>
      </c>
      <c r="D1488" s="8" t="s">
        <v>27</v>
      </c>
      <c r="E1488" s="8">
        <v>98</v>
      </c>
      <c r="F1488" s="8">
        <v>1744.76</v>
      </c>
      <c r="G1488" s="7">
        <v>46273</v>
      </c>
    </row>
    <row r="1489" spans="1:6" x14ac:dyDescent="0.25">
      <c r="A1489" s="1"/>
      <c r="B1489" s="2"/>
      <c r="C1489" s="8" t="s">
        <v>1429</v>
      </c>
      <c r="D1489" s="8" t="s">
        <v>27</v>
      </c>
      <c r="E1489" s="8">
        <v>90</v>
      </c>
      <c r="F1489" s="8">
        <v>1513.21</v>
      </c>
    </row>
    <row r="1490" spans="1:6" x14ac:dyDescent="0.25">
      <c r="A1490" s="1"/>
      <c r="B1490" s="2"/>
      <c r="C1490" s="8" t="s">
        <v>1430</v>
      </c>
      <c r="D1490" s="8" t="s">
        <v>27</v>
      </c>
      <c r="E1490" s="8">
        <v>105</v>
      </c>
      <c r="F1490" s="8">
        <v>2176.98</v>
      </c>
    </row>
    <row r="1491" spans="1:6" x14ac:dyDescent="0.25">
      <c r="A1491" s="1"/>
      <c r="B1491" s="2"/>
      <c r="C1491" s="8" t="s">
        <v>1431</v>
      </c>
      <c r="D1491" s="8" t="s">
        <v>27</v>
      </c>
      <c r="E1491" s="8">
        <v>142</v>
      </c>
      <c r="F1491" s="8">
        <v>2749.57</v>
      </c>
    </row>
    <row r="1493" spans="1:7" x14ac:dyDescent="0.25">
      <c r="A1493" s="7">
        <v>46273</v>
      </c>
      <c r="B1493" s="8" t="s">
        <v>10</v>
      </c>
      <c r="C1493" s="8" t="s">
        <v>1432</v>
      </c>
      <c r="D1493" s="8" t="s">
        <v>12</v>
      </c>
      <c r="E1493" s="8">
        <v>91</v>
      </c>
      <c r="F1493" s="8">
        <v>1925.2</v>
      </c>
      <c r="G1493" s="7">
        <v>46272</v>
      </c>
    </row>
    <row r="1494" spans="1:6" x14ac:dyDescent="0.25">
      <c r="A1494" s="1"/>
      <c r="B1494" s="2"/>
      <c r="C1494" s="8" t="s">
        <v>1433</v>
      </c>
      <c r="D1494" s="8" t="s">
        <v>12</v>
      </c>
      <c r="E1494" s="8">
        <v>91</v>
      </c>
      <c r="F1494" s="8">
        <v>1846.24</v>
      </c>
    </row>
    <row r="1496" spans="1:7" x14ac:dyDescent="0.25">
      <c r="A1496" s="7">
        <v>46273</v>
      </c>
      <c r="B1496" s="8" t="s">
        <v>1434</v>
      </c>
      <c r="C1496" s="8" t="s">
        <v>1435</v>
      </c>
      <c r="D1496" s="8" t="s">
        <v>122</v>
      </c>
      <c r="E1496" s="8">
        <v>141</v>
      </c>
      <c r="F1496" s="8">
        <v>2862.81</v>
      </c>
      <c r="G1496" s="7">
        <v>46272</v>
      </c>
    </row>
    <row r="1497" spans="1:6" x14ac:dyDescent="0.25">
      <c r="A1497" s="1"/>
      <c r="B1497" s="2"/>
      <c r="C1497" s="8" t="s">
        <v>1436</v>
      </c>
      <c r="D1497" s="8" t="s">
        <v>122</v>
      </c>
      <c r="E1497" s="8">
        <v>141</v>
      </c>
      <c r="F1497" s="8">
        <v>2873.51</v>
      </c>
    </row>
    <row r="1499" spans="1:7" x14ac:dyDescent="0.25">
      <c r="A1499" s="7">
        <v>46273</v>
      </c>
      <c r="B1499" s="8" t="s">
        <v>238</v>
      </c>
      <c r="C1499" s="8" t="s">
        <v>1437</v>
      </c>
      <c r="D1499" s="8" t="s">
        <v>342</v>
      </c>
      <c r="E1499" s="8">
        <v>126</v>
      </c>
      <c r="F1499" s="8">
        <v>2454.09</v>
      </c>
      <c r="G1499" s="7">
        <v>46272</v>
      </c>
    </row>
    <row r="1500" spans="1:6" x14ac:dyDescent="0.25">
      <c r="A1500" s="1"/>
      <c r="B1500" s="2"/>
      <c r="C1500" s="8" t="s">
        <v>1438</v>
      </c>
      <c r="D1500" s="8" t="s">
        <v>342</v>
      </c>
      <c r="E1500" s="8">
        <v>30</v>
      </c>
      <c r="F1500" s="8">
        <v>518.9</v>
      </c>
    </row>
    <row r="1502" spans="1:7" x14ac:dyDescent="0.25">
      <c r="A1502" s="7">
        <v>46273</v>
      </c>
      <c r="B1502" s="8" t="s">
        <v>238</v>
      </c>
      <c r="C1502" s="8" t="s">
        <v>1439</v>
      </c>
      <c r="D1502" s="8" t="s">
        <v>204</v>
      </c>
      <c r="E1502" s="8">
        <v>67</v>
      </c>
      <c r="F1502" s="8">
        <v>1278.67</v>
      </c>
      <c r="G1502" s="7">
        <v>46272</v>
      </c>
    </row>
    <row r="1503" spans="1:6" x14ac:dyDescent="0.25">
      <c r="A1503" s="1"/>
      <c r="B1503" s="2"/>
      <c r="C1503" s="8" t="s">
        <v>1440</v>
      </c>
      <c r="D1503" s="8" t="s">
        <v>214</v>
      </c>
      <c r="E1503" s="8">
        <v>156</v>
      </c>
      <c r="F1503" s="8">
        <v>3153.23</v>
      </c>
    </row>
    <row r="1504" spans="1:6" x14ac:dyDescent="0.25">
      <c r="A1504" s="1"/>
      <c r="B1504" s="2"/>
      <c r="C1504" s="8" t="s">
        <v>1441</v>
      </c>
      <c r="D1504" s="8" t="s">
        <v>214</v>
      </c>
      <c r="E1504" s="8">
        <v>156</v>
      </c>
      <c r="F1504" s="8">
        <v>3115.42</v>
      </c>
    </row>
    <row r="1505" spans="1:6" x14ac:dyDescent="0.25">
      <c r="A1505" s="1"/>
      <c r="B1505" s="2"/>
      <c r="C1505" s="8" t="s">
        <v>1442</v>
      </c>
      <c r="D1505" s="8" t="s">
        <v>204</v>
      </c>
      <c r="E1505" s="8">
        <v>105</v>
      </c>
      <c r="F1505" s="8">
        <v>2081.17</v>
      </c>
    </row>
    <row r="1506" spans="1:6" x14ac:dyDescent="0.25">
      <c r="A1506" s="1"/>
      <c r="B1506" s="2"/>
      <c r="C1506" s="8" t="s">
        <v>1443</v>
      </c>
      <c r="D1506" s="8" t="s">
        <v>204</v>
      </c>
      <c r="E1506" s="8">
        <v>105</v>
      </c>
      <c r="F1506" s="8">
        <v>1890.95</v>
      </c>
    </row>
    <row r="1507" spans="1:6" x14ac:dyDescent="0.25">
      <c r="A1507" s="1"/>
      <c r="B1507" s="2"/>
      <c r="C1507" s="8" t="s">
        <v>1444</v>
      </c>
      <c r="D1507" s="8" t="s">
        <v>204</v>
      </c>
      <c r="E1507" s="8">
        <v>105</v>
      </c>
      <c r="F1507" s="8">
        <v>2188.75</v>
      </c>
    </row>
    <row r="1508" spans="1:6" x14ac:dyDescent="0.25">
      <c r="A1508" s="1"/>
      <c r="B1508" s="2"/>
      <c r="C1508" s="8" t="s">
        <v>1445</v>
      </c>
      <c r="D1508" s="8" t="s">
        <v>204</v>
      </c>
      <c r="E1508" s="8">
        <v>105</v>
      </c>
      <c r="F1508" s="8">
        <v>2074.68</v>
      </c>
    </row>
    <row r="1509" spans="1:6" x14ac:dyDescent="0.25">
      <c r="A1509" s="1"/>
      <c r="B1509" s="2"/>
      <c r="C1509" s="8" t="s">
        <v>1446</v>
      </c>
      <c r="D1509" s="8" t="s">
        <v>204</v>
      </c>
      <c r="E1509" s="8">
        <v>163</v>
      </c>
      <c r="F1509" s="8">
        <v>3026.19</v>
      </c>
    </row>
    <row r="1510" spans="1:6" x14ac:dyDescent="0.25">
      <c r="A1510" s="1"/>
      <c r="B1510" s="2"/>
      <c r="C1510" s="8" t="s">
        <v>1447</v>
      </c>
      <c r="D1510" s="8" t="s">
        <v>204</v>
      </c>
      <c r="E1510" s="8">
        <v>163</v>
      </c>
      <c r="F1510" s="8">
        <v>3075.54</v>
      </c>
    </row>
    <row r="1511" spans="1:6" x14ac:dyDescent="0.25">
      <c r="A1511" s="1"/>
      <c r="B1511" s="2"/>
      <c r="C1511" s="8" t="s">
        <v>1448</v>
      </c>
      <c r="D1511" s="8" t="s">
        <v>204</v>
      </c>
      <c r="E1511" s="8">
        <v>163</v>
      </c>
      <c r="F1511" s="8">
        <v>2946.31</v>
      </c>
    </row>
    <row r="1512" spans="1:6" x14ac:dyDescent="0.25">
      <c r="A1512" s="1"/>
      <c r="B1512" s="2"/>
      <c r="C1512" s="8" t="s">
        <v>1449</v>
      </c>
      <c r="D1512" s="8" t="s">
        <v>204</v>
      </c>
      <c r="E1512" s="8">
        <v>134</v>
      </c>
      <c r="F1512" s="8">
        <v>2559.77</v>
      </c>
    </row>
    <row r="1513" spans="1:6" x14ac:dyDescent="0.25">
      <c r="A1513" s="1"/>
      <c r="B1513" s="2"/>
      <c r="C1513" s="8" t="s">
        <v>1450</v>
      </c>
      <c r="D1513" s="8" t="s">
        <v>204</v>
      </c>
      <c r="E1513" s="8">
        <v>105</v>
      </c>
      <c r="F1513" s="8">
        <v>1900.79</v>
      </c>
    </row>
    <row r="1514" spans="1:6" x14ac:dyDescent="0.25">
      <c r="A1514" s="1"/>
      <c r="B1514" s="2"/>
      <c r="C1514" s="8" t="s">
        <v>1451</v>
      </c>
      <c r="D1514" s="8" t="s">
        <v>236</v>
      </c>
      <c r="E1514" s="8">
        <v>60</v>
      </c>
      <c r="F1514" s="8">
        <v>1071.31</v>
      </c>
    </row>
    <row r="1515" spans="1:6" x14ac:dyDescent="0.25">
      <c r="A1515" s="1"/>
      <c r="B1515" s="2"/>
      <c r="C1515" s="8" t="s">
        <v>1452</v>
      </c>
      <c r="D1515" s="8" t="s">
        <v>236</v>
      </c>
      <c r="E1515" s="8">
        <v>36</v>
      </c>
      <c r="F1515" s="8">
        <v>663.69</v>
      </c>
    </row>
    <row r="1516" spans="1:6" x14ac:dyDescent="0.25">
      <c r="A1516" s="1"/>
      <c r="B1516" s="2"/>
      <c r="C1516" s="8" t="s">
        <v>1453</v>
      </c>
      <c r="D1516" s="8" t="s">
        <v>236</v>
      </c>
      <c r="E1516" s="8">
        <v>60</v>
      </c>
      <c r="F1516" s="8">
        <v>1064.43</v>
      </c>
    </row>
    <row r="1517" spans="1:6" x14ac:dyDescent="0.25">
      <c r="A1517" s="1"/>
      <c r="B1517" s="2"/>
      <c r="C1517" s="8" t="s">
        <v>1454</v>
      </c>
      <c r="D1517" s="8" t="s">
        <v>214</v>
      </c>
      <c r="E1517" s="8">
        <v>100</v>
      </c>
      <c r="F1517" s="8">
        <v>1857.77</v>
      </c>
    </row>
    <row r="1518" spans="1:6" x14ac:dyDescent="0.25">
      <c r="A1518" s="1"/>
      <c r="B1518" s="2"/>
      <c r="C1518" s="8" t="s">
        <v>1455</v>
      </c>
      <c r="D1518" s="8" t="s">
        <v>236</v>
      </c>
      <c r="E1518" s="8">
        <v>75</v>
      </c>
      <c r="F1518" s="8">
        <v>1375.56</v>
      </c>
    </row>
    <row r="1519" spans="1:6" x14ac:dyDescent="0.25">
      <c r="A1519" s="1"/>
      <c r="B1519" s="2"/>
      <c r="C1519" s="8" t="s">
        <v>1456</v>
      </c>
      <c r="D1519" s="8" t="s">
        <v>236</v>
      </c>
      <c r="E1519" s="8">
        <v>80</v>
      </c>
      <c r="F1519" s="8">
        <v>1562.66</v>
      </c>
    </row>
    <row r="1520" spans="1:6" x14ac:dyDescent="0.25">
      <c r="A1520" s="1"/>
      <c r="B1520" s="2"/>
      <c r="C1520" s="8" t="s">
        <v>1457</v>
      </c>
      <c r="D1520" s="8" t="s">
        <v>214</v>
      </c>
      <c r="E1520" s="8">
        <v>56</v>
      </c>
      <c r="F1520" s="8">
        <v>1035.41</v>
      </c>
    </row>
    <row r="1521" spans="1:6" x14ac:dyDescent="0.25">
      <c r="A1521" s="1"/>
      <c r="B1521" s="2"/>
      <c r="C1521" s="8" t="s">
        <v>1458</v>
      </c>
      <c r="D1521" s="8" t="s">
        <v>214</v>
      </c>
      <c r="E1521" s="8">
        <v>56</v>
      </c>
      <c r="F1521" s="8">
        <v>1110.16</v>
      </c>
    </row>
    <row r="1522" spans="1:6" x14ac:dyDescent="0.25">
      <c r="A1522" s="1"/>
      <c r="B1522" s="2"/>
      <c r="C1522" s="8" t="s">
        <v>1459</v>
      </c>
      <c r="D1522" s="8" t="s">
        <v>214</v>
      </c>
      <c r="E1522" s="8">
        <v>100</v>
      </c>
      <c r="F1522" s="8">
        <v>1927.35</v>
      </c>
    </row>
    <row r="1523" spans="1:7" x14ac:dyDescent="0.25">
      <c r="A1523" s="7">
        <v>46272</v>
      </c>
      <c r="B1523" s="8" t="s">
        <v>375</v>
      </c>
      <c r="C1523" s="8" t="s">
        <v>1460</v>
      </c>
      <c r="D1523" s="8" t="s">
        <v>204</v>
      </c>
      <c r="E1523" s="8">
        <v>105</v>
      </c>
      <c r="F1523" s="8">
        <v>1933.99</v>
      </c>
      <c r="G1523" s="7">
        <v>46272</v>
      </c>
    </row>
    <row r="1524" spans="1:7" x14ac:dyDescent="0.25">
      <c r="A1524" s="7">
        <v>46273</v>
      </c>
      <c r="B1524" s="8" t="s">
        <v>238</v>
      </c>
      <c r="C1524" s="8" t="s">
        <v>1461</v>
      </c>
      <c r="D1524" s="8" t="s">
        <v>204</v>
      </c>
      <c r="E1524" s="8">
        <v>134</v>
      </c>
      <c r="F1524" s="8">
        <v>2547.37</v>
      </c>
      <c r="G1524" s="7">
        <v>46272</v>
      </c>
    </row>
    <row r="1525" spans="1:6" x14ac:dyDescent="0.25">
      <c r="A1525" s="1"/>
      <c r="B1525" s="2"/>
      <c r="C1525" s="8" t="s">
        <v>1462</v>
      </c>
      <c r="D1525" s="8" t="s">
        <v>204</v>
      </c>
      <c r="E1525" s="8">
        <v>163</v>
      </c>
      <c r="F1525" s="8">
        <v>3078.72</v>
      </c>
    </row>
    <row r="1526" spans="1:6" x14ac:dyDescent="0.25">
      <c r="A1526" s="1"/>
      <c r="B1526" s="2"/>
      <c r="C1526" s="8" t="s">
        <v>1463</v>
      </c>
      <c r="D1526" s="8" t="s">
        <v>204</v>
      </c>
      <c r="E1526" s="8">
        <v>163</v>
      </c>
      <c r="F1526" s="8">
        <v>3195.38</v>
      </c>
    </row>
    <row r="1527" spans="1:6" x14ac:dyDescent="0.25">
      <c r="A1527" s="1"/>
      <c r="B1527" s="2"/>
      <c r="C1527" s="8" t="s">
        <v>1464</v>
      </c>
      <c r="D1527" s="8" t="s">
        <v>204</v>
      </c>
      <c r="E1527" s="8">
        <v>163</v>
      </c>
      <c r="F1527" s="8">
        <v>3085.14</v>
      </c>
    </row>
    <row r="1528" spans="1:6" x14ac:dyDescent="0.25">
      <c r="A1528" s="1"/>
      <c r="B1528" s="2"/>
      <c r="C1528" s="8" t="s">
        <v>1465</v>
      </c>
      <c r="D1528" s="8" t="s">
        <v>204</v>
      </c>
      <c r="E1528" s="8">
        <v>163</v>
      </c>
      <c r="F1528" s="8">
        <v>3169.42</v>
      </c>
    </row>
    <row r="1529" spans="1:6" x14ac:dyDescent="0.25">
      <c r="A1529" s="1"/>
      <c r="B1529" s="2"/>
      <c r="C1529" s="8" t="s">
        <v>1466</v>
      </c>
      <c r="D1529" s="8" t="s">
        <v>204</v>
      </c>
      <c r="E1529" s="8">
        <v>134</v>
      </c>
      <c r="F1529" s="8">
        <v>2663.98</v>
      </c>
    </row>
    <row r="1530" spans="1:6" x14ac:dyDescent="0.25">
      <c r="A1530" s="1"/>
      <c r="B1530" s="2"/>
      <c r="C1530" s="8" t="s">
        <v>1467</v>
      </c>
      <c r="D1530" s="8" t="s">
        <v>204</v>
      </c>
      <c r="E1530" s="8">
        <v>134</v>
      </c>
      <c r="F1530" s="8">
        <v>2759.34</v>
      </c>
    </row>
    <row r="1531" spans="1:6" x14ac:dyDescent="0.25">
      <c r="A1531" s="1"/>
      <c r="B1531" s="2"/>
      <c r="C1531" s="8" t="s">
        <v>1468</v>
      </c>
      <c r="D1531" s="8" t="s">
        <v>204</v>
      </c>
      <c r="E1531" s="8">
        <v>163</v>
      </c>
      <c r="F1531" s="8">
        <v>3197.8</v>
      </c>
    </row>
    <row r="1532" spans="1:6" x14ac:dyDescent="0.25">
      <c r="A1532" s="1"/>
      <c r="B1532" s="2"/>
      <c r="C1532" s="8" t="s">
        <v>1469</v>
      </c>
      <c r="D1532" s="8" t="s">
        <v>204</v>
      </c>
      <c r="E1532" s="8">
        <v>134</v>
      </c>
      <c r="F1532" s="8">
        <v>2636.83</v>
      </c>
    </row>
    <row r="1533" spans="1:7" x14ac:dyDescent="0.25">
      <c r="A1533" s="7">
        <v>46272</v>
      </c>
      <c r="B1533" s="8" t="s">
        <v>375</v>
      </c>
      <c r="C1533" s="8" t="s">
        <v>1470</v>
      </c>
      <c r="D1533" s="8" t="s">
        <v>204</v>
      </c>
      <c r="E1533" s="8">
        <v>163</v>
      </c>
      <c r="F1533" s="8">
        <v>3161.66</v>
      </c>
      <c r="G1533" s="7">
        <v>46272</v>
      </c>
    </row>
    <row r="1534" spans="1:6" x14ac:dyDescent="0.25">
      <c r="A1534" s="1"/>
      <c r="B1534" s="2"/>
      <c r="C1534" s="8" t="s">
        <v>1471</v>
      </c>
      <c r="D1534" s="8" t="s">
        <v>204</v>
      </c>
      <c r="E1534" s="8">
        <v>163</v>
      </c>
      <c r="F1534" s="8">
        <v>3107.37</v>
      </c>
    </row>
    <row r="1535" spans="1:6" x14ac:dyDescent="0.25">
      <c r="A1535" s="1"/>
      <c r="B1535" s="2"/>
      <c r="C1535" s="8" t="s">
        <v>1472</v>
      </c>
      <c r="D1535" s="8" t="s">
        <v>204</v>
      </c>
      <c r="E1535" s="8">
        <v>163</v>
      </c>
      <c r="F1535" s="8">
        <v>3191.22</v>
      </c>
    </row>
    <row r="1536" spans="1:7" x14ac:dyDescent="0.25">
      <c r="A1536" s="7">
        <v>46271</v>
      </c>
      <c r="B1536" s="8" t="s">
        <v>1473</v>
      </c>
      <c r="C1536" s="8" t="s">
        <v>1474</v>
      </c>
      <c r="D1536" s="8" t="s">
        <v>204</v>
      </c>
      <c r="E1536" s="8">
        <v>103</v>
      </c>
      <c r="F1536" s="8">
        <v>1950.68</v>
      </c>
      <c r="G1536" s="7">
        <v>46272</v>
      </c>
    </row>
    <row r="1537" spans="1:6" x14ac:dyDescent="0.25">
      <c r="A1537" s="1"/>
      <c r="B1537" s="2"/>
      <c r="C1537" s="8" t="s">
        <v>1475</v>
      </c>
      <c r="D1537" s="8" t="s">
        <v>204</v>
      </c>
      <c r="E1537" s="8">
        <v>163</v>
      </c>
      <c r="F1537" s="8">
        <v>2743.03</v>
      </c>
    </row>
    <row r="1538" spans="1:7" x14ac:dyDescent="0.25">
      <c r="A1538" s="7">
        <v>46273</v>
      </c>
      <c r="B1538" s="8" t="s">
        <v>238</v>
      </c>
      <c r="C1538" s="8" t="s">
        <v>1476</v>
      </c>
      <c r="D1538" s="8" t="s">
        <v>204</v>
      </c>
      <c r="E1538" s="8">
        <v>38</v>
      </c>
      <c r="F1538" s="8">
        <v>697</v>
      </c>
      <c r="G1538" s="7">
        <v>46272</v>
      </c>
    </row>
    <row r="1540" spans="1:7" x14ac:dyDescent="0.25">
      <c r="A1540" s="7">
        <v>46273</v>
      </c>
      <c r="B1540" s="8" t="s">
        <v>238</v>
      </c>
      <c r="C1540" s="8" t="s">
        <v>1477</v>
      </c>
      <c r="D1540" s="8" t="s">
        <v>297</v>
      </c>
      <c r="E1540" s="8">
        <v>4</v>
      </c>
      <c r="F1540" s="8">
        <v>67.1</v>
      </c>
      <c r="G1540" s="7">
        <v>46272</v>
      </c>
    </row>
    <row r="1541" spans="1:6" x14ac:dyDescent="0.25">
      <c r="A1541" s="1"/>
      <c r="B1541" s="2"/>
      <c r="C1541" s="8" t="s">
        <v>1478</v>
      </c>
      <c r="D1541" s="8" t="s">
        <v>297</v>
      </c>
      <c r="E1541" s="8">
        <v>153</v>
      </c>
      <c r="F1541" s="8">
        <v>3021.22</v>
      </c>
    </row>
    <row r="1542" spans="1:6" x14ac:dyDescent="0.25">
      <c r="A1542" s="1"/>
      <c r="B1542" s="2"/>
      <c r="C1542" s="8" t="s">
        <v>1479</v>
      </c>
      <c r="D1542" s="8" t="s">
        <v>297</v>
      </c>
      <c r="E1542" s="8">
        <v>134</v>
      </c>
      <c r="F1542" s="8">
        <v>2565.7</v>
      </c>
    </row>
    <row r="1544" spans="1:7" x14ac:dyDescent="0.25">
      <c r="A1544" s="7">
        <v>46274</v>
      </c>
      <c r="B1544" s="8" t="s">
        <v>1480</v>
      </c>
      <c r="C1544" s="8" t="s">
        <v>1481</v>
      </c>
      <c r="D1544" s="8" t="s">
        <v>20</v>
      </c>
      <c r="E1544" s="8">
        <v>105</v>
      </c>
      <c r="F1544" s="8">
        <v>2154.1</v>
      </c>
      <c r="G1544" s="7">
        <v>46272</v>
      </c>
    </row>
    <row r="1545" spans="1:6" x14ac:dyDescent="0.25">
      <c r="A1545" s="1"/>
      <c r="B1545" s="2"/>
      <c r="C1545" s="8" t="s">
        <v>1482</v>
      </c>
      <c r="D1545" s="8" t="s">
        <v>20</v>
      </c>
      <c r="E1545" s="8">
        <v>145</v>
      </c>
      <c r="F1545" s="8">
        <v>2867.9</v>
      </c>
    </row>
    <row r="1546" spans="1:6" x14ac:dyDescent="0.25">
      <c r="A1546" s="1"/>
      <c r="B1546" s="2"/>
      <c r="C1546" s="8" t="s">
        <v>1483</v>
      </c>
      <c r="D1546" s="8" t="s">
        <v>20</v>
      </c>
      <c r="E1546" s="8">
        <v>261</v>
      </c>
      <c r="F1546" s="8">
        <v>5122.09</v>
      </c>
    </row>
    <row r="1547" spans="1:6" x14ac:dyDescent="0.25">
      <c r="A1547" s="1"/>
      <c r="B1547" s="2"/>
      <c r="C1547" s="8" t="s">
        <v>1484</v>
      </c>
      <c r="D1547" s="8" t="s">
        <v>20</v>
      </c>
      <c r="E1547" s="8">
        <v>105</v>
      </c>
      <c r="F1547" s="8">
        <v>1976.02</v>
      </c>
    </row>
    <row r="1548" spans="1:6" x14ac:dyDescent="0.25">
      <c r="A1548" s="1"/>
      <c r="B1548" s="2"/>
      <c r="C1548" s="8" t="s">
        <v>1485</v>
      </c>
      <c r="D1548" s="8" t="s">
        <v>20</v>
      </c>
      <c r="E1548" s="8">
        <v>105</v>
      </c>
      <c r="F1548" s="8">
        <v>1931.23</v>
      </c>
    </row>
    <row r="1549" spans="1:6" x14ac:dyDescent="0.25">
      <c r="A1549" s="1"/>
      <c r="B1549" s="2"/>
      <c r="C1549" s="8" t="s">
        <v>1486</v>
      </c>
      <c r="D1549" s="8" t="s">
        <v>20</v>
      </c>
      <c r="E1549" s="8">
        <v>105</v>
      </c>
      <c r="F1549" s="8">
        <v>1987.52</v>
      </c>
    </row>
    <row r="1550" spans="1:6" x14ac:dyDescent="0.25">
      <c r="A1550" s="1"/>
      <c r="B1550" s="2"/>
      <c r="C1550" s="8" t="s">
        <v>1487</v>
      </c>
      <c r="D1550" s="8" t="s">
        <v>20</v>
      </c>
      <c r="E1550" s="8">
        <v>309</v>
      </c>
      <c r="F1550" s="8">
        <v>5811.81</v>
      </c>
    </row>
    <row r="1551" spans="1:6" x14ac:dyDescent="0.25">
      <c r="A1551" s="1"/>
      <c r="B1551" s="2"/>
      <c r="C1551" s="8" t="s">
        <v>1488</v>
      </c>
      <c r="D1551" s="8" t="s">
        <v>20</v>
      </c>
      <c r="E1551" s="8">
        <v>156</v>
      </c>
      <c r="F1551" s="8">
        <v>3030.17</v>
      </c>
    </row>
    <row r="1552" spans="1:6" x14ac:dyDescent="0.25">
      <c r="A1552" s="1"/>
      <c r="B1552" s="2"/>
      <c r="C1552" s="8" t="s">
        <v>1489</v>
      </c>
      <c r="D1552" s="8" t="s">
        <v>20</v>
      </c>
      <c r="E1552" s="8">
        <v>156</v>
      </c>
      <c r="F1552" s="8">
        <v>3007.68</v>
      </c>
    </row>
    <row r="1554" spans="1:7" x14ac:dyDescent="0.25">
      <c r="A1554" s="7">
        <v>46272</v>
      </c>
      <c r="B1554" s="8" t="s">
        <v>10</v>
      </c>
      <c r="C1554" s="8" t="s">
        <v>1490</v>
      </c>
      <c r="D1554" s="8" t="s">
        <v>12</v>
      </c>
      <c r="E1554" s="8">
        <v>89</v>
      </c>
      <c r="F1554" s="8">
        <v>1863.66</v>
      </c>
      <c r="G1554" s="7">
        <v>46272</v>
      </c>
    </row>
    <row r="1555" spans="1:6" x14ac:dyDescent="0.25">
      <c r="A1555" s="1"/>
      <c r="B1555" s="2"/>
      <c r="C1555" s="8" t="s">
        <v>1491</v>
      </c>
      <c r="D1555" s="8" t="s">
        <v>12</v>
      </c>
      <c r="E1555" s="8">
        <v>92</v>
      </c>
      <c r="F1555" s="8">
        <v>1805.39</v>
      </c>
    </row>
    <row r="1557" spans="1:7" x14ac:dyDescent="0.25">
      <c r="A1557" s="7">
        <v>46272</v>
      </c>
      <c r="B1557" s="8" t="s">
        <v>90</v>
      </c>
      <c r="C1557" s="8" t="s">
        <v>1492</v>
      </c>
      <c r="D1557" s="8" t="s">
        <v>42</v>
      </c>
      <c r="E1557" s="8">
        <v>40</v>
      </c>
      <c r="F1557" s="8">
        <v>195.54</v>
      </c>
      <c r="G1557" s="7">
        <v>46272</v>
      </c>
    </row>
    <row r="1558" spans="1:6" x14ac:dyDescent="0.25">
      <c r="A1558" s="1"/>
      <c r="B1558" s="2"/>
      <c r="C1558" s="8" t="s">
        <v>1493</v>
      </c>
      <c r="D1558" s="8" t="s">
        <v>42</v>
      </c>
      <c r="E1558" s="8">
        <v>141</v>
      </c>
      <c r="F1558" s="8">
        <v>2698.86</v>
      </c>
    </row>
    <row r="1559" spans="1:6" x14ac:dyDescent="0.25">
      <c r="A1559" s="1"/>
      <c r="B1559" s="2"/>
      <c r="C1559" s="8" t="s">
        <v>1494</v>
      </c>
      <c r="D1559" s="8" t="s">
        <v>42</v>
      </c>
      <c r="E1559" s="8">
        <v>85</v>
      </c>
      <c r="F1559" s="8">
        <v>1630.29</v>
      </c>
    </row>
    <row r="1560" spans="1:6" x14ac:dyDescent="0.25">
      <c r="A1560" s="1"/>
      <c r="B1560" s="2"/>
      <c r="C1560" s="8" t="s">
        <v>1495</v>
      </c>
      <c r="D1560" s="8" t="s">
        <v>42</v>
      </c>
      <c r="E1560" s="8">
        <v>57</v>
      </c>
      <c r="F1560" s="8">
        <v>1064.83</v>
      </c>
    </row>
    <row r="1561" spans="1:6" x14ac:dyDescent="0.25">
      <c r="A1561" s="1"/>
      <c r="B1561" s="2"/>
      <c r="C1561" s="8" t="s">
        <v>1496</v>
      </c>
      <c r="D1561" s="8" t="s">
        <v>42</v>
      </c>
      <c r="E1561" s="8">
        <v>80</v>
      </c>
      <c r="F1561" s="8">
        <v>1592.98</v>
      </c>
    </row>
    <row r="1562" spans="1:6" x14ac:dyDescent="0.25">
      <c r="A1562" s="1"/>
      <c r="B1562" s="2"/>
      <c r="C1562" s="8" t="s">
        <v>1497</v>
      </c>
      <c r="D1562" s="8" t="s">
        <v>42</v>
      </c>
      <c r="E1562" s="8">
        <v>141</v>
      </c>
      <c r="F1562" s="8">
        <v>2749.67</v>
      </c>
    </row>
    <row r="1563" spans="1:6" x14ac:dyDescent="0.25">
      <c r="A1563" s="1"/>
      <c r="B1563" s="2"/>
      <c r="C1563" s="8" t="s">
        <v>1498</v>
      </c>
      <c r="D1563" s="8" t="s">
        <v>42</v>
      </c>
      <c r="E1563" s="8">
        <v>10</v>
      </c>
      <c r="F1563" s="8">
        <v>255.82</v>
      </c>
    </row>
    <row r="1564" spans="1:6" x14ac:dyDescent="0.25">
      <c r="A1564" s="1"/>
      <c r="B1564" s="2"/>
      <c r="C1564" s="8" t="s">
        <v>1499</v>
      </c>
      <c r="D1564" s="8" t="s">
        <v>42</v>
      </c>
      <c r="E1564" s="8">
        <v>65</v>
      </c>
      <c r="F1564" s="8">
        <v>1598.42</v>
      </c>
    </row>
    <row r="1565" spans="1:6" x14ac:dyDescent="0.25">
      <c r="A1565" s="1"/>
      <c r="B1565" s="2"/>
      <c r="C1565" s="8" t="s">
        <v>1500</v>
      </c>
      <c r="D1565" s="8" t="s">
        <v>42</v>
      </c>
      <c r="E1565" s="8">
        <v>110</v>
      </c>
      <c r="F1565" s="8">
        <v>2258.43</v>
      </c>
    </row>
    <row r="1566" spans="1:6" x14ac:dyDescent="0.25">
      <c r="A1566" s="1"/>
      <c r="B1566" s="2"/>
      <c r="C1566" s="8" t="s">
        <v>1501</v>
      </c>
      <c r="D1566" s="8" t="s">
        <v>42</v>
      </c>
      <c r="E1566" s="8">
        <v>123</v>
      </c>
      <c r="F1566" s="8">
        <v>2553.66</v>
      </c>
    </row>
    <row r="1567" spans="1:6" x14ac:dyDescent="0.25">
      <c r="A1567" s="1"/>
      <c r="B1567" s="2"/>
      <c r="C1567" s="8" t="s">
        <v>1502</v>
      </c>
      <c r="D1567" s="8" t="s">
        <v>42</v>
      </c>
      <c r="E1567" s="8">
        <v>141</v>
      </c>
      <c r="F1567" s="8">
        <v>2696.88</v>
      </c>
    </row>
    <row r="1568" spans="1:6" x14ac:dyDescent="0.25">
      <c r="A1568" s="1"/>
      <c r="B1568" s="2"/>
      <c r="C1568" s="8" t="s">
        <v>1503</v>
      </c>
      <c r="D1568" s="8" t="s">
        <v>42</v>
      </c>
      <c r="E1568" s="8">
        <v>141</v>
      </c>
      <c r="F1568" s="8">
        <v>2912.71</v>
      </c>
    </row>
    <row r="1569" spans="1:6" x14ac:dyDescent="0.25">
      <c r="A1569" s="1"/>
      <c r="B1569" s="2"/>
      <c r="C1569" s="8" t="s">
        <v>1504</v>
      </c>
      <c r="D1569" s="8" t="s">
        <v>42</v>
      </c>
      <c r="E1569" s="8">
        <v>123</v>
      </c>
      <c r="F1569" s="8">
        <v>2421.32</v>
      </c>
    </row>
    <row r="1570" spans="1:6" x14ac:dyDescent="0.25">
      <c r="A1570" s="1"/>
      <c r="B1570" s="2"/>
      <c r="C1570" s="8" t="s">
        <v>1505</v>
      </c>
      <c r="D1570" s="8" t="s">
        <v>42</v>
      </c>
      <c r="E1570" s="8">
        <v>100</v>
      </c>
      <c r="F1570" s="8">
        <v>2439.54</v>
      </c>
    </row>
    <row r="1571" spans="1:6" x14ac:dyDescent="0.25">
      <c r="A1571" s="1"/>
      <c r="B1571" s="2"/>
      <c r="C1571" s="8" t="s">
        <v>1506</v>
      </c>
      <c r="D1571" s="8" t="s">
        <v>42</v>
      </c>
      <c r="E1571" s="8">
        <v>100</v>
      </c>
      <c r="F1571" s="8">
        <v>1887.21</v>
      </c>
    </row>
    <row r="1572" spans="1:6" x14ac:dyDescent="0.25">
      <c r="A1572" s="1"/>
      <c r="B1572" s="2"/>
      <c r="C1572" s="8" t="s">
        <v>1507</v>
      </c>
      <c r="D1572" s="8" t="s">
        <v>42</v>
      </c>
      <c r="E1572" s="8">
        <v>141</v>
      </c>
      <c r="F1572" s="8">
        <v>3242.56</v>
      </c>
    </row>
    <row r="1573" spans="1:6" x14ac:dyDescent="0.25">
      <c r="A1573" s="1"/>
      <c r="B1573" s="2"/>
      <c r="C1573" s="8" t="s">
        <v>1508</v>
      </c>
      <c r="D1573" s="8" t="s">
        <v>42</v>
      </c>
      <c r="E1573" s="8">
        <v>93</v>
      </c>
      <c r="F1573" s="8">
        <v>1865.67</v>
      </c>
    </row>
    <row r="1574" spans="1:6" x14ac:dyDescent="0.25">
      <c r="A1574" s="1"/>
      <c r="B1574" s="2"/>
      <c r="C1574" s="8" t="s">
        <v>1509</v>
      </c>
      <c r="D1574" s="8" t="s">
        <v>42</v>
      </c>
      <c r="E1574" s="8">
        <v>69</v>
      </c>
      <c r="F1574" s="8">
        <v>1434.62</v>
      </c>
    </row>
    <row r="1575" spans="1:6" x14ac:dyDescent="0.25">
      <c r="A1575" s="1"/>
      <c r="B1575" s="2"/>
      <c r="C1575" s="8" t="s">
        <v>1510</v>
      </c>
      <c r="D1575" s="8" t="s">
        <v>42</v>
      </c>
      <c r="E1575" s="8">
        <v>47</v>
      </c>
      <c r="F1575" s="8">
        <v>934.9</v>
      </c>
    </row>
    <row r="1576" spans="1:6" x14ac:dyDescent="0.25">
      <c r="A1576" s="1"/>
      <c r="B1576" s="2"/>
      <c r="C1576" s="8" t="s">
        <v>1511</v>
      </c>
      <c r="D1576" s="8" t="s">
        <v>42</v>
      </c>
      <c r="E1576" s="8">
        <v>41</v>
      </c>
      <c r="F1576" s="8">
        <v>845.15</v>
      </c>
    </row>
    <row r="1577" spans="1:6" x14ac:dyDescent="0.25">
      <c r="A1577" s="1"/>
      <c r="B1577" s="2"/>
      <c r="C1577" s="8" t="s">
        <v>1512</v>
      </c>
      <c r="D1577" s="8" t="s">
        <v>42</v>
      </c>
      <c r="E1577" s="8">
        <v>46</v>
      </c>
      <c r="F1577" s="8">
        <v>653.01</v>
      </c>
    </row>
    <row r="1578" spans="1:6" x14ac:dyDescent="0.25">
      <c r="A1578" s="1"/>
      <c r="B1578" s="2"/>
      <c r="C1578" s="8" t="s">
        <v>1513</v>
      </c>
      <c r="D1578" s="8" t="s">
        <v>42</v>
      </c>
      <c r="E1578" s="8">
        <v>48</v>
      </c>
      <c r="F1578" s="8">
        <v>950.99</v>
      </c>
    </row>
    <row r="1579" spans="1:6" x14ac:dyDescent="0.25">
      <c r="A1579" s="1"/>
      <c r="B1579" s="2"/>
      <c r="C1579" s="8" t="s">
        <v>1514</v>
      </c>
      <c r="D1579" s="8" t="s">
        <v>42</v>
      </c>
      <c r="E1579" s="8">
        <v>63</v>
      </c>
      <c r="F1579" s="8">
        <v>1148.46</v>
      </c>
    </row>
    <row r="1580" spans="1:6" x14ac:dyDescent="0.25">
      <c r="A1580" s="1"/>
      <c r="B1580" s="2"/>
      <c r="C1580" s="8" t="s">
        <v>1515</v>
      </c>
      <c r="D1580" s="8" t="s">
        <v>42</v>
      </c>
      <c r="E1580" s="8">
        <v>32</v>
      </c>
      <c r="F1580" s="8">
        <v>613.24</v>
      </c>
    </row>
    <row r="1581" spans="1:6" x14ac:dyDescent="0.25">
      <c r="A1581" s="1"/>
      <c r="B1581" s="2"/>
      <c r="C1581" s="8" t="s">
        <v>1516</v>
      </c>
      <c r="D1581" s="8" t="s">
        <v>42</v>
      </c>
      <c r="E1581" s="8">
        <v>115</v>
      </c>
      <c r="F1581" s="8">
        <v>2229.13</v>
      </c>
    </row>
    <row r="1582" spans="1:6" x14ac:dyDescent="0.25">
      <c r="A1582" s="1"/>
      <c r="B1582" s="2"/>
      <c r="C1582" s="8" t="s">
        <v>1517</v>
      </c>
      <c r="D1582" s="8" t="s">
        <v>42</v>
      </c>
      <c r="E1582" s="8">
        <v>109</v>
      </c>
      <c r="F1582" s="8">
        <v>2217.76</v>
      </c>
    </row>
    <row r="1583" spans="1:6" x14ac:dyDescent="0.25">
      <c r="A1583" s="1"/>
      <c r="B1583" s="2"/>
      <c r="C1583" s="8" t="s">
        <v>1518</v>
      </c>
      <c r="D1583" s="8" t="s">
        <v>42</v>
      </c>
      <c r="E1583" s="8">
        <v>26</v>
      </c>
      <c r="F1583" s="8">
        <v>499.32</v>
      </c>
    </row>
    <row r="1584" spans="1:6" x14ac:dyDescent="0.25">
      <c r="A1584" s="1"/>
      <c r="B1584" s="2"/>
      <c r="C1584" s="8" t="s">
        <v>1519</v>
      </c>
      <c r="D1584" s="8" t="s">
        <v>42</v>
      </c>
      <c r="E1584" s="8">
        <v>123</v>
      </c>
      <c r="F1584" s="8">
        <v>2609.28</v>
      </c>
    </row>
    <row r="1585" spans="1:6" x14ac:dyDescent="0.25">
      <c r="A1585" s="1"/>
      <c r="B1585" s="2"/>
      <c r="C1585" s="8" t="s">
        <v>1520</v>
      </c>
      <c r="D1585" s="8" t="s">
        <v>42</v>
      </c>
      <c r="E1585" s="8">
        <v>31</v>
      </c>
      <c r="F1585" s="8">
        <v>651.95</v>
      </c>
    </row>
    <row r="1586" spans="1:6" x14ac:dyDescent="0.25">
      <c r="A1586" s="1"/>
      <c r="B1586" s="2"/>
      <c r="C1586" s="8" t="s">
        <v>1521</v>
      </c>
      <c r="D1586" s="8" t="s">
        <v>42</v>
      </c>
      <c r="E1586" s="8">
        <v>54</v>
      </c>
      <c r="F1586" s="8">
        <v>1001.36</v>
      </c>
    </row>
    <row r="1587" spans="1:6" x14ac:dyDescent="0.25">
      <c r="A1587" s="1"/>
      <c r="B1587" s="2"/>
      <c r="C1587" s="8" t="s">
        <v>1522</v>
      </c>
      <c r="D1587" s="8" t="s">
        <v>42</v>
      </c>
      <c r="E1587" s="8">
        <v>17</v>
      </c>
      <c r="F1587" s="8">
        <v>333.72</v>
      </c>
    </row>
    <row r="1588" spans="1:6" x14ac:dyDescent="0.25">
      <c r="A1588" s="1"/>
      <c r="B1588" s="2"/>
      <c r="C1588" s="8" t="s">
        <v>1523</v>
      </c>
      <c r="D1588" s="8" t="s">
        <v>42</v>
      </c>
      <c r="E1588" s="8">
        <v>52</v>
      </c>
      <c r="F1588" s="8">
        <v>1037.78</v>
      </c>
    </row>
    <row r="1589" spans="1:6" x14ac:dyDescent="0.25">
      <c r="A1589" s="1"/>
      <c r="B1589" s="2"/>
      <c r="C1589" s="8" t="s">
        <v>1524</v>
      </c>
      <c r="D1589" s="8" t="s">
        <v>42</v>
      </c>
      <c r="E1589" s="8">
        <v>7</v>
      </c>
      <c r="F1589" s="8">
        <v>151.39</v>
      </c>
    </row>
    <row r="1590" spans="1:6" x14ac:dyDescent="0.25">
      <c r="A1590" s="1"/>
      <c r="B1590" s="2"/>
      <c r="C1590" s="8" t="s">
        <v>1525</v>
      </c>
      <c r="D1590" s="8" t="s">
        <v>42</v>
      </c>
      <c r="E1590" s="8">
        <v>19</v>
      </c>
      <c r="F1590" s="8">
        <v>369.46</v>
      </c>
    </row>
    <row r="1591" spans="1:6" x14ac:dyDescent="0.25">
      <c r="A1591" s="1"/>
      <c r="B1591" s="2"/>
      <c r="C1591" s="8" t="s">
        <v>1526</v>
      </c>
      <c r="D1591" s="8" t="s">
        <v>42</v>
      </c>
      <c r="E1591" s="8">
        <v>35</v>
      </c>
      <c r="F1591" s="8">
        <v>707.38</v>
      </c>
    </row>
    <row r="1592" spans="1:6" x14ac:dyDescent="0.25">
      <c r="A1592" s="1"/>
      <c r="B1592" s="2"/>
      <c r="C1592" s="8" t="s">
        <v>1527</v>
      </c>
      <c r="D1592" s="8" t="s">
        <v>42</v>
      </c>
      <c r="E1592" s="8">
        <v>14</v>
      </c>
      <c r="F1592" s="8">
        <v>261.88</v>
      </c>
    </row>
    <row r="1593" spans="1:6" x14ac:dyDescent="0.25">
      <c r="A1593" s="1"/>
      <c r="B1593" s="2"/>
      <c r="C1593" s="8" t="s">
        <v>1528</v>
      </c>
      <c r="D1593" s="8" t="s">
        <v>42</v>
      </c>
      <c r="E1593" s="8">
        <v>82</v>
      </c>
      <c r="F1593" s="8">
        <v>1664.34</v>
      </c>
    </row>
    <row r="1594" spans="1:6" x14ac:dyDescent="0.25">
      <c r="A1594" s="1"/>
      <c r="B1594" s="2"/>
      <c r="C1594" s="8" t="s">
        <v>1529</v>
      </c>
      <c r="D1594" s="8" t="s">
        <v>42</v>
      </c>
      <c r="E1594" s="8">
        <v>19</v>
      </c>
      <c r="F1594" s="8">
        <v>372.19</v>
      </c>
    </row>
    <row r="1595" spans="1:6" x14ac:dyDescent="0.25">
      <c r="A1595" s="1"/>
      <c r="B1595" s="2"/>
      <c r="C1595" s="8" t="s">
        <v>1530</v>
      </c>
      <c r="D1595" s="8" t="s">
        <v>42</v>
      </c>
      <c r="E1595" s="8">
        <v>25</v>
      </c>
      <c r="F1595" s="8">
        <v>481.24</v>
      </c>
    </row>
    <row r="1596" spans="1:6" x14ac:dyDescent="0.25">
      <c r="A1596" s="1"/>
      <c r="B1596" s="2"/>
      <c r="C1596" s="8" t="s">
        <v>1531</v>
      </c>
      <c r="D1596" s="8" t="s">
        <v>42</v>
      </c>
      <c r="E1596" s="8">
        <v>61</v>
      </c>
      <c r="F1596" s="8">
        <v>1242.29</v>
      </c>
    </row>
    <row r="1597" spans="1:6" x14ac:dyDescent="0.25">
      <c r="A1597" s="1"/>
      <c r="B1597" s="2"/>
      <c r="C1597" s="8" t="s">
        <v>1532</v>
      </c>
      <c r="D1597" s="8" t="s">
        <v>42</v>
      </c>
      <c r="E1597" s="8">
        <v>24</v>
      </c>
      <c r="F1597" s="8">
        <v>454.99</v>
      </c>
    </row>
    <row r="1598" spans="1:6" x14ac:dyDescent="0.25">
      <c r="A1598" s="1"/>
      <c r="B1598" s="2"/>
      <c r="C1598" s="8" t="s">
        <v>1533</v>
      </c>
      <c r="D1598" s="8" t="s">
        <v>42</v>
      </c>
      <c r="E1598" s="8">
        <v>81</v>
      </c>
      <c r="F1598" s="8">
        <v>1564.52</v>
      </c>
    </row>
    <row r="1599" spans="1:6" x14ac:dyDescent="0.25">
      <c r="A1599" s="1"/>
      <c r="B1599" s="2"/>
      <c r="C1599" s="8" t="s">
        <v>1534</v>
      </c>
      <c r="D1599" s="8" t="s">
        <v>42</v>
      </c>
      <c r="E1599" s="8">
        <v>60</v>
      </c>
      <c r="F1599" s="8">
        <v>1217.35</v>
      </c>
    </row>
    <row r="1600" spans="1:6" x14ac:dyDescent="0.25">
      <c r="A1600" s="1"/>
      <c r="B1600" s="2"/>
      <c r="C1600" s="8" t="s">
        <v>1535</v>
      </c>
      <c r="D1600" s="8" t="s">
        <v>42</v>
      </c>
      <c r="E1600" s="8">
        <v>40</v>
      </c>
      <c r="F1600" s="8">
        <v>790.87</v>
      </c>
    </row>
    <row r="1601" spans="1:6" x14ac:dyDescent="0.25">
      <c r="A1601" s="1"/>
      <c r="B1601" s="2"/>
      <c r="C1601" s="8" t="s">
        <v>1536</v>
      </c>
      <c r="D1601" s="8" t="s">
        <v>42</v>
      </c>
      <c r="E1601" s="8">
        <v>60</v>
      </c>
      <c r="F1601" s="8">
        <v>1133.88</v>
      </c>
    </row>
    <row r="1602" spans="1:6" x14ac:dyDescent="0.25">
      <c r="A1602" s="1"/>
      <c r="B1602" s="2"/>
      <c r="C1602" s="8" t="s">
        <v>1537</v>
      </c>
      <c r="D1602" s="8" t="s">
        <v>42</v>
      </c>
      <c r="E1602" s="8">
        <v>45</v>
      </c>
      <c r="F1602" s="8">
        <v>220.81</v>
      </c>
    </row>
    <row r="1604" spans="1:7" x14ac:dyDescent="0.25">
      <c r="A1604" s="7">
        <v>46272</v>
      </c>
      <c r="B1604" s="8" t="s">
        <v>120</v>
      </c>
      <c r="C1604" s="8" t="s">
        <v>1538</v>
      </c>
      <c r="D1604" s="8" t="s">
        <v>122</v>
      </c>
      <c r="E1604" s="8">
        <v>6</v>
      </c>
      <c r="F1604" s="8">
        <v>57.71</v>
      </c>
      <c r="G1604" s="7">
        <v>46272</v>
      </c>
    </row>
    <row r="1605" spans="1:6" x14ac:dyDescent="0.25">
      <c r="A1605" s="1"/>
      <c r="B1605" s="2"/>
      <c r="C1605" s="8" t="s">
        <v>1538</v>
      </c>
      <c r="D1605" s="8" t="s">
        <v>122</v>
      </c>
      <c r="E1605" s="8">
        <v>2</v>
      </c>
      <c r="F1605" s="8">
        <v>21.6</v>
      </c>
    </row>
    <row r="1606" spans="1:6" x14ac:dyDescent="0.25">
      <c r="A1606" s="1"/>
      <c r="B1606" s="2"/>
      <c r="C1606" s="8" t="s">
        <v>1539</v>
      </c>
      <c r="D1606" s="8" t="s">
        <v>122</v>
      </c>
      <c r="E1606" s="8">
        <v>10</v>
      </c>
      <c r="F1606" s="8">
        <v>243.07</v>
      </c>
    </row>
    <row r="1607" spans="1:6" x14ac:dyDescent="0.25">
      <c r="A1607" s="1"/>
      <c r="B1607" s="2"/>
      <c r="C1607" s="8" t="s">
        <v>1539</v>
      </c>
      <c r="D1607" s="8" t="s">
        <v>122</v>
      </c>
      <c r="E1607" s="8">
        <v>5</v>
      </c>
      <c r="F1607" s="8">
        <v>109</v>
      </c>
    </row>
    <row r="1608" spans="1:6" x14ac:dyDescent="0.25">
      <c r="A1608" s="1"/>
      <c r="B1608" s="2"/>
      <c r="C1608" s="8" t="s">
        <v>1540</v>
      </c>
      <c r="D1608" s="8" t="s">
        <v>122</v>
      </c>
      <c r="E1608" s="8">
        <v>10</v>
      </c>
      <c r="F1608" s="8">
        <v>36.37</v>
      </c>
    </row>
    <row r="1609" spans="1:6" x14ac:dyDescent="0.25">
      <c r="A1609" s="1"/>
      <c r="B1609" s="2"/>
      <c r="C1609" s="8" t="s">
        <v>1540</v>
      </c>
      <c r="D1609" s="8" t="s">
        <v>122</v>
      </c>
      <c r="E1609" s="8">
        <v>2</v>
      </c>
      <c r="F1609" s="8">
        <v>38.7</v>
      </c>
    </row>
    <row r="1610" spans="1:6" x14ac:dyDescent="0.25">
      <c r="A1610" s="1"/>
      <c r="B1610" s="2"/>
      <c r="C1610" s="8" t="s">
        <v>1541</v>
      </c>
      <c r="D1610" s="8" t="s">
        <v>122</v>
      </c>
      <c r="E1610" s="8">
        <v>50</v>
      </c>
      <c r="F1610" s="8">
        <v>721.04</v>
      </c>
    </row>
    <row r="1611" spans="1:6" x14ac:dyDescent="0.25">
      <c r="A1611" s="1"/>
      <c r="B1611" s="2"/>
      <c r="C1611" s="8" t="s">
        <v>1542</v>
      </c>
      <c r="D1611" s="8" t="s">
        <v>122</v>
      </c>
      <c r="E1611" s="8">
        <v>40</v>
      </c>
      <c r="F1611" s="8">
        <v>781.42</v>
      </c>
    </row>
    <row r="1612" spans="1:6" x14ac:dyDescent="0.25">
      <c r="A1612" s="1"/>
      <c r="B1612" s="2"/>
      <c r="C1612" s="8" t="s">
        <v>1543</v>
      </c>
      <c r="D1612" s="8" t="s">
        <v>122</v>
      </c>
      <c r="E1612" s="8">
        <v>102</v>
      </c>
      <c r="F1612" s="8">
        <v>2039.44</v>
      </c>
    </row>
    <row r="1613" spans="1:6" x14ac:dyDescent="0.25">
      <c r="A1613" s="1"/>
      <c r="B1613" s="2"/>
      <c r="C1613" s="8" t="s">
        <v>1544</v>
      </c>
      <c r="D1613" s="8" t="s">
        <v>122</v>
      </c>
      <c r="E1613" s="8">
        <v>102</v>
      </c>
      <c r="F1613" s="8">
        <v>2032.87</v>
      </c>
    </row>
    <row r="1614" spans="1:6" x14ac:dyDescent="0.25">
      <c r="A1614" s="1"/>
      <c r="B1614" s="2"/>
      <c r="C1614" s="8" t="s">
        <v>1545</v>
      </c>
      <c r="D1614" s="8" t="s">
        <v>122</v>
      </c>
      <c r="E1614" s="8">
        <v>102</v>
      </c>
      <c r="F1614" s="8">
        <v>2042.35</v>
      </c>
    </row>
    <row r="1615" spans="1:6" x14ac:dyDescent="0.25">
      <c r="A1615" s="1"/>
      <c r="B1615" s="2"/>
      <c r="C1615" s="8" t="s">
        <v>1546</v>
      </c>
      <c r="D1615" s="8" t="s">
        <v>122</v>
      </c>
      <c r="E1615" s="8">
        <v>55</v>
      </c>
      <c r="F1615" s="8">
        <v>234.83</v>
      </c>
    </row>
    <row r="1616" spans="1:6" x14ac:dyDescent="0.25">
      <c r="A1616" s="1"/>
      <c r="B1616" s="2"/>
      <c r="C1616" s="8" t="s">
        <v>1547</v>
      </c>
      <c r="D1616" s="8" t="s">
        <v>122</v>
      </c>
      <c r="E1616" s="8">
        <v>75</v>
      </c>
      <c r="F1616" s="8">
        <v>347.78</v>
      </c>
    </row>
    <row r="1617" spans="1:6" x14ac:dyDescent="0.25">
      <c r="A1617" s="1"/>
      <c r="B1617" s="2"/>
      <c r="C1617" s="8" t="s">
        <v>1548</v>
      </c>
      <c r="D1617" s="8" t="s">
        <v>122</v>
      </c>
      <c r="E1617" s="8">
        <v>141</v>
      </c>
      <c r="F1617" s="8">
        <v>2809.38</v>
      </c>
    </row>
    <row r="1618" spans="1:6" x14ac:dyDescent="0.25">
      <c r="A1618" s="1"/>
      <c r="B1618" s="2"/>
      <c r="C1618" s="8" t="s">
        <v>1549</v>
      </c>
      <c r="D1618" s="8" t="s">
        <v>122</v>
      </c>
      <c r="E1618" s="8">
        <v>66</v>
      </c>
      <c r="F1618" s="8">
        <v>1327.9</v>
      </c>
    </row>
    <row r="1619" spans="1:6" x14ac:dyDescent="0.25">
      <c r="A1619" s="1"/>
      <c r="B1619" s="2"/>
      <c r="C1619" s="8" t="s">
        <v>1550</v>
      </c>
      <c r="D1619" s="8" t="s">
        <v>122</v>
      </c>
      <c r="E1619" s="8">
        <v>9</v>
      </c>
      <c r="F1619" s="8">
        <v>192.3</v>
      </c>
    </row>
    <row r="1620" spans="1:6" x14ac:dyDescent="0.25">
      <c r="A1620" s="1"/>
      <c r="B1620" s="2"/>
      <c r="C1620" s="8" t="s">
        <v>1551</v>
      </c>
      <c r="D1620" s="8" t="s">
        <v>122</v>
      </c>
      <c r="E1620" s="8">
        <v>52</v>
      </c>
      <c r="F1620" s="8">
        <v>1050.15</v>
      </c>
    </row>
    <row r="1621" spans="1:6" x14ac:dyDescent="0.25">
      <c r="A1621" s="1"/>
      <c r="B1621" s="2"/>
      <c r="C1621" s="8" t="s">
        <v>1551</v>
      </c>
      <c r="D1621" s="8" t="s">
        <v>122</v>
      </c>
      <c r="E1621" s="8">
        <v>5</v>
      </c>
      <c r="F1621" s="8">
        <v>104.6</v>
      </c>
    </row>
    <row r="1622" spans="1:6" x14ac:dyDescent="0.25">
      <c r="A1622" s="1"/>
      <c r="B1622" s="2"/>
      <c r="C1622" s="8" t="s">
        <v>1552</v>
      </c>
      <c r="D1622" s="8" t="s">
        <v>122</v>
      </c>
      <c r="E1622" s="8">
        <v>13</v>
      </c>
      <c r="F1622" s="8">
        <v>245.78</v>
      </c>
    </row>
    <row r="1623" spans="1:6" x14ac:dyDescent="0.25">
      <c r="A1623" s="1"/>
      <c r="B1623" s="2"/>
      <c r="C1623" s="8" t="s">
        <v>1552</v>
      </c>
      <c r="D1623" s="8" t="s">
        <v>122</v>
      </c>
      <c r="E1623" s="8">
        <v>2</v>
      </c>
      <c r="F1623" s="8">
        <v>40.6</v>
      </c>
    </row>
    <row r="1624" spans="1:6" x14ac:dyDescent="0.25">
      <c r="A1624" s="1"/>
      <c r="B1624" s="2"/>
      <c r="C1624" s="8" t="s">
        <v>1553</v>
      </c>
      <c r="D1624" s="8" t="s">
        <v>122</v>
      </c>
      <c r="E1624" s="8">
        <v>49</v>
      </c>
      <c r="F1624" s="8">
        <v>1040.63</v>
      </c>
    </row>
    <row r="1625" spans="1:6" x14ac:dyDescent="0.25">
      <c r="A1625" s="1"/>
      <c r="B1625" s="2"/>
      <c r="C1625" s="8" t="s">
        <v>1554</v>
      </c>
      <c r="D1625" s="8" t="s">
        <v>122</v>
      </c>
      <c r="E1625" s="8">
        <v>121</v>
      </c>
      <c r="F1625" s="8">
        <v>2520.62</v>
      </c>
    </row>
    <row r="1626" spans="1:6" x14ac:dyDescent="0.25">
      <c r="A1626" s="1"/>
      <c r="B1626" s="2"/>
      <c r="C1626" s="8" t="s">
        <v>1555</v>
      </c>
      <c r="D1626" s="8" t="s">
        <v>122</v>
      </c>
      <c r="E1626" s="8">
        <v>121</v>
      </c>
      <c r="F1626" s="8">
        <v>2544.72</v>
      </c>
    </row>
    <row r="1627" spans="1:6" x14ac:dyDescent="0.25">
      <c r="A1627" s="1"/>
      <c r="B1627" s="2"/>
      <c r="C1627" s="8" t="s">
        <v>1556</v>
      </c>
      <c r="D1627" s="8" t="s">
        <v>122</v>
      </c>
      <c r="E1627" s="8">
        <v>121</v>
      </c>
      <c r="F1627" s="8">
        <v>2457.96</v>
      </c>
    </row>
    <row r="1628" spans="1:6" x14ac:dyDescent="0.25">
      <c r="A1628" s="1"/>
      <c r="B1628" s="2"/>
      <c r="C1628" s="8" t="s">
        <v>1557</v>
      </c>
      <c r="D1628" s="8" t="s">
        <v>122</v>
      </c>
      <c r="E1628" s="8">
        <v>65</v>
      </c>
      <c r="F1628" s="8">
        <v>1290.39</v>
      </c>
    </row>
    <row r="1629" spans="1:6" x14ac:dyDescent="0.25">
      <c r="A1629" s="1"/>
      <c r="B1629" s="2"/>
      <c r="C1629" s="8" t="s">
        <v>1558</v>
      </c>
      <c r="D1629" s="8" t="s">
        <v>122</v>
      </c>
      <c r="E1629" s="8">
        <v>37</v>
      </c>
      <c r="F1629" s="8">
        <v>758.36</v>
      </c>
    </row>
    <row r="1630" spans="1:6" x14ac:dyDescent="0.25">
      <c r="A1630" s="1"/>
      <c r="B1630" s="2"/>
      <c r="C1630" s="8" t="s">
        <v>1559</v>
      </c>
      <c r="D1630" s="8" t="s">
        <v>122</v>
      </c>
      <c r="E1630" s="8">
        <v>20</v>
      </c>
      <c r="F1630" s="8">
        <v>377.83</v>
      </c>
    </row>
    <row r="1631" spans="1:6" x14ac:dyDescent="0.25">
      <c r="A1631" s="1"/>
      <c r="B1631" s="2"/>
      <c r="C1631" s="8" t="s">
        <v>1560</v>
      </c>
      <c r="D1631" s="8" t="s">
        <v>122</v>
      </c>
      <c r="E1631" s="8">
        <v>20</v>
      </c>
      <c r="F1631" s="8">
        <v>411.27</v>
      </c>
    </row>
    <row r="1632" spans="1:6" x14ac:dyDescent="0.25">
      <c r="A1632" s="1"/>
      <c r="B1632" s="2"/>
      <c r="C1632" s="8" t="s">
        <v>1561</v>
      </c>
      <c r="D1632" s="8" t="s">
        <v>122</v>
      </c>
      <c r="E1632" s="8">
        <v>20</v>
      </c>
      <c r="F1632" s="8">
        <v>378.9</v>
      </c>
    </row>
    <row r="1633" spans="1:6" x14ac:dyDescent="0.25">
      <c r="A1633" s="1"/>
      <c r="B1633" s="2"/>
      <c r="C1633" s="8" t="s">
        <v>1562</v>
      </c>
      <c r="D1633" s="8" t="s">
        <v>122</v>
      </c>
      <c r="E1633" s="8">
        <v>42</v>
      </c>
      <c r="F1633" s="8">
        <v>831.82</v>
      </c>
    </row>
    <row r="1634" spans="1:6" x14ac:dyDescent="0.25">
      <c r="A1634" s="1"/>
      <c r="B1634" s="2"/>
      <c r="C1634" s="8" t="s">
        <v>1563</v>
      </c>
      <c r="D1634" s="8" t="s">
        <v>122</v>
      </c>
      <c r="E1634" s="8">
        <v>60</v>
      </c>
      <c r="F1634" s="8">
        <v>301.45</v>
      </c>
    </row>
    <row r="1635" spans="1:6" x14ac:dyDescent="0.25">
      <c r="A1635" s="1"/>
      <c r="B1635" s="2"/>
      <c r="C1635" s="8" t="s">
        <v>1564</v>
      </c>
      <c r="D1635" s="8" t="s">
        <v>122</v>
      </c>
      <c r="E1635" s="8">
        <v>141</v>
      </c>
      <c r="F1635" s="8">
        <v>2717.36</v>
      </c>
    </row>
    <row r="1636" spans="1:6" x14ac:dyDescent="0.25">
      <c r="A1636" s="1"/>
      <c r="B1636" s="2"/>
      <c r="C1636" s="8" t="s">
        <v>1565</v>
      </c>
      <c r="D1636" s="8" t="s">
        <v>122</v>
      </c>
      <c r="E1636" s="8">
        <v>141</v>
      </c>
      <c r="F1636" s="8">
        <v>2732.22</v>
      </c>
    </row>
    <row r="1637" spans="1:6" x14ac:dyDescent="0.25">
      <c r="A1637" s="1"/>
      <c r="B1637" s="2"/>
      <c r="C1637" s="8" t="s">
        <v>1566</v>
      </c>
      <c r="D1637" s="8" t="s">
        <v>122</v>
      </c>
      <c r="E1637" s="8">
        <v>141</v>
      </c>
      <c r="F1637" s="8">
        <v>2840.61</v>
      </c>
    </row>
    <row r="1638" spans="1:6" x14ac:dyDescent="0.25">
      <c r="A1638" s="1"/>
      <c r="B1638" s="2"/>
      <c r="C1638" s="8" t="s">
        <v>1567</v>
      </c>
      <c r="D1638" s="8" t="s">
        <v>122</v>
      </c>
      <c r="E1638" s="8">
        <v>38</v>
      </c>
      <c r="F1638" s="8">
        <v>683.41</v>
      </c>
    </row>
    <row r="1639" spans="1:6" x14ac:dyDescent="0.25">
      <c r="A1639" s="1"/>
      <c r="B1639" s="2"/>
      <c r="C1639" s="8" t="s">
        <v>1568</v>
      </c>
      <c r="D1639" s="8" t="s">
        <v>122</v>
      </c>
      <c r="E1639" s="8">
        <v>55</v>
      </c>
      <c r="F1639" s="8">
        <v>1036.47</v>
      </c>
    </row>
    <row r="1640" spans="1:6" x14ac:dyDescent="0.25">
      <c r="A1640" s="1"/>
      <c r="B1640" s="2"/>
      <c r="C1640" s="8" t="s">
        <v>1569</v>
      </c>
      <c r="D1640" s="8" t="s">
        <v>122</v>
      </c>
      <c r="E1640" s="8">
        <v>13</v>
      </c>
      <c r="F1640" s="8">
        <v>257.83</v>
      </c>
    </row>
    <row r="1641" spans="1:6" x14ac:dyDescent="0.25">
      <c r="A1641" s="1"/>
      <c r="B1641" s="2"/>
      <c r="C1641" s="8" t="s">
        <v>1570</v>
      </c>
      <c r="D1641" s="8" t="s">
        <v>122</v>
      </c>
      <c r="E1641" s="8">
        <v>35</v>
      </c>
      <c r="F1641" s="8">
        <v>679.74</v>
      </c>
    </row>
    <row r="1642" spans="1:6" x14ac:dyDescent="0.25">
      <c r="A1642" s="1"/>
      <c r="B1642" s="2"/>
      <c r="C1642" s="8" t="s">
        <v>1571</v>
      </c>
      <c r="D1642" s="8" t="s">
        <v>122</v>
      </c>
      <c r="E1642" s="8">
        <v>99</v>
      </c>
      <c r="F1642" s="8">
        <v>1942.4</v>
      </c>
    </row>
    <row r="1643" spans="1:6" x14ac:dyDescent="0.25">
      <c r="A1643" s="1"/>
      <c r="B1643" s="2"/>
      <c r="C1643" s="8" t="s">
        <v>1572</v>
      </c>
      <c r="D1643" s="8" t="s">
        <v>122</v>
      </c>
      <c r="E1643" s="8">
        <v>42</v>
      </c>
      <c r="F1643" s="8">
        <v>821</v>
      </c>
    </row>
    <row r="1644" spans="1:6" x14ac:dyDescent="0.25">
      <c r="A1644" s="1"/>
      <c r="B1644" s="2"/>
      <c r="C1644" s="8" t="s">
        <v>1573</v>
      </c>
      <c r="D1644" s="8" t="s">
        <v>122</v>
      </c>
      <c r="E1644" s="8">
        <v>39</v>
      </c>
      <c r="F1644" s="8">
        <v>1082.15</v>
      </c>
    </row>
    <row r="1645" spans="1:6" x14ac:dyDescent="0.25">
      <c r="A1645" s="1"/>
      <c r="B1645" s="2"/>
      <c r="C1645" s="8" t="s">
        <v>1574</v>
      </c>
      <c r="D1645" s="8" t="s">
        <v>122</v>
      </c>
      <c r="E1645" s="8">
        <v>31</v>
      </c>
      <c r="F1645" s="8">
        <v>1088.98</v>
      </c>
    </row>
    <row r="1646" spans="1:6" x14ac:dyDescent="0.25">
      <c r="A1646" s="1"/>
      <c r="B1646" s="2"/>
      <c r="C1646" s="8" t="s">
        <v>1575</v>
      </c>
      <c r="D1646" s="8" t="s">
        <v>122</v>
      </c>
      <c r="E1646" s="8">
        <v>39</v>
      </c>
      <c r="F1646" s="8">
        <v>737.56</v>
      </c>
    </row>
    <row r="1647" spans="1:6" x14ac:dyDescent="0.25">
      <c r="A1647" s="1"/>
      <c r="B1647" s="2"/>
      <c r="C1647" s="8" t="s">
        <v>1576</v>
      </c>
      <c r="D1647" s="8" t="s">
        <v>122</v>
      </c>
      <c r="E1647" s="8">
        <v>38</v>
      </c>
      <c r="F1647" s="8">
        <v>726.47</v>
      </c>
    </row>
    <row r="1648" spans="1:6" x14ac:dyDescent="0.25">
      <c r="A1648" s="1"/>
      <c r="B1648" s="2"/>
      <c r="C1648" s="8" t="s">
        <v>1577</v>
      </c>
      <c r="D1648" s="8" t="s">
        <v>122</v>
      </c>
      <c r="E1648" s="8">
        <v>29</v>
      </c>
      <c r="F1648" s="8">
        <v>571.61</v>
      </c>
    </row>
    <row r="1649" spans="1:6" x14ac:dyDescent="0.25">
      <c r="A1649" s="1"/>
      <c r="B1649" s="2"/>
      <c r="C1649" s="8" t="s">
        <v>1578</v>
      </c>
      <c r="D1649" s="8" t="s">
        <v>122</v>
      </c>
      <c r="E1649" s="8">
        <v>35</v>
      </c>
      <c r="F1649" s="8">
        <v>726.56</v>
      </c>
    </row>
    <row r="1650" spans="1:6" x14ac:dyDescent="0.25">
      <c r="A1650" s="1"/>
      <c r="B1650" s="2"/>
      <c r="C1650" s="8" t="s">
        <v>1579</v>
      </c>
      <c r="D1650" s="8" t="s">
        <v>122</v>
      </c>
      <c r="E1650" s="8">
        <v>100</v>
      </c>
      <c r="F1650" s="8">
        <v>1948.77</v>
      </c>
    </row>
    <row r="1651" spans="1:6" x14ac:dyDescent="0.25">
      <c r="A1651" s="1"/>
      <c r="B1651" s="2"/>
      <c r="C1651" s="8" t="s">
        <v>1580</v>
      </c>
      <c r="D1651" s="8" t="s">
        <v>122</v>
      </c>
      <c r="E1651" s="8">
        <v>38</v>
      </c>
      <c r="F1651" s="8">
        <v>788.01</v>
      </c>
    </row>
    <row r="1652" spans="1:6" x14ac:dyDescent="0.25">
      <c r="A1652" s="1"/>
      <c r="B1652" s="2"/>
      <c r="C1652" s="8" t="s">
        <v>1581</v>
      </c>
      <c r="D1652" s="8" t="s">
        <v>122</v>
      </c>
      <c r="E1652" s="8">
        <v>3</v>
      </c>
      <c r="F1652" s="8">
        <v>59.68</v>
      </c>
    </row>
    <row r="1653" spans="1:6" x14ac:dyDescent="0.25">
      <c r="A1653" s="1"/>
      <c r="B1653" s="2"/>
      <c r="C1653" s="8" t="s">
        <v>1582</v>
      </c>
      <c r="D1653" s="8" t="s">
        <v>122</v>
      </c>
      <c r="E1653" s="8">
        <v>99</v>
      </c>
      <c r="F1653" s="8">
        <v>2009.55</v>
      </c>
    </row>
    <row r="1654" spans="1:6" x14ac:dyDescent="0.25">
      <c r="A1654" s="1"/>
      <c r="B1654" s="2"/>
      <c r="C1654" s="8" t="s">
        <v>1583</v>
      </c>
      <c r="D1654" s="8" t="s">
        <v>122</v>
      </c>
      <c r="E1654" s="8">
        <v>25</v>
      </c>
      <c r="F1654" s="8">
        <v>492.77</v>
      </c>
    </row>
    <row r="1655" spans="1:6" x14ac:dyDescent="0.25">
      <c r="A1655" s="1"/>
      <c r="B1655" s="2"/>
      <c r="C1655" s="8" t="s">
        <v>1584</v>
      </c>
      <c r="D1655" s="8" t="s">
        <v>122</v>
      </c>
      <c r="E1655" s="8">
        <v>17</v>
      </c>
      <c r="F1655" s="8">
        <v>359.95</v>
      </c>
    </row>
    <row r="1657" spans="1:7" x14ac:dyDescent="0.25">
      <c r="A1657" s="7">
        <v>46271</v>
      </c>
      <c r="B1657" s="8" t="s">
        <v>1585</v>
      </c>
      <c r="C1657" s="8" t="s">
        <v>1586</v>
      </c>
      <c r="D1657" s="8" t="s">
        <v>297</v>
      </c>
      <c r="E1657" s="8">
        <v>102</v>
      </c>
      <c r="F1657" s="8">
        <v>1903.01</v>
      </c>
      <c r="G1657" s="7">
        <v>46270</v>
      </c>
    </row>
    <row r="1659" spans="1:7" x14ac:dyDescent="0.25">
      <c r="A1659" s="7">
        <v>46272</v>
      </c>
      <c r="B1659" s="8" t="s">
        <v>324</v>
      </c>
      <c r="C1659" s="8" t="s">
        <v>1587</v>
      </c>
      <c r="D1659" s="8" t="s">
        <v>27</v>
      </c>
      <c r="E1659" s="8">
        <v>60</v>
      </c>
      <c r="F1659" s="8">
        <v>1138.22</v>
      </c>
      <c r="G1659" s="7">
        <v>46270</v>
      </c>
    </row>
    <row r="1660" spans="1:6" x14ac:dyDescent="0.25">
      <c r="A1660" s="1"/>
      <c r="B1660" s="2"/>
      <c r="C1660" s="8" t="s">
        <v>1588</v>
      </c>
      <c r="D1660" s="8" t="s">
        <v>27</v>
      </c>
      <c r="E1660" s="8">
        <v>23</v>
      </c>
      <c r="F1660" s="8">
        <v>493.61</v>
      </c>
    </row>
    <row r="1661" spans="1:6" x14ac:dyDescent="0.25">
      <c r="A1661" s="1"/>
      <c r="B1661" s="2"/>
      <c r="C1661" s="8" t="s">
        <v>1589</v>
      </c>
      <c r="D1661" s="8" t="s">
        <v>27</v>
      </c>
      <c r="E1661" s="8"/>
      <c r="F1661" s="8"/>
    </row>
    <row r="1662" spans="1:6" x14ac:dyDescent="0.25">
      <c r="A1662" s="1"/>
      <c r="B1662" s="2"/>
      <c r="C1662" s="8" t="s">
        <v>1590</v>
      </c>
      <c r="D1662" s="8" t="s">
        <v>27</v>
      </c>
      <c r="E1662" s="8">
        <v>92</v>
      </c>
      <c r="F1662" s="8">
        <v>1875.57</v>
      </c>
    </row>
    <row r="1663" spans="1:6" x14ac:dyDescent="0.25">
      <c r="A1663" s="1"/>
      <c r="B1663" s="2"/>
      <c r="C1663" s="8" t="s">
        <v>1591</v>
      </c>
      <c r="D1663" s="8" t="s">
        <v>27</v>
      </c>
      <c r="E1663" s="8">
        <v>87</v>
      </c>
      <c r="F1663" s="8">
        <v>1420.25</v>
      </c>
    </row>
    <row r="1664" spans="1:6" x14ac:dyDescent="0.25">
      <c r="A1664" s="1"/>
      <c r="B1664" s="2"/>
      <c r="C1664" s="8" t="s">
        <v>1592</v>
      </c>
      <c r="D1664" s="8" t="s">
        <v>27</v>
      </c>
      <c r="E1664" s="8">
        <v>13</v>
      </c>
      <c r="F1664" s="8">
        <v>234.87</v>
      </c>
    </row>
    <row r="1666" spans="1:7" x14ac:dyDescent="0.25">
      <c r="A1666" s="7">
        <v>46272</v>
      </c>
      <c r="B1666" s="8" t="s">
        <v>324</v>
      </c>
      <c r="C1666" s="8" t="s">
        <v>1587</v>
      </c>
      <c r="D1666" s="8" t="s">
        <v>27</v>
      </c>
      <c r="E1666" s="8">
        <v>60</v>
      </c>
      <c r="F1666" s="8">
        <v>1138.22</v>
      </c>
      <c r="G1666" s="7">
        <v>46270</v>
      </c>
    </row>
    <row r="1667" spans="1:6" x14ac:dyDescent="0.25">
      <c r="A1667" s="1"/>
      <c r="B1667" s="2"/>
      <c r="C1667" s="8" t="s">
        <v>1588</v>
      </c>
      <c r="D1667" s="8" t="s">
        <v>27</v>
      </c>
      <c r="E1667" s="8">
        <v>23</v>
      </c>
      <c r="F1667" s="8">
        <v>493.61</v>
      </c>
    </row>
    <row r="1668" spans="1:7" x14ac:dyDescent="0.25">
      <c r="A1668" s="7">
        <v>46272</v>
      </c>
      <c r="B1668" s="8" t="s">
        <v>324</v>
      </c>
      <c r="C1668" s="8" t="s">
        <v>1590</v>
      </c>
      <c r="D1668" s="8" t="s">
        <v>27</v>
      </c>
      <c r="E1668" s="8">
        <v>92</v>
      </c>
      <c r="F1668" s="8">
        <v>1875.57</v>
      </c>
      <c r="G1668" s="7">
        <v>46270</v>
      </c>
    </row>
    <row r="1669" spans="1:6" x14ac:dyDescent="0.25">
      <c r="A1669" s="1"/>
      <c r="B1669" s="2"/>
      <c r="C1669" s="8" t="s">
        <v>1591</v>
      </c>
      <c r="D1669" s="8" t="s">
        <v>27</v>
      </c>
      <c r="E1669" s="8">
        <v>87</v>
      </c>
      <c r="F1669" s="8">
        <v>1420.25</v>
      </c>
    </row>
    <row r="1670" spans="1:6" x14ac:dyDescent="0.25">
      <c r="A1670" s="1"/>
      <c r="B1670" s="2"/>
      <c r="C1670" s="8" t="s">
        <v>1592</v>
      </c>
      <c r="D1670" s="8" t="s">
        <v>27</v>
      </c>
      <c r="E1670" s="8">
        <v>13</v>
      </c>
      <c r="F1670" s="8">
        <v>234.87</v>
      </c>
    </row>
    <row r="1672" spans="1:7" x14ac:dyDescent="0.25">
      <c r="A1672" s="7">
        <v>46271</v>
      </c>
      <c r="B1672" s="8" t="s">
        <v>10</v>
      </c>
      <c r="C1672" s="8" t="s">
        <v>1593</v>
      </c>
      <c r="D1672" s="8" t="s">
        <v>12</v>
      </c>
      <c r="E1672" s="8">
        <v>85</v>
      </c>
      <c r="F1672" s="8">
        <v>1607.71</v>
      </c>
      <c r="G1672" s="7">
        <v>46270</v>
      </c>
    </row>
    <row r="1673" spans="1:6" x14ac:dyDescent="0.25">
      <c r="A1673" s="1"/>
      <c r="B1673" s="2"/>
      <c r="C1673" s="8" t="s">
        <v>1594</v>
      </c>
      <c r="D1673" s="8" t="s">
        <v>12</v>
      </c>
      <c r="E1673" s="8">
        <v>81</v>
      </c>
      <c r="F1673" s="8">
        <v>1700.82</v>
      </c>
    </row>
    <row r="1675" spans="1:7" x14ac:dyDescent="0.25">
      <c r="A1675" s="7">
        <v>46271</v>
      </c>
      <c r="B1675" s="8" t="s">
        <v>398</v>
      </c>
      <c r="C1675" s="8" t="s">
        <v>1595</v>
      </c>
      <c r="D1675" s="8" t="s">
        <v>12</v>
      </c>
      <c r="E1675" s="8">
        <v>150</v>
      </c>
      <c r="F1675" s="8">
        <v>3116.07</v>
      </c>
      <c r="G1675" s="7">
        <v>46270</v>
      </c>
    </row>
    <row r="1676" spans="1:6" x14ac:dyDescent="0.25">
      <c r="A1676" s="1"/>
      <c r="B1676" s="2"/>
      <c r="C1676" s="8" t="s">
        <v>1596</v>
      </c>
      <c r="D1676" s="8" t="s">
        <v>12</v>
      </c>
      <c r="E1676" s="8">
        <v>150</v>
      </c>
      <c r="F1676" s="8">
        <v>3082.16</v>
      </c>
    </row>
    <row r="1677" spans="1:6" x14ac:dyDescent="0.25">
      <c r="A1677" s="1"/>
      <c r="B1677" s="2"/>
      <c r="C1677" s="8" t="s">
        <v>1597</v>
      </c>
      <c r="D1677" s="8" t="s">
        <v>12</v>
      </c>
      <c r="E1677" s="8">
        <v>72</v>
      </c>
      <c r="F1677" s="8">
        <v>1519.03</v>
      </c>
    </row>
    <row r="1679" spans="1:7" x14ac:dyDescent="0.25">
      <c r="A1679" s="7">
        <v>46271</v>
      </c>
      <c r="B1679" s="8" t="s">
        <v>380</v>
      </c>
      <c r="C1679" s="8" t="s">
        <v>1598</v>
      </c>
      <c r="D1679" s="8" t="s">
        <v>20</v>
      </c>
      <c r="E1679" s="8">
        <v>135</v>
      </c>
      <c r="F1679" s="8">
        <v>2697.34</v>
      </c>
      <c r="G1679" s="7">
        <v>46270</v>
      </c>
    </row>
    <row r="1680" spans="1:6" x14ac:dyDescent="0.25">
      <c r="A1680" s="1"/>
      <c r="B1680" s="2"/>
      <c r="C1680" s="8" t="s">
        <v>1599</v>
      </c>
      <c r="D1680" s="8" t="s">
        <v>20</v>
      </c>
      <c r="E1680" s="8">
        <v>102</v>
      </c>
      <c r="F1680" s="8">
        <v>1980.23</v>
      </c>
    </row>
    <row r="1681" spans="1:6" x14ac:dyDescent="0.25">
      <c r="A1681" s="1"/>
      <c r="B1681" s="2"/>
      <c r="C1681" s="8" t="s">
        <v>1600</v>
      </c>
      <c r="D1681" s="8" t="s">
        <v>20</v>
      </c>
      <c r="E1681" s="8">
        <v>244</v>
      </c>
      <c r="F1681" s="8">
        <v>4752.14</v>
      </c>
    </row>
    <row r="1682" spans="1:6" x14ac:dyDescent="0.25">
      <c r="A1682" s="1"/>
      <c r="B1682" s="2"/>
      <c r="C1682" s="8" t="s">
        <v>1601</v>
      </c>
      <c r="D1682" s="8" t="s">
        <v>20</v>
      </c>
      <c r="E1682" s="8">
        <v>92</v>
      </c>
      <c r="F1682" s="8">
        <v>1802.4</v>
      </c>
    </row>
    <row r="1683" spans="1:6" x14ac:dyDescent="0.25">
      <c r="A1683" s="1"/>
      <c r="B1683" s="2"/>
      <c r="C1683" s="8" t="s">
        <v>1602</v>
      </c>
      <c r="D1683" s="8" t="s">
        <v>20</v>
      </c>
      <c r="E1683" s="8">
        <v>102</v>
      </c>
      <c r="F1683" s="8">
        <v>1966.61</v>
      </c>
    </row>
    <row r="1684" spans="1:6" x14ac:dyDescent="0.25">
      <c r="A1684" s="1"/>
      <c r="B1684" s="2"/>
      <c r="C1684" s="8" t="s">
        <v>1603</v>
      </c>
      <c r="D1684" s="8" t="s">
        <v>20</v>
      </c>
      <c r="E1684" s="8">
        <v>142</v>
      </c>
      <c r="F1684" s="8">
        <v>2890.99</v>
      </c>
    </row>
    <row r="1685" spans="1:6" x14ac:dyDescent="0.25">
      <c r="A1685" s="1"/>
      <c r="B1685" s="2"/>
      <c r="C1685" s="8" t="s">
        <v>1604</v>
      </c>
      <c r="D1685" s="8" t="s">
        <v>20</v>
      </c>
      <c r="E1685" s="8">
        <v>131</v>
      </c>
      <c r="F1685" s="8">
        <v>2661.43</v>
      </c>
    </row>
    <row r="1686" spans="1:6" x14ac:dyDescent="0.25">
      <c r="A1686" s="1"/>
      <c r="B1686" s="2"/>
      <c r="C1686" s="8" t="s">
        <v>1605</v>
      </c>
      <c r="D1686" s="8" t="s">
        <v>20</v>
      </c>
      <c r="E1686" s="8">
        <v>92</v>
      </c>
      <c r="F1686" s="8">
        <v>1825.83</v>
      </c>
    </row>
    <row r="1687" spans="1:6" x14ac:dyDescent="0.25">
      <c r="A1687" s="1"/>
      <c r="B1687" s="2"/>
      <c r="C1687" s="8" t="s">
        <v>1606</v>
      </c>
      <c r="D1687" s="8" t="s">
        <v>20</v>
      </c>
      <c r="E1687" s="8">
        <v>140</v>
      </c>
      <c r="F1687" s="8">
        <v>2591.84</v>
      </c>
    </row>
    <row r="1688" spans="1:6" x14ac:dyDescent="0.25">
      <c r="A1688" s="1"/>
      <c r="B1688" s="2"/>
      <c r="C1688" s="8" t="s">
        <v>1607</v>
      </c>
      <c r="D1688" s="8" t="s">
        <v>20</v>
      </c>
      <c r="E1688" s="8">
        <v>102</v>
      </c>
      <c r="F1688" s="8">
        <v>2031.16</v>
      </c>
    </row>
    <row r="1689" spans="1:6" x14ac:dyDescent="0.25">
      <c r="A1689" s="1"/>
      <c r="B1689" s="2"/>
      <c r="C1689" s="8" t="s">
        <v>1608</v>
      </c>
      <c r="D1689" s="8" t="s">
        <v>20</v>
      </c>
      <c r="E1689" s="8">
        <v>142</v>
      </c>
      <c r="F1689" s="8">
        <v>2772.3</v>
      </c>
    </row>
    <row r="1691" spans="1:7" x14ac:dyDescent="0.25">
      <c r="A1691" s="7">
        <v>46270</v>
      </c>
      <c r="B1691" s="8" t="s">
        <v>503</v>
      </c>
      <c r="C1691" s="8" t="s">
        <v>1609</v>
      </c>
      <c r="D1691" s="8" t="s">
        <v>42</v>
      </c>
      <c r="E1691" s="8">
        <v>97</v>
      </c>
      <c r="F1691" s="8">
        <v>1625.76</v>
      </c>
      <c r="G1691" s="7">
        <v>46269</v>
      </c>
    </row>
    <row r="1693" spans="1:7" x14ac:dyDescent="0.25">
      <c r="A1693" s="7">
        <v>46271</v>
      </c>
      <c r="B1693" s="8" t="s">
        <v>1610</v>
      </c>
      <c r="C1693" s="8" t="s">
        <v>1611</v>
      </c>
      <c r="D1693" s="8" t="s">
        <v>27</v>
      </c>
      <c r="E1693" s="8">
        <v>29</v>
      </c>
      <c r="F1693" s="8">
        <v>536.08</v>
      </c>
      <c r="G1693" s="7">
        <v>46269</v>
      </c>
    </row>
    <row r="1694" spans="1:6" x14ac:dyDescent="0.25">
      <c r="A1694" s="1"/>
      <c r="B1694" s="2"/>
      <c r="C1694" s="8" t="s">
        <v>1612</v>
      </c>
      <c r="D1694" s="8" t="s">
        <v>27</v>
      </c>
      <c r="E1694" s="8">
        <v>45</v>
      </c>
      <c r="F1694" s="8">
        <v>962.62</v>
      </c>
    </row>
    <row r="1695" spans="1:6" x14ac:dyDescent="0.25">
      <c r="A1695" s="1"/>
      <c r="B1695" s="2"/>
      <c r="C1695" s="8" t="s">
        <v>1613</v>
      </c>
      <c r="D1695" s="8" t="s">
        <v>27</v>
      </c>
      <c r="E1695" s="8">
        <v>15</v>
      </c>
      <c r="F1695" s="8">
        <v>273.48</v>
      </c>
    </row>
    <row r="1696" spans="1:6" x14ac:dyDescent="0.25">
      <c r="A1696" s="1"/>
      <c r="B1696" s="2"/>
      <c r="C1696" s="8" t="s">
        <v>1614</v>
      </c>
      <c r="D1696" s="8" t="s">
        <v>27</v>
      </c>
      <c r="E1696" s="8">
        <v>88</v>
      </c>
      <c r="F1696" s="8">
        <v>1569.64</v>
      </c>
    </row>
    <row r="1697" spans="1:7" x14ac:dyDescent="0.25">
      <c r="A1697" s="7">
        <v>46272</v>
      </c>
      <c r="B1697" s="8" t="s">
        <v>1610</v>
      </c>
      <c r="C1697" s="8" t="s">
        <v>1615</v>
      </c>
      <c r="D1697" s="8" t="s">
        <v>27</v>
      </c>
      <c r="E1697" s="8">
        <v>11</v>
      </c>
      <c r="F1697" s="8">
        <v>216.45</v>
      </c>
      <c r="G1697" s="7">
        <v>46269</v>
      </c>
    </row>
    <row r="1699" spans="1:7" x14ac:dyDescent="0.25">
      <c r="A1699" s="7">
        <v>46271</v>
      </c>
      <c r="B1699" s="8" t="s">
        <v>1610</v>
      </c>
      <c r="C1699" s="8" t="s">
        <v>1611</v>
      </c>
      <c r="D1699" s="8" t="s">
        <v>27</v>
      </c>
      <c r="E1699" s="8">
        <v>29</v>
      </c>
      <c r="F1699" s="8">
        <v>536.08</v>
      </c>
      <c r="G1699" s="7">
        <v>46269</v>
      </c>
    </row>
    <row r="1700" spans="1:6" x14ac:dyDescent="0.25">
      <c r="A1700" s="1"/>
      <c r="B1700" s="2"/>
      <c r="C1700" s="8" t="s">
        <v>1612</v>
      </c>
      <c r="D1700" s="8" t="s">
        <v>27</v>
      </c>
      <c r="E1700" s="8">
        <v>45</v>
      </c>
      <c r="F1700" s="8">
        <v>962.62</v>
      </c>
    </row>
    <row r="1701" spans="1:6" x14ac:dyDescent="0.25">
      <c r="A1701" s="1"/>
      <c r="B1701" s="2"/>
      <c r="C1701" s="8" t="s">
        <v>1613</v>
      </c>
      <c r="D1701" s="8" t="s">
        <v>27</v>
      </c>
      <c r="E1701" s="8">
        <v>15</v>
      </c>
      <c r="F1701" s="8">
        <v>273.48</v>
      </c>
    </row>
    <row r="1702" spans="1:6" x14ac:dyDescent="0.25">
      <c r="A1702" s="1"/>
      <c r="B1702" s="2"/>
      <c r="C1702" s="8" t="s">
        <v>1614</v>
      </c>
      <c r="D1702" s="8" t="s">
        <v>27</v>
      </c>
      <c r="E1702" s="8">
        <v>88</v>
      </c>
      <c r="F1702" s="8">
        <v>1569.64</v>
      </c>
    </row>
    <row r="1703" spans="1:7" x14ac:dyDescent="0.25">
      <c r="A1703" s="7">
        <v>46272</v>
      </c>
      <c r="B1703" s="8" t="s">
        <v>1610</v>
      </c>
      <c r="C1703" s="8" t="s">
        <v>1615</v>
      </c>
      <c r="D1703" s="8" t="s">
        <v>27</v>
      </c>
      <c r="E1703" s="8">
        <v>11</v>
      </c>
      <c r="F1703" s="8">
        <v>216.45</v>
      </c>
      <c r="G1703" s="7">
        <v>46269</v>
      </c>
    </row>
    <row r="1705" spans="1:7" x14ac:dyDescent="0.25">
      <c r="A1705" s="7">
        <v>46269</v>
      </c>
      <c r="B1705" s="8" t="s">
        <v>90</v>
      </c>
      <c r="C1705" s="8" t="s">
        <v>1616</v>
      </c>
      <c r="D1705" s="8" t="s">
        <v>42</v>
      </c>
      <c r="E1705" s="8">
        <v>65</v>
      </c>
      <c r="F1705" s="8">
        <v>1238.14</v>
      </c>
      <c r="G1705" s="7">
        <v>46269</v>
      </c>
    </row>
    <row r="1706" spans="1:6" x14ac:dyDescent="0.25">
      <c r="A1706" s="1"/>
      <c r="B1706" s="2"/>
      <c r="C1706" s="8" t="s">
        <v>1617</v>
      </c>
      <c r="D1706" s="8" t="s">
        <v>42</v>
      </c>
      <c r="E1706" s="8">
        <v>10</v>
      </c>
      <c r="F1706" s="8">
        <v>185.08</v>
      </c>
    </row>
    <row r="1707" spans="1:6" x14ac:dyDescent="0.25">
      <c r="A1707" s="1"/>
      <c r="B1707" s="2"/>
      <c r="C1707" s="8" t="s">
        <v>1618</v>
      </c>
      <c r="D1707" s="8" t="s">
        <v>42</v>
      </c>
      <c r="E1707" s="8">
        <v>141</v>
      </c>
      <c r="F1707" s="8">
        <v>2744.14</v>
      </c>
    </row>
    <row r="1708" spans="1:6" x14ac:dyDescent="0.25">
      <c r="A1708" s="1"/>
      <c r="B1708" s="2"/>
      <c r="C1708" s="8" t="s">
        <v>1619</v>
      </c>
      <c r="D1708" s="8" t="s">
        <v>42</v>
      </c>
      <c r="E1708" s="8">
        <v>142</v>
      </c>
      <c r="F1708" s="8">
        <v>2750.91</v>
      </c>
    </row>
    <row r="1709" spans="1:6" x14ac:dyDescent="0.25">
      <c r="A1709" s="1"/>
      <c r="B1709" s="2"/>
      <c r="C1709" s="8" t="s">
        <v>1620</v>
      </c>
      <c r="D1709" s="8" t="s">
        <v>42</v>
      </c>
      <c r="E1709" s="8">
        <v>123</v>
      </c>
      <c r="F1709" s="8">
        <v>2694.91</v>
      </c>
    </row>
    <row r="1710" spans="1:6" x14ac:dyDescent="0.25">
      <c r="A1710" s="1"/>
      <c r="B1710" s="2"/>
      <c r="C1710" s="8" t="s">
        <v>1621</v>
      </c>
      <c r="D1710" s="8" t="s">
        <v>42</v>
      </c>
      <c r="E1710" s="8">
        <v>105</v>
      </c>
      <c r="F1710" s="8">
        <v>2040.65</v>
      </c>
    </row>
    <row r="1711" spans="1:6" x14ac:dyDescent="0.25">
      <c r="A1711" s="1"/>
      <c r="B1711" s="2"/>
      <c r="C1711" s="8" t="s">
        <v>1622</v>
      </c>
      <c r="D1711" s="8" t="s">
        <v>42</v>
      </c>
      <c r="E1711" s="8">
        <v>18</v>
      </c>
      <c r="F1711" s="8">
        <v>86.58</v>
      </c>
    </row>
    <row r="1712" spans="1:6" x14ac:dyDescent="0.25">
      <c r="A1712" s="1"/>
      <c r="B1712" s="2"/>
      <c r="C1712" s="8" t="s">
        <v>1623</v>
      </c>
      <c r="D1712" s="8" t="s">
        <v>42</v>
      </c>
      <c r="E1712" s="8">
        <v>61</v>
      </c>
      <c r="F1712" s="8">
        <v>1133.82</v>
      </c>
    </row>
    <row r="1713" spans="1:6" x14ac:dyDescent="0.25">
      <c r="A1713" s="1"/>
      <c r="B1713" s="2"/>
      <c r="C1713" s="8" t="s">
        <v>1624</v>
      </c>
      <c r="D1713" s="8" t="s">
        <v>42</v>
      </c>
      <c r="E1713" s="8">
        <v>60</v>
      </c>
      <c r="F1713" s="8">
        <v>300.48</v>
      </c>
    </row>
    <row r="1714" spans="1:6" x14ac:dyDescent="0.25">
      <c r="A1714" s="1"/>
      <c r="B1714" s="2"/>
      <c r="C1714" s="8" t="s">
        <v>1625</v>
      </c>
      <c r="D1714" s="8" t="s">
        <v>42</v>
      </c>
      <c r="E1714" s="8">
        <v>80</v>
      </c>
      <c r="F1714" s="8">
        <v>1577.92</v>
      </c>
    </row>
    <row r="1715" spans="1:6" x14ac:dyDescent="0.25">
      <c r="A1715" s="1"/>
      <c r="B1715" s="2"/>
      <c r="C1715" s="8" t="s">
        <v>1626</v>
      </c>
      <c r="D1715" s="8" t="s">
        <v>42</v>
      </c>
      <c r="E1715" s="8">
        <v>50</v>
      </c>
      <c r="F1715" s="8">
        <v>250.22</v>
      </c>
    </row>
    <row r="1716" spans="1:6" x14ac:dyDescent="0.25">
      <c r="A1716" s="1"/>
      <c r="B1716" s="2"/>
      <c r="C1716" s="8" t="s">
        <v>1627</v>
      </c>
      <c r="D1716" s="8" t="s">
        <v>42</v>
      </c>
      <c r="E1716" s="8">
        <v>15</v>
      </c>
      <c r="F1716" s="8">
        <v>274.16</v>
      </c>
    </row>
    <row r="1717" spans="1:6" x14ac:dyDescent="0.25">
      <c r="A1717" s="1"/>
      <c r="B1717" s="2"/>
      <c r="C1717" s="8" t="s">
        <v>1628</v>
      </c>
      <c r="D1717" s="8" t="s">
        <v>42</v>
      </c>
      <c r="E1717" s="8">
        <v>126</v>
      </c>
      <c r="F1717" s="8">
        <v>2586.34</v>
      </c>
    </row>
    <row r="1718" spans="1:6" x14ac:dyDescent="0.25">
      <c r="A1718" s="1"/>
      <c r="B1718" s="2"/>
      <c r="C1718" s="8" t="s">
        <v>1629</v>
      </c>
      <c r="D1718" s="8" t="s">
        <v>42</v>
      </c>
      <c r="E1718" s="8">
        <v>55</v>
      </c>
      <c r="F1718" s="8">
        <v>1074.49</v>
      </c>
    </row>
    <row r="1719" spans="1:6" x14ac:dyDescent="0.25">
      <c r="A1719" s="1"/>
      <c r="B1719" s="2"/>
      <c r="C1719" s="8" t="s">
        <v>1630</v>
      </c>
      <c r="D1719" s="8" t="s">
        <v>42</v>
      </c>
      <c r="E1719" s="8">
        <v>75</v>
      </c>
      <c r="F1719" s="8">
        <v>1670.2</v>
      </c>
    </row>
    <row r="1720" spans="1:6" x14ac:dyDescent="0.25">
      <c r="A1720" s="1"/>
      <c r="B1720" s="2"/>
      <c r="C1720" s="8" t="s">
        <v>1631</v>
      </c>
      <c r="D1720" s="8" t="s">
        <v>42</v>
      </c>
      <c r="E1720" s="8">
        <v>8</v>
      </c>
      <c r="F1720" s="8">
        <v>145.79</v>
      </c>
    </row>
    <row r="1721" spans="1:6" x14ac:dyDescent="0.25">
      <c r="A1721" s="1"/>
      <c r="B1721" s="2"/>
      <c r="C1721" s="8" t="s">
        <v>1632</v>
      </c>
      <c r="D1721" s="8" t="s">
        <v>42</v>
      </c>
      <c r="E1721" s="8">
        <v>78</v>
      </c>
      <c r="F1721" s="8">
        <v>1410.95</v>
      </c>
    </row>
    <row r="1722" spans="1:6" x14ac:dyDescent="0.25">
      <c r="A1722" s="1"/>
      <c r="B1722" s="2"/>
      <c r="C1722" s="8" t="s">
        <v>1633</v>
      </c>
      <c r="D1722" s="8" t="s">
        <v>42</v>
      </c>
      <c r="E1722" s="8">
        <v>46</v>
      </c>
      <c r="F1722" s="8">
        <v>935.69</v>
      </c>
    </row>
    <row r="1723" spans="1:6" x14ac:dyDescent="0.25">
      <c r="A1723" s="1"/>
      <c r="B1723" s="2"/>
      <c r="C1723" s="8" t="s">
        <v>1634</v>
      </c>
      <c r="D1723" s="8" t="s">
        <v>42</v>
      </c>
      <c r="E1723" s="8">
        <v>20</v>
      </c>
      <c r="F1723" s="8">
        <v>399.47</v>
      </c>
    </row>
    <row r="1724" spans="1:6" x14ac:dyDescent="0.25">
      <c r="A1724" s="1"/>
      <c r="B1724" s="2"/>
      <c r="C1724" s="8" t="s">
        <v>1635</v>
      </c>
      <c r="D1724" s="8" t="s">
        <v>42</v>
      </c>
      <c r="E1724" s="8">
        <v>65</v>
      </c>
      <c r="F1724" s="8">
        <v>1395.89</v>
      </c>
    </row>
    <row r="1725" spans="1:6" x14ac:dyDescent="0.25">
      <c r="A1725" s="1"/>
      <c r="B1725" s="2"/>
      <c r="C1725" s="8" t="s">
        <v>1636</v>
      </c>
      <c r="D1725" s="8" t="s">
        <v>42</v>
      </c>
      <c r="E1725" s="8">
        <v>14</v>
      </c>
      <c r="F1725" s="8">
        <v>287.36</v>
      </c>
    </row>
    <row r="1726" spans="1:6" x14ac:dyDescent="0.25">
      <c r="A1726" s="1"/>
      <c r="B1726" s="2"/>
      <c r="C1726" s="8" t="s">
        <v>1637</v>
      </c>
      <c r="D1726" s="8" t="s">
        <v>42</v>
      </c>
      <c r="E1726" s="8">
        <v>120</v>
      </c>
      <c r="F1726" s="8">
        <v>2294.24</v>
      </c>
    </row>
    <row r="1727" spans="1:6" x14ac:dyDescent="0.25">
      <c r="A1727" s="1"/>
      <c r="B1727" s="2"/>
      <c r="C1727" s="8" t="s">
        <v>1638</v>
      </c>
      <c r="D1727" s="8" t="s">
        <v>42</v>
      </c>
      <c r="E1727" s="8">
        <v>21</v>
      </c>
      <c r="F1727" s="8">
        <v>415.77</v>
      </c>
    </row>
    <row r="1729" spans="1:7" x14ac:dyDescent="0.25">
      <c r="A1729" s="7">
        <v>46270</v>
      </c>
      <c r="B1729" s="8" t="s">
        <v>387</v>
      </c>
      <c r="C1729" s="8" t="s">
        <v>1639</v>
      </c>
      <c r="D1729" s="8" t="s">
        <v>20</v>
      </c>
      <c r="E1729" s="8">
        <v>142</v>
      </c>
      <c r="F1729" s="8">
        <v>2763.5</v>
      </c>
      <c r="G1729" s="7">
        <v>46269</v>
      </c>
    </row>
    <row r="1730" spans="1:6" x14ac:dyDescent="0.25">
      <c r="A1730" s="1"/>
      <c r="B1730" s="2"/>
      <c r="C1730" s="8" t="s">
        <v>1640</v>
      </c>
      <c r="D1730" s="8" t="s">
        <v>20</v>
      </c>
      <c r="E1730" s="8">
        <v>97</v>
      </c>
      <c r="F1730" s="8">
        <v>1887.16</v>
      </c>
    </row>
    <row r="1731" spans="1:6" x14ac:dyDescent="0.25">
      <c r="A1731" s="1"/>
      <c r="B1731" s="2"/>
      <c r="C1731" s="8" t="s">
        <v>1641</v>
      </c>
      <c r="D1731" s="8" t="s">
        <v>20</v>
      </c>
      <c r="E1731" s="8">
        <v>244</v>
      </c>
      <c r="F1731" s="8">
        <v>4562.82</v>
      </c>
    </row>
    <row r="1732" spans="1:6" x14ac:dyDescent="0.25">
      <c r="A1732" s="1"/>
      <c r="B1732" s="2"/>
      <c r="C1732" s="8" t="s">
        <v>1642</v>
      </c>
      <c r="D1732" s="8" t="s">
        <v>20</v>
      </c>
      <c r="E1732" s="8">
        <v>142</v>
      </c>
      <c r="F1732" s="8">
        <v>2829.61</v>
      </c>
    </row>
    <row r="1733" spans="1:6" x14ac:dyDescent="0.25">
      <c r="A1733" s="1"/>
      <c r="B1733" s="2"/>
      <c r="C1733" s="8" t="s">
        <v>1643</v>
      </c>
      <c r="D1733" s="8" t="s">
        <v>20</v>
      </c>
      <c r="E1733" s="8">
        <v>142</v>
      </c>
      <c r="F1733" s="8">
        <v>2829.3</v>
      </c>
    </row>
    <row r="1734" spans="1:6" x14ac:dyDescent="0.25">
      <c r="A1734" s="1"/>
      <c r="B1734" s="2"/>
      <c r="C1734" s="8" t="s">
        <v>1644</v>
      </c>
      <c r="D1734" s="8" t="s">
        <v>20</v>
      </c>
      <c r="E1734" s="8">
        <v>142</v>
      </c>
      <c r="F1734" s="8">
        <v>2892.84</v>
      </c>
    </row>
    <row r="1735" spans="1:6" x14ac:dyDescent="0.25">
      <c r="A1735" s="1"/>
      <c r="B1735" s="2"/>
      <c r="C1735" s="8" t="s">
        <v>1645</v>
      </c>
      <c r="D1735" s="8" t="s">
        <v>20</v>
      </c>
      <c r="E1735" s="8">
        <v>142</v>
      </c>
      <c r="F1735" s="8">
        <v>2642.85</v>
      </c>
    </row>
    <row r="1736" spans="1:6" x14ac:dyDescent="0.25">
      <c r="A1736" s="1"/>
      <c r="B1736" s="2"/>
      <c r="C1736" s="8" t="s">
        <v>1646</v>
      </c>
      <c r="D1736" s="8" t="s">
        <v>20</v>
      </c>
      <c r="E1736" s="8">
        <v>102</v>
      </c>
      <c r="F1736" s="8">
        <v>2091.33</v>
      </c>
    </row>
    <row r="1737" spans="1:6" x14ac:dyDescent="0.25">
      <c r="A1737" s="1"/>
      <c r="B1737" s="2"/>
      <c r="C1737" s="8" t="s">
        <v>1647</v>
      </c>
      <c r="D1737" s="8" t="s">
        <v>20</v>
      </c>
      <c r="E1737" s="8">
        <v>96</v>
      </c>
      <c r="F1737" s="8">
        <v>1944.42</v>
      </c>
    </row>
    <row r="1738" spans="1:6" x14ac:dyDescent="0.25">
      <c r="A1738" s="1"/>
      <c r="B1738" s="2"/>
      <c r="C1738" s="8" t="s">
        <v>1648</v>
      </c>
      <c r="D1738" s="8" t="s">
        <v>20</v>
      </c>
      <c r="E1738" s="8">
        <v>79</v>
      </c>
      <c r="F1738" s="8">
        <v>1627.31</v>
      </c>
    </row>
    <row r="1739" spans="1:6" x14ac:dyDescent="0.25">
      <c r="A1739" s="1"/>
      <c r="B1739" s="2"/>
      <c r="C1739" s="8" t="s">
        <v>1649</v>
      </c>
      <c r="D1739" s="8" t="s">
        <v>20</v>
      </c>
      <c r="E1739" s="8">
        <v>102</v>
      </c>
      <c r="F1739" s="8">
        <v>1949.88</v>
      </c>
    </row>
    <row r="1741" spans="1:7" x14ac:dyDescent="0.25">
      <c r="A1741" s="7">
        <v>46269</v>
      </c>
      <c r="B1741" s="8" t="s">
        <v>10</v>
      </c>
      <c r="C1741" s="8" t="s">
        <v>1650</v>
      </c>
      <c r="D1741" s="8" t="s">
        <v>12</v>
      </c>
      <c r="E1741" s="8">
        <v>90</v>
      </c>
      <c r="F1741" s="8">
        <v>1900.11</v>
      </c>
      <c r="G1741" s="7">
        <v>46269</v>
      </c>
    </row>
    <row r="1742" spans="1:6" x14ac:dyDescent="0.25">
      <c r="A1742" s="1"/>
      <c r="B1742" s="2"/>
      <c r="C1742" s="8" t="s">
        <v>1651</v>
      </c>
      <c r="D1742" s="8" t="s">
        <v>12</v>
      </c>
      <c r="E1742" s="8">
        <v>91</v>
      </c>
      <c r="F1742" s="8">
        <v>1824.38</v>
      </c>
    </row>
    <row r="1744" spans="1:7" x14ac:dyDescent="0.25">
      <c r="A1744" s="7">
        <v>46269</v>
      </c>
      <c r="B1744" s="8" t="s">
        <v>14</v>
      </c>
      <c r="C1744" s="8" t="s">
        <v>1652</v>
      </c>
      <c r="D1744" s="8" t="s">
        <v>12</v>
      </c>
      <c r="E1744" s="8">
        <v>150</v>
      </c>
      <c r="F1744" s="8">
        <v>3106</v>
      </c>
      <c r="G1744" s="7">
        <v>46269</v>
      </c>
    </row>
    <row r="1745" spans="1:6" x14ac:dyDescent="0.25">
      <c r="A1745" s="1"/>
      <c r="B1745" s="2"/>
      <c r="C1745" s="8" t="s">
        <v>1653</v>
      </c>
      <c r="D1745" s="8" t="s">
        <v>12</v>
      </c>
      <c r="E1745" s="8">
        <v>150</v>
      </c>
      <c r="F1745" s="8">
        <v>2995.42</v>
      </c>
    </row>
    <row r="1746" spans="1:6" x14ac:dyDescent="0.25">
      <c r="A1746" s="1"/>
      <c r="B1746" s="2"/>
      <c r="C1746" s="8" t="s">
        <v>1654</v>
      </c>
      <c r="D1746" s="8" t="s">
        <v>12</v>
      </c>
      <c r="E1746" s="8">
        <v>73</v>
      </c>
      <c r="F1746" s="8">
        <v>1503.31</v>
      </c>
    </row>
    <row r="1748" spans="1:7" x14ac:dyDescent="0.25">
      <c r="A1748" s="7">
        <v>46269</v>
      </c>
      <c r="B1748" s="8" t="s">
        <v>18</v>
      </c>
      <c r="C1748" s="8" t="s">
        <v>1655</v>
      </c>
      <c r="D1748" s="8" t="s">
        <v>20</v>
      </c>
      <c r="E1748" s="8">
        <v>142</v>
      </c>
      <c r="F1748" s="8">
        <v>2811.53</v>
      </c>
      <c r="G1748" s="7">
        <v>46269</v>
      </c>
    </row>
    <row r="1749" spans="1:6" x14ac:dyDescent="0.25">
      <c r="A1749" s="1"/>
      <c r="B1749" s="2"/>
      <c r="C1749" s="8" t="s">
        <v>1656</v>
      </c>
      <c r="D1749" s="8" t="s">
        <v>20</v>
      </c>
      <c r="E1749" s="8">
        <v>142</v>
      </c>
      <c r="F1749" s="8">
        <v>2718.14</v>
      </c>
    </row>
    <row r="1750" spans="1:6" x14ac:dyDescent="0.25">
      <c r="A1750" s="1"/>
      <c r="B1750" s="2"/>
      <c r="C1750" s="8" t="s">
        <v>1657</v>
      </c>
      <c r="D1750" s="8" t="s">
        <v>20</v>
      </c>
      <c r="E1750" s="8">
        <v>142</v>
      </c>
      <c r="F1750" s="8">
        <v>2928.13</v>
      </c>
    </row>
    <row r="1751" spans="1:6" x14ac:dyDescent="0.25">
      <c r="A1751" s="1"/>
      <c r="B1751" s="2"/>
      <c r="C1751" s="8" t="s">
        <v>1658</v>
      </c>
      <c r="D1751" s="8" t="s">
        <v>20</v>
      </c>
      <c r="E1751" s="8">
        <v>100</v>
      </c>
      <c r="F1751" s="8">
        <v>1891.41</v>
      </c>
    </row>
    <row r="1752" spans="1:6" x14ac:dyDescent="0.25">
      <c r="A1752" s="1"/>
      <c r="B1752" s="2"/>
      <c r="C1752" s="8" t="s">
        <v>1659</v>
      </c>
      <c r="D1752" s="8" t="s">
        <v>20</v>
      </c>
      <c r="E1752" s="8">
        <v>102</v>
      </c>
      <c r="F1752" s="8">
        <v>2004.88</v>
      </c>
    </row>
    <row r="1754" spans="1:7" x14ac:dyDescent="0.25">
      <c r="A1754" s="7">
        <v>46269</v>
      </c>
      <c r="B1754" s="8" t="s">
        <v>1660</v>
      </c>
      <c r="C1754" s="8" t="s">
        <v>1661</v>
      </c>
      <c r="D1754" s="8" t="s">
        <v>204</v>
      </c>
      <c r="E1754" s="8">
        <v>80</v>
      </c>
      <c r="F1754" s="8">
        <v>1857.34</v>
      </c>
      <c r="G1754" s="7">
        <v>46269</v>
      </c>
    </row>
    <row r="1756" spans="1:7" x14ac:dyDescent="0.25">
      <c r="A1756" s="7">
        <v>46270</v>
      </c>
      <c r="B1756" s="8" t="s">
        <v>324</v>
      </c>
      <c r="C1756" s="8" t="s">
        <v>1662</v>
      </c>
      <c r="D1756" s="8" t="s">
        <v>27</v>
      </c>
      <c r="E1756" s="8"/>
      <c r="F1756" s="8">
        <v>1809.04</v>
      </c>
      <c r="G1756" s="7">
        <v>46269</v>
      </c>
    </row>
    <row r="1757" spans="1:6" x14ac:dyDescent="0.25">
      <c r="A1757" s="1"/>
      <c r="B1757" s="2"/>
      <c r="C1757" s="8" t="s">
        <v>1663</v>
      </c>
      <c r="D1757" s="8" t="s">
        <v>27</v>
      </c>
      <c r="E1757" s="8"/>
      <c r="F1757" s="8">
        <v>1692.88</v>
      </c>
    </row>
    <row r="1758" spans="1:6" x14ac:dyDescent="0.25">
      <c r="A1758" s="1"/>
      <c r="B1758" s="2"/>
      <c r="C1758" s="8" t="s">
        <v>1664</v>
      </c>
      <c r="D1758" s="8" t="s">
        <v>27</v>
      </c>
      <c r="E1758" s="8"/>
      <c r="F1758" s="8">
        <v>0</v>
      </c>
    </row>
    <row r="1759" spans="1:6" x14ac:dyDescent="0.25">
      <c r="A1759" s="1"/>
      <c r="B1759" s="2"/>
      <c r="C1759" s="8" t="s">
        <v>1665</v>
      </c>
      <c r="D1759" s="8" t="s">
        <v>27</v>
      </c>
      <c r="E1759" s="8"/>
      <c r="F1759" s="8">
        <v>0</v>
      </c>
    </row>
    <row r="1760" spans="1:6" x14ac:dyDescent="0.25">
      <c r="A1760" s="1"/>
      <c r="B1760" s="2"/>
      <c r="C1760" s="8" t="s">
        <v>1666</v>
      </c>
      <c r="D1760" s="8" t="s">
        <v>27</v>
      </c>
      <c r="E1760" s="8"/>
      <c r="F1760" s="8">
        <v>0</v>
      </c>
    </row>
    <row r="1761" spans="1:6" x14ac:dyDescent="0.25">
      <c r="A1761" s="1"/>
      <c r="B1761" s="2"/>
      <c r="C1761" s="8" t="s">
        <v>1667</v>
      </c>
      <c r="D1761" s="8" t="s">
        <v>27</v>
      </c>
      <c r="E1761" s="8"/>
      <c r="F1761" s="8">
        <v>0</v>
      </c>
    </row>
    <row r="1763" spans="1:7" x14ac:dyDescent="0.25">
      <c r="A1763" s="7">
        <v>46270</v>
      </c>
      <c r="B1763" s="8" t="s">
        <v>324</v>
      </c>
      <c r="C1763" s="8" t="s">
        <v>1663</v>
      </c>
      <c r="D1763" s="8" t="s">
        <v>27</v>
      </c>
      <c r="E1763" s="8">
        <v>105</v>
      </c>
      <c r="F1763" s="8">
        <v>1692.88</v>
      </c>
      <c r="G1763" s="7">
        <v>46269</v>
      </c>
    </row>
    <row r="1765" spans="1:7" x14ac:dyDescent="0.25">
      <c r="A1765" s="7">
        <v>46272</v>
      </c>
      <c r="B1765" s="8" t="s">
        <v>120</v>
      </c>
      <c r="C1765" s="8" t="s">
        <v>1668</v>
      </c>
      <c r="D1765" s="8" t="s">
        <v>122</v>
      </c>
      <c r="E1765" s="8">
        <v>120</v>
      </c>
      <c r="F1765" s="8">
        <v>1819.39</v>
      </c>
      <c r="G1765" s="7">
        <v>46268</v>
      </c>
    </row>
    <row r="1766" spans="1:6" x14ac:dyDescent="0.25">
      <c r="A1766" s="1"/>
      <c r="B1766" s="2"/>
      <c r="C1766" s="8" t="s">
        <v>1669</v>
      </c>
      <c r="D1766" s="8" t="s">
        <v>122</v>
      </c>
      <c r="E1766" s="8">
        <v>69</v>
      </c>
      <c r="F1766" s="8">
        <v>1369.2</v>
      </c>
    </row>
    <row r="1767" spans="1:6" x14ac:dyDescent="0.25">
      <c r="A1767" s="1"/>
      <c r="B1767" s="2"/>
      <c r="C1767" s="8" t="s">
        <v>1670</v>
      </c>
      <c r="D1767" s="8" t="s">
        <v>122</v>
      </c>
      <c r="E1767" s="8">
        <v>102</v>
      </c>
      <c r="F1767" s="8">
        <v>2149.78</v>
      </c>
    </row>
    <row r="1768" spans="1:6" x14ac:dyDescent="0.25">
      <c r="A1768" s="1"/>
      <c r="B1768" s="2"/>
      <c r="C1768" s="8" t="s">
        <v>1671</v>
      </c>
      <c r="D1768" s="8" t="s">
        <v>122</v>
      </c>
      <c r="E1768" s="8">
        <v>102</v>
      </c>
      <c r="F1768" s="8">
        <v>2107.61</v>
      </c>
    </row>
    <row r="1769" spans="1:6" x14ac:dyDescent="0.25">
      <c r="A1769" s="1"/>
      <c r="B1769" s="2"/>
      <c r="C1769" s="8" t="s">
        <v>1672</v>
      </c>
      <c r="D1769" s="8" t="s">
        <v>122</v>
      </c>
      <c r="E1769" s="8">
        <v>35</v>
      </c>
      <c r="F1769" s="8">
        <v>689.92</v>
      </c>
    </row>
    <row r="1770" spans="1:6" x14ac:dyDescent="0.25">
      <c r="A1770" s="1"/>
      <c r="B1770" s="2"/>
      <c r="C1770" s="8" t="s">
        <v>1673</v>
      </c>
      <c r="D1770" s="8" t="s">
        <v>122</v>
      </c>
      <c r="E1770" s="8">
        <v>40</v>
      </c>
      <c r="F1770" s="8">
        <v>808.75</v>
      </c>
    </row>
    <row r="1771" spans="1:6" x14ac:dyDescent="0.25">
      <c r="A1771" s="1"/>
      <c r="B1771" s="2"/>
      <c r="C1771" s="8" t="s">
        <v>1674</v>
      </c>
      <c r="D1771" s="8" t="s">
        <v>122</v>
      </c>
      <c r="E1771" s="8">
        <v>70</v>
      </c>
      <c r="F1771" s="8">
        <v>299.87</v>
      </c>
    </row>
    <row r="1772" spans="1:6" x14ac:dyDescent="0.25">
      <c r="A1772" s="1"/>
      <c r="B1772" s="2"/>
      <c r="C1772" s="8" t="s">
        <v>1675</v>
      </c>
      <c r="D1772" s="8" t="s">
        <v>122</v>
      </c>
      <c r="E1772" s="8">
        <v>40</v>
      </c>
      <c r="F1772" s="8">
        <v>165.85</v>
      </c>
    </row>
    <row r="1773" spans="1:6" x14ac:dyDescent="0.25">
      <c r="A1773" s="1"/>
      <c r="B1773" s="2"/>
      <c r="C1773" s="8" t="s">
        <v>1676</v>
      </c>
      <c r="D1773" s="8" t="s">
        <v>122</v>
      </c>
      <c r="E1773" s="8">
        <v>121</v>
      </c>
      <c r="F1773" s="8">
        <v>2522.88</v>
      </c>
    </row>
    <row r="1774" spans="1:6" x14ac:dyDescent="0.25">
      <c r="A1774" s="1"/>
      <c r="B1774" s="2"/>
      <c r="C1774" s="8" t="s">
        <v>1677</v>
      </c>
      <c r="D1774" s="8" t="s">
        <v>122</v>
      </c>
      <c r="E1774" s="8">
        <v>69</v>
      </c>
      <c r="F1774" s="8">
        <v>1378.81</v>
      </c>
    </row>
    <row r="1775" spans="1:6" x14ac:dyDescent="0.25">
      <c r="A1775" s="1"/>
      <c r="B1775" s="2"/>
      <c r="C1775" s="8" t="s">
        <v>1678</v>
      </c>
      <c r="D1775" s="8" t="s">
        <v>122</v>
      </c>
      <c r="E1775" s="8">
        <v>52</v>
      </c>
      <c r="F1775" s="8">
        <v>1080.78</v>
      </c>
    </row>
    <row r="1776" spans="1:6" x14ac:dyDescent="0.25">
      <c r="A1776" s="1"/>
      <c r="B1776" s="2"/>
      <c r="C1776" s="8" t="s">
        <v>1679</v>
      </c>
      <c r="D1776" s="8" t="s">
        <v>122</v>
      </c>
      <c r="E1776" s="8">
        <v>134</v>
      </c>
      <c r="F1776" s="8">
        <v>2710.13</v>
      </c>
    </row>
    <row r="1777" spans="1:6" x14ac:dyDescent="0.25">
      <c r="A1777" s="1"/>
      <c r="B1777" s="2"/>
      <c r="C1777" s="8" t="s">
        <v>1680</v>
      </c>
      <c r="D1777" s="8" t="s">
        <v>122</v>
      </c>
      <c r="E1777" s="8">
        <v>121</v>
      </c>
      <c r="F1777" s="8">
        <v>2400.61</v>
      </c>
    </row>
    <row r="1778" spans="1:6" x14ac:dyDescent="0.25">
      <c r="A1778" s="1"/>
      <c r="B1778" s="2"/>
      <c r="C1778" s="8" t="s">
        <v>1681</v>
      </c>
      <c r="D1778" s="8" t="s">
        <v>122</v>
      </c>
      <c r="E1778" s="8">
        <v>50</v>
      </c>
      <c r="F1778" s="8">
        <v>221.05</v>
      </c>
    </row>
    <row r="1779" spans="1:6" x14ac:dyDescent="0.25">
      <c r="A1779" s="1"/>
      <c r="B1779" s="2"/>
      <c r="C1779" s="8" t="s">
        <v>1682</v>
      </c>
      <c r="D1779" s="8" t="s">
        <v>122</v>
      </c>
      <c r="E1779" s="8">
        <v>132</v>
      </c>
      <c r="F1779" s="8">
        <v>2579.85</v>
      </c>
    </row>
    <row r="1780" spans="1:6" x14ac:dyDescent="0.25">
      <c r="A1780" s="1"/>
      <c r="B1780" s="2"/>
      <c r="C1780" s="8" t="s">
        <v>1682</v>
      </c>
      <c r="D1780" s="8" t="s">
        <v>122</v>
      </c>
      <c r="E1780" s="8">
        <v>9</v>
      </c>
      <c r="F1780" s="8">
        <v>181.05</v>
      </c>
    </row>
    <row r="1781" spans="1:6" x14ac:dyDescent="0.25">
      <c r="A1781" s="1"/>
      <c r="B1781" s="2"/>
      <c r="C1781" s="8" t="s">
        <v>1683</v>
      </c>
      <c r="D1781" s="8" t="s">
        <v>122</v>
      </c>
      <c r="E1781" s="8">
        <v>22</v>
      </c>
      <c r="F1781" s="8">
        <v>444.5</v>
      </c>
    </row>
    <row r="1782" spans="1:6" x14ac:dyDescent="0.25">
      <c r="A1782" s="1"/>
      <c r="B1782" s="2"/>
      <c r="C1782" s="8" t="s">
        <v>1684</v>
      </c>
      <c r="D1782" s="8" t="s">
        <v>122</v>
      </c>
      <c r="E1782" s="8">
        <v>9</v>
      </c>
      <c r="F1782" s="8">
        <v>174.35</v>
      </c>
    </row>
    <row r="1783" spans="1:6" x14ac:dyDescent="0.25">
      <c r="A1783" s="1"/>
      <c r="B1783" s="2"/>
      <c r="C1783" s="8" t="s">
        <v>1685</v>
      </c>
      <c r="D1783" s="8" t="s">
        <v>122</v>
      </c>
      <c r="E1783" s="8">
        <v>7</v>
      </c>
      <c r="F1783" s="8">
        <v>140.5</v>
      </c>
    </row>
    <row r="1784" spans="1:6" x14ac:dyDescent="0.25">
      <c r="A1784" s="1"/>
      <c r="B1784" s="2"/>
      <c r="C1784" s="8" t="s">
        <v>1686</v>
      </c>
      <c r="D1784" s="8" t="s">
        <v>122</v>
      </c>
      <c r="E1784" s="8">
        <v>3</v>
      </c>
      <c r="F1784" s="8">
        <v>46.8</v>
      </c>
    </row>
    <row r="1785" spans="1:6" x14ac:dyDescent="0.25">
      <c r="A1785" s="1"/>
      <c r="B1785" s="2"/>
      <c r="C1785" s="8" t="s">
        <v>1687</v>
      </c>
      <c r="D1785" s="8" t="s">
        <v>122</v>
      </c>
      <c r="E1785" s="8">
        <v>4</v>
      </c>
      <c r="F1785" s="8">
        <v>48.1</v>
      </c>
    </row>
    <row r="1786" spans="1:6" x14ac:dyDescent="0.25">
      <c r="A1786" s="1"/>
      <c r="B1786" s="2"/>
      <c r="C1786" s="8" t="s">
        <v>1688</v>
      </c>
      <c r="D1786" s="8" t="s">
        <v>122</v>
      </c>
      <c r="E1786" s="8">
        <v>3</v>
      </c>
      <c r="F1786" s="8">
        <v>52.35</v>
      </c>
    </row>
    <row r="1787" spans="1:6" x14ac:dyDescent="0.25">
      <c r="A1787" s="1"/>
      <c r="B1787" s="2"/>
      <c r="C1787" s="8" t="s">
        <v>1688</v>
      </c>
      <c r="D1787" s="8" t="s">
        <v>122</v>
      </c>
      <c r="E1787" s="8">
        <v>5</v>
      </c>
      <c r="F1787" s="8">
        <v>96.38</v>
      </c>
    </row>
    <row r="1788" spans="1:6" x14ac:dyDescent="0.25">
      <c r="A1788" s="1"/>
      <c r="B1788" s="2"/>
      <c r="C1788" s="8" t="s">
        <v>1689</v>
      </c>
      <c r="D1788" s="8" t="s">
        <v>122</v>
      </c>
      <c r="E1788" s="8">
        <v>4</v>
      </c>
      <c r="F1788" s="8">
        <v>72.94</v>
      </c>
    </row>
    <row r="1789" spans="1:6" x14ac:dyDescent="0.25">
      <c r="A1789" s="1"/>
      <c r="B1789" s="2"/>
      <c r="C1789" s="8" t="s">
        <v>1690</v>
      </c>
      <c r="D1789" s="8" t="s">
        <v>122</v>
      </c>
      <c r="E1789" s="8">
        <v>86</v>
      </c>
      <c r="F1789" s="8">
        <v>1681.44</v>
      </c>
    </row>
    <row r="1790" spans="1:6" x14ac:dyDescent="0.25">
      <c r="A1790" s="1"/>
      <c r="B1790" s="2"/>
      <c r="C1790" s="8" t="s">
        <v>1691</v>
      </c>
      <c r="D1790" s="8" t="s">
        <v>122</v>
      </c>
      <c r="E1790" s="8">
        <v>71</v>
      </c>
      <c r="F1790" s="8">
        <v>1483.91</v>
      </c>
    </row>
    <row r="1791" spans="1:6" x14ac:dyDescent="0.25">
      <c r="A1791" s="1"/>
      <c r="B1791" s="2"/>
      <c r="C1791" s="8" t="s">
        <v>1692</v>
      </c>
      <c r="D1791" s="8" t="s">
        <v>122</v>
      </c>
      <c r="E1791" s="8">
        <v>50</v>
      </c>
      <c r="F1791" s="8">
        <v>1012.83</v>
      </c>
    </row>
    <row r="1792" spans="1:6" x14ac:dyDescent="0.25">
      <c r="A1792" s="1"/>
      <c r="B1792" s="2"/>
      <c r="C1792" s="8" t="s">
        <v>1693</v>
      </c>
      <c r="D1792" s="8" t="s">
        <v>122</v>
      </c>
      <c r="E1792" s="8">
        <v>107</v>
      </c>
      <c r="F1792" s="8">
        <v>2232.81</v>
      </c>
    </row>
    <row r="1793" spans="1:6" x14ac:dyDescent="0.25">
      <c r="A1793" s="1"/>
      <c r="B1793" s="2"/>
      <c r="C1793" s="8" t="s">
        <v>1694</v>
      </c>
      <c r="D1793" s="8" t="s">
        <v>122</v>
      </c>
      <c r="E1793" s="8">
        <v>34</v>
      </c>
      <c r="F1793" s="8">
        <v>705.62</v>
      </c>
    </row>
    <row r="1794" spans="1:6" x14ac:dyDescent="0.25">
      <c r="A1794" s="1"/>
      <c r="B1794" s="2"/>
      <c r="C1794" s="8" t="s">
        <v>1695</v>
      </c>
      <c r="D1794" s="8" t="s">
        <v>122</v>
      </c>
      <c r="E1794" s="8">
        <v>141</v>
      </c>
      <c r="F1794" s="8">
        <v>2727.3</v>
      </c>
    </row>
    <row r="1795" spans="1:6" x14ac:dyDescent="0.25">
      <c r="A1795" s="1"/>
      <c r="B1795" s="2"/>
      <c r="C1795" s="8" t="s">
        <v>1696</v>
      </c>
      <c r="D1795" s="8" t="s">
        <v>122</v>
      </c>
      <c r="E1795" s="8">
        <v>142</v>
      </c>
      <c r="F1795" s="8">
        <v>2751.71</v>
      </c>
    </row>
    <row r="1796" spans="1:6" x14ac:dyDescent="0.25">
      <c r="A1796" s="1"/>
      <c r="B1796" s="2"/>
      <c r="C1796" s="8" t="s">
        <v>1697</v>
      </c>
      <c r="D1796" s="8" t="s">
        <v>122</v>
      </c>
      <c r="E1796" s="8">
        <v>57</v>
      </c>
      <c r="F1796" s="8">
        <v>1118.76</v>
      </c>
    </row>
    <row r="1797" spans="1:6" x14ac:dyDescent="0.25">
      <c r="A1797" s="1"/>
      <c r="B1797" s="2"/>
      <c r="C1797" s="8" t="s">
        <v>1698</v>
      </c>
      <c r="D1797" s="8" t="s">
        <v>122</v>
      </c>
      <c r="E1797" s="8">
        <v>44</v>
      </c>
      <c r="F1797" s="8">
        <v>859.4</v>
      </c>
    </row>
    <row r="1798" spans="1:6" x14ac:dyDescent="0.25">
      <c r="A1798" s="1"/>
      <c r="B1798" s="2"/>
      <c r="C1798" s="8" t="s">
        <v>1699</v>
      </c>
      <c r="D1798" s="8" t="s">
        <v>122</v>
      </c>
      <c r="E1798" s="8">
        <v>40</v>
      </c>
      <c r="F1798" s="8">
        <v>792.41</v>
      </c>
    </row>
    <row r="1799" spans="1:7" x14ac:dyDescent="0.25">
      <c r="A1799" s="7">
        <v>46272</v>
      </c>
      <c r="B1799" s="8" t="s">
        <v>120</v>
      </c>
      <c r="C1799" s="8" t="s">
        <v>1700</v>
      </c>
      <c r="D1799" s="8" t="s">
        <v>122</v>
      </c>
      <c r="E1799" s="8">
        <v>25</v>
      </c>
      <c r="F1799" s="8">
        <v>665.93</v>
      </c>
      <c r="G1799" s="7">
        <v>46268</v>
      </c>
    </row>
    <row r="1800" spans="1:6" x14ac:dyDescent="0.25">
      <c r="A1800" s="1"/>
      <c r="B1800" s="2"/>
      <c r="C1800" s="8" t="s">
        <v>1701</v>
      </c>
      <c r="D1800" s="8" t="s">
        <v>122</v>
      </c>
      <c r="E1800" s="8">
        <v>78</v>
      </c>
      <c r="F1800" s="8">
        <v>1520.8</v>
      </c>
    </row>
    <row r="1801" spans="1:6" x14ac:dyDescent="0.25">
      <c r="A1801" s="1"/>
      <c r="B1801" s="2"/>
      <c r="C1801" s="8" t="s">
        <v>1702</v>
      </c>
      <c r="D1801" s="8" t="s">
        <v>122</v>
      </c>
      <c r="E1801" s="8">
        <v>17</v>
      </c>
      <c r="F1801" s="8">
        <v>334.37</v>
      </c>
    </row>
    <row r="1802" spans="1:6" x14ac:dyDescent="0.25">
      <c r="A1802" s="1"/>
      <c r="B1802" s="2"/>
      <c r="C1802" s="8" t="s">
        <v>1703</v>
      </c>
      <c r="D1802" s="8" t="s">
        <v>122</v>
      </c>
      <c r="E1802" s="8">
        <v>46</v>
      </c>
      <c r="F1802" s="8">
        <v>879.43</v>
      </c>
    </row>
    <row r="1803" spans="1:6" x14ac:dyDescent="0.25">
      <c r="A1803" s="1"/>
      <c r="B1803" s="2"/>
      <c r="C1803" s="8" t="s">
        <v>1704</v>
      </c>
      <c r="D1803" s="8" t="s">
        <v>122</v>
      </c>
      <c r="E1803" s="8">
        <v>54</v>
      </c>
      <c r="F1803" s="8">
        <v>1048.09</v>
      </c>
    </row>
    <row r="1804" spans="1:6" x14ac:dyDescent="0.25">
      <c r="A1804" s="1"/>
      <c r="B1804" s="2"/>
      <c r="C1804" s="8" t="s">
        <v>1705</v>
      </c>
      <c r="D1804" s="8" t="s">
        <v>122</v>
      </c>
      <c r="E1804" s="8">
        <v>60</v>
      </c>
      <c r="F1804" s="8">
        <v>1149.13</v>
      </c>
    </row>
    <row r="1805" spans="1:6" x14ac:dyDescent="0.25">
      <c r="A1805" s="1"/>
      <c r="B1805" s="2"/>
      <c r="C1805" s="8" t="s">
        <v>1706</v>
      </c>
      <c r="D1805" s="8" t="s">
        <v>122</v>
      </c>
      <c r="E1805" s="8">
        <v>27</v>
      </c>
      <c r="F1805" s="8">
        <v>547.02</v>
      </c>
    </row>
    <row r="1806" spans="1:6" x14ac:dyDescent="0.25">
      <c r="A1806" s="1"/>
      <c r="B1806" s="2"/>
      <c r="C1806" s="8" t="s">
        <v>1707</v>
      </c>
      <c r="D1806" s="8" t="s">
        <v>122</v>
      </c>
      <c r="E1806" s="8">
        <v>82</v>
      </c>
      <c r="F1806" s="8">
        <v>1728.68</v>
      </c>
    </row>
    <row r="1807" spans="1:6" x14ac:dyDescent="0.25">
      <c r="A1807" s="1"/>
      <c r="B1807" s="2"/>
      <c r="C1807" s="8" t="s">
        <v>1708</v>
      </c>
      <c r="D1807" s="8" t="s">
        <v>122</v>
      </c>
      <c r="E1807" s="8">
        <v>59</v>
      </c>
      <c r="F1807" s="8">
        <v>1180.75</v>
      </c>
    </row>
    <row r="1808" spans="1:6" x14ac:dyDescent="0.25">
      <c r="A1808" s="1"/>
      <c r="B1808" s="2"/>
      <c r="C1808" s="8" t="s">
        <v>1709</v>
      </c>
      <c r="D1808" s="8" t="s">
        <v>122</v>
      </c>
      <c r="E1808" s="8">
        <v>34</v>
      </c>
      <c r="F1808" s="8">
        <v>674.58</v>
      </c>
    </row>
    <row r="1809" spans="1:6" x14ac:dyDescent="0.25">
      <c r="A1809" s="1"/>
      <c r="B1809" s="2"/>
      <c r="C1809" s="8" t="s">
        <v>1710</v>
      </c>
      <c r="D1809" s="8" t="s">
        <v>122</v>
      </c>
      <c r="E1809" s="8">
        <v>41</v>
      </c>
      <c r="F1809" s="8">
        <v>877.28</v>
      </c>
    </row>
    <row r="1810" spans="1:6" x14ac:dyDescent="0.25">
      <c r="A1810" s="1"/>
      <c r="B1810" s="2"/>
      <c r="C1810" s="8" t="s">
        <v>1711</v>
      </c>
      <c r="D1810" s="8" t="s">
        <v>122</v>
      </c>
      <c r="E1810" s="8">
        <v>14</v>
      </c>
      <c r="F1810" s="8">
        <v>266.34</v>
      </c>
    </row>
    <row r="1811" spans="1:6" x14ac:dyDescent="0.25">
      <c r="A1811" s="1"/>
      <c r="B1811" s="2"/>
      <c r="C1811" s="8" t="s">
        <v>1712</v>
      </c>
      <c r="D1811" s="8" t="s">
        <v>122</v>
      </c>
      <c r="E1811" s="8">
        <v>36</v>
      </c>
      <c r="F1811" s="8">
        <v>476.7</v>
      </c>
    </row>
    <row r="1812" spans="1:6" x14ac:dyDescent="0.25">
      <c r="A1812" s="1"/>
      <c r="B1812" s="2"/>
      <c r="C1812" s="8" t="s">
        <v>1713</v>
      </c>
      <c r="D1812" s="8" t="s">
        <v>122</v>
      </c>
      <c r="E1812" s="8">
        <v>14</v>
      </c>
      <c r="F1812" s="8">
        <v>300.45</v>
      </c>
    </row>
    <row r="1813" spans="1:6" x14ac:dyDescent="0.25">
      <c r="A1813" s="1"/>
      <c r="B1813" s="2"/>
      <c r="C1813" s="8" t="s">
        <v>1714</v>
      </c>
      <c r="D1813" s="8" t="s">
        <v>122</v>
      </c>
      <c r="E1813" s="8">
        <v>21</v>
      </c>
      <c r="F1813" s="8">
        <v>412.8</v>
      </c>
    </row>
    <row r="1814" spans="1:6" x14ac:dyDescent="0.25">
      <c r="A1814" s="1"/>
      <c r="B1814" s="2"/>
      <c r="C1814" s="8" t="s">
        <v>1715</v>
      </c>
      <c r="D1814" s="8" t="s">
        <v>122</v>
      </c>
      <c r="E1814" s="8">
        <v>22</v>
      </c>
      <c r="F1814" s="8">
        <v>452.34</v>
      </c>
    </row>
    <row r="1815" spans="1:6" x14ac:dyDescent="0.25">
      <c r="A1815" s="1"/>
      <c r="B1815" s="2"/>
      <c r="C1815" s="8" t="s">
        <v>1716</v>
      </c>
      <c r="D1815" s="8" t="s">
        <v>122</v>
      </c>
      <c r="E1815" s="8">
        <v>26</v>
      </c>
      <c r="F1815" s="8">
        <v>530.51</v>
      </c>
    </row>
    <row r="1816" spans="1:6" x14ac:dyDescent="0.25">
      <c r="A1816" s="1"/>
      <c r="B1816" s="2"/>
      <c r="C1816" s="8" t="s">
        <v>1717</v>
      </c>
      <c r="D1816" s="8" t="s">
        <v>122</v>
      </c>
      <c r="E1816" s="8">
        <v>17</v>
      </c>
      <c r="F1816" s="8">
        <v>348.25</v>
      </c>
    </row>
    <row r="1817" spans="1:6" x14ac:dyDescent="0.25">
      <c r="A1817" s="1"/>
      <c r="B1817" s="2"/>
      <c r="C1817" s="8" t="s">
        <v>1718</v>
      </c>
      <c r="D1817" s="8" t="s">
        <v>122</v>
      </c>
      <c r="E1817" s="8">
        <v>41</v>
      </c>
      <c r="F1817" s="8">
        <v>815.35</v>
      </c>
    </row>
    <row r="1818" spans="1:6" x14ac:dyDescent="0.25">
      <c r="A1818" s="1"/>
      <c r="B1818" s="2"/>
      <c r="C1818" s="8" t="s">
        <v>1719</v>
      </c>
      <c r="D1818" s="8" t="s">
        <v>122</v>
      </c>
      <c r="E1818" s="8">
        <v>73</v>
      </c>
      <c r="F1818" s="8">
        <v>1525.1</v>
      </c>
    </row>
    <row r="1819" spans="1:6" x14ac:dyDescent="0.25">
      <c r="A1819" s="1"/>
      <c r="B1819" s="2"/>
      <c r="C1819" s="8" t="s">
        <v>1720</v>
      </c>
      <c r="D1819" s="8" t="s">
        <v>122</v>
      </c>
      <c r="E1819" s="8">
        <v>13</v>
      </c>
      <c r="F1819" s="8">
        <v>252.39</v>
      </c>
    </row>
    <row r="1820" spans="1:6" x14ac:dyDescent="0.25">
      <c r="A1820" s="1"/>
      <c r="B1820" s="2"/>
      <c r="C1820" s="8" t="s">
        <v>1721</v>
      </c>
      <c r="D1820" s="8" t="s">
        <v>122</v>
      </c>
      <c r="E1820" s="8">
        <v>15</v>
      </c>
      <c r="F1820" s="8">
        <v>293.42</v>
      </c>
    </row>
    <row r="1821" spans="1:6" x14ac:dyDescent="0.25">
      <c r="A1821" s="1"/>
      <c r="B1821" s="2"/>
      <c r="C1821" s="8" t="s">
        <v>1722</v>
      </c>
      <c r="D1821" s="8" t="s">
        <v>122</v>
      </c>
      <c r="E1821" s="8">
        <v>15</v>
      </c>
      <c r="F1821" s="8">
        <v>290.65</v>
      </c>
    </row>
    <row r="1822" spans="1:6" x14ac:dyDescent="0.25">
      <c r="A1822" s="1"/>
      <c r="B1822" s="2"/>
      <c r="C1822" s="8" t="s">
        <v>1723</v>
      </c>
      <c r="D1822" s="8" t="s">
        <v>122</v>
      </c>
      <c r="E1822" s="8">
        <v>25</v>
      </c>
      <c r="F1822" s="8">
        <v>503.45</v>
      </c>
    </row>
    <row r="1824" spans="1:7" x14ac:dyDescent="0.25">
      <c r="A1824" s="7">
        <v>46269</v>
      </c>
      <c r="B1824" s="8" t="s">
        <v>18</v>
      </c>
      <c r="C1824" s="8" t="s">
        <v>1655</v>
      </c>
      <c r="D1824" s="8" t="s">
        <v>20</v>
      </c>
      <c r="E1824" s="8">
        <v>142</v>
      </c>
      <c r="F1824" s="8">
        <v>2811.53</v>
      </c>
      <c r="G1824" s="7">
        <v>46268</v>
      </c>
    </row>
    <row r="1825" spans="1:6" x14ac:dyDescent="0.25">
      <c r="A1825" s="1"/>
      <c r="B1825" s="2"/>
      <c r="C1825" s="8" t="s">
        <v>1656</v>
      </c>
      <c r="D1825" s="8" t="s">
        <v>20</v>
      </c>
      <c r="E1825" s="8">
        <v>142</v>
      </c>
      <c r="F1825" s="8">
        <v>2718.14</v>
      </c>
    </row>
    <row r="1826" spans="1:6" x14ac:dyDescent="0.25">
      <c r="A1826" s="1"/>
      <c r="B1826" s="2"/>
      <c r="C1826" s="8" t="s">
        <v>1657</v>
      </c>
      <c r="D1826" s="8" t="s">
        <v>20</v>
      </c>
      <c r="E1826" s="8">
        <v>142</v>
      </c>
      <c r="F1826" s="8">
        <v>2928.13</v>
      </c>
    </row>
    <row r="1827" spans="1:6" x14ac:dyDescent="0.25">
      <c r="A1827" s="1"/>
      <c r="B1827" s="2"/>
      <c r="C1827" s="8" t="s">
        <v>1658</v>
      </c>
      <c r="D1827" s="8" t="s">
        <v>20</v>
      </c>
      <c r="E1827" s="8">
        <v>100</v>
      </c>
      <c r="F1827" s="8">
        <v>1891.41</v>
      </c>
    </row>
    <row r="1828" spans="1:6" x14ac:dyDescent="0.25">
      <c r="A1828" s="1"/>
      <c r="B1828" s="2"/>
      <c r="C1828" s="8" t="s">
        <v>1659</v>
      </c>
      <c r="D1828" s="8" t="s">
        <v>20</v>
      </c>
      <c r="E1828" s="8">
        <v>102</v>
      </c>
      <c r="F1828" s="8">
        <v>2004.88</v>
      </c>
    </row>
    <row r="1830" spans="1:7" x14ac:dyDescent="0.25">
      <c r="A1830" s="7">
        <v>46269</v>
      </c>
      <c r="B1830" s="8" t="s">
        <v>32</v>
      </c>
      <c r="C1830" s="8" t="s">
        <v>1724</v>
      </c>
      <c r="D1830" s="8" t="s">
        <v>20</v>
      </c>
      <c r="E1830" s="8">
        <v>252</v>
      </c>
      <c r="F1830" s="8">
        <v>5047.47</v>
      </c>
      <c r="G1830" s="7">
        <v>46268</v>
      </c>
    </row>
    <row r="1831" spans="1:6" x14ac:dyDescent="0.25">
      <c r="A1831" s="1"/>
      <c r="B1831" s="2"/>
      <c r="C1831" s="8" t="s">
        <v>1725</v>
      </c>
      <c r="D1831" s="8" t="s">
        <v>20</v>
      </c>
      <c r="E1831" s="8">
        <v>84</v>
      </c>
      <c r="F1831" s="8">
        <v>1627.5</v>
      </c>
    </row>
    <row r="1832" spans="1:6" x14ac:dyDescent="0.25">
      <c r="A1832" s="1"/>
      <c r="B1832" s="2"/>
      <c r="C1832" s="8" t="s">
        <v>1726</v>
      </c>
      <c r="D1832" s="8" t="s">
        <v>20</v>
      </c>
      <c r="E1832" s="8">
        <v>261</v>
      </c>
      <c r="F1832" s="8">
        <v>5216.1</v>
      </c>
    </row>
    <row r="1833" spans="1:6" x14ac:dyDescent="0.25">
      <c r="A1833" s="1"/>
      <c r="B1833" s="2"/>
      <c r="C1833" s="8" t="s">
        <v>1727</v>
      </c>
      <c r="D1833" s="8" t="s">
        <v>20</v>
      </c>
      <c r="E1833" s="8">
        <v>310</v>
      </c>
      <c r="F1833" s="8">
        <v>5813.11</v>
      </c>
    </row>
    <row r="1834" spans="1:6" x14ac:dyDescent="0.25">
      <c r="A1834" s="1"/>
      <c r="B1834" s="2"/>
      <c r="C1834" s="8" t="s">
        <v>1728</v>
      </c>
      <c r="D1834" s="8" t="s">
        <v>20</v>
      </c>
      <c r="E1834" s="8">
        <v>242</v>
      </c>
      <c r="F1834" s="8">
        <v>4955.58</v>
      </c>
    </row>
    <row r="1835" spans="1:6" x14ac:dyDescent="0.25">
      <c r="A1835" s="1"/>
      <c r="B1835" s="2"/>
      <c r="C1835" s="8" t="s">
        <v>1729</v>
      </c>
      <c r="D1835" s="8" t="s">
        <v>20</v>
      </c>
      <c r="E1835" s="8">
        <v>105</v>
      </c>
      <c r="F1835" s="8">
        <v>2027.24</v>
      </c>
    </row>
    <row r="1836" spans="1:6" x14ac:dyDescent="0.25">
      <c r="A1836" s="1"/>
      <c r="B1836" s="2"/>
      <c r="C1836" s="8" t="s">
        <v>1730</v>
      </c>
      <c r="D1836" s="8" t="s">
        <v>20</v>
      </c>
      <c r="E1836" s="8">
        <v>220</v>
      </c>
      <c r="F1836" s="8">
        <v>4432.85</v>
      </c>
    </row>
    <row r="1838" spans="1:7" x14ac:dyDescent="0.25">
      <c r="A1838" s="7">
        <v>46269</v>
      </c>
      <c r="B1838" s="8" t="s">
        <v>40</v>
      </c>
      <c r="C1838" s="8" t="s">
        <v>1731</v>
      </c>
      <c r="D1838" s="8" t="s">
        <v>42</v>
      </c>
      <c r="E1838" s="8">
        <v>22</v>
      </c>
      <c r="F1838" s="8">
        <v>427.17</v>
      </c>
      <c r="G1838" s="7">
        <v>46268</v>
      </c>
    </row>
    <row r="1839" spans="1:6" x14ac:dyDescent="0.25">
      <c r="A1839" s="1"/>
      <c r="B1839" s="2"/>
      <c r="C1839" s="8" t="s">
        <v>1732</v>
      </c>
      <c r="D1839" s="8" t="s">
        <v>42</v>
      </c>
      <c r="E1839" s="8">
        <v>35</v>
      </c>
      <c r="F1839" s="8">
        <v>690.55</v>
      </c>
    </row>
    <row r="1840" spans="1:6" x14ac:dyDescent="0.25">
      <c r="A1840" s="1"/>
      <c r="B1840" s="2"/>
      <c r="C1840" s="8" t="s">
        <v>1733</v>
      </c>
      <c r="D1840" s="8" t="s">
        <v>42</v>
      </c>
      <c r="E1840" s="8">
        <v>41</v>
      </c>
      <c r="F1840" s="8">
        <v>770.69</v>
      </c>
    </row>
    <row r="1841" spans="1:6" x14ac:dyDescent="0.25">
      <c r="A1841" s="1"/>
      <c r="B1841" s="2"/>
      <c r="C1841" s="8" t="s">
        <v>1734</v>
      </c>
      <c r="D1841" s="8" t="s">
        <v>42</v>
      </c>
      <c r="E1841" s="8">
        <v>43</v>
      </c>
      <c r="F1841" s="8">
        <v>994.71</v>
      </c>
    </row>
    <row r="1842" spans="1:6" x14ac:dyDescent="0.25">
      <c r="A1842" s="1"/>
      <c r="B1842" s="2"/>
      <c r="C1842" s="8" t="s">
        <v>1735</v>
      </c>
      <c r="D1842" s="8" t="s">
        <v>42</v>
      </c>
      <c r="E1842" s="8">
        <v>18</v>
      </c>
      <c r="F1842" s="8">
        <v>349.49</v>
      </c>
    </row>
    <row r="1843" spans="1:6" x14ac:dyDescent="0.25">
      <c r="A1843" s="1"/>
      <c r="B1843" s="2"/>
      <c r="C1843" s="8" t="s">
        <v>1736</v>
      </c>
      <c r="D1843" s="8" t="s">
        <v>42</v>
      </c>
      <c r="E1843" s="8">
        <v>21</v>
      </c>
      <c r="F1843" s="8">
        <v>402.34</v>
      </c>
    </row>
    <row r="1844" spans="1:6" x14ac:dyDescent="0.25">
      <c r="A1844" s="1"/>
      <c r="B1844" s="2"/>
      <c r="C1844" s="8" t="s">
        <v>1737</v>
      </c>
      <c r="D1844" s="8" t="s">
        <v>42</v>
      </c>
      <c r="E1844" s="8">
        <v>60</v>
      </c>
      <c r="F1844" s="8">
        <v>1118.37</v>
      </c>
    </row>
    <row r="1845" spans="1:6" x14ac:dyDescent="0.25">
      <c r="A1845" s="1"/>
      <c r="B1845" s="2"/>
      <c r="C1845" s="8" t="s">
        <v>1738</v>
      </c>
      <c r="D1845" s="8" t="s">
        <v>42</v>
      </c>
      <c r="E1845" s="8">
        <v>42</v>
      </c>
      <c r="F1845" s="8">
        <v>743.5</v>
      </c>
    </row>
    <row r="1846" spans="1:6" x14ac:dyDescent="0.25">
      <c r="A1846" s="1"/>
      <c r="B1846" s="2"/>
      <c r="C1846" s="8" t="s">
        <v>1739</v>
      </c>
      <c r="D1846" s="8" t="s">
        <v>42</v>
      </c>
      <c r="E1846" s="8">
        <v>29</v>
      </c>
      <c r="F1846" s="8">
        <v>548.4</v>
      </c>
    </row>
    <row r="1847" spans="1:6" x14ac:dyDescent="0.25">
      <c r="A1847" s="1"/>
      <c r="B1847" s="2"/>
      <c r="C1847" s="8" t="s">
        <v>1740</v>
      </c>
      <c r="D1847" s="8" t="s">
        <v>42</v>
      </c>
      <c r="E1847" s="8">
        <v>33</v>
      </c>
      <c r="F1847" s="8">
        <v>605.71</v>
      </c>
    </row>
    <row r="1848" spans="1:6" x14ac:dyDescent="0.25">
      <c r="A1848" s="1"/>
      <c r="B1848" s="2"/>
      <c r="C1848" s="8" t="s">
        <v>1741</v>
      </c>
      <c r="D1848" s="8" t="s">
        <v>42</v>
      </c>
      <c r="E1848" s="8">
        <v>32</v>
      </c>
      <c r="F1848" s="8">
        <v>632.41</v>
      </c>
    </row>
    <row r="1849" spans="1:6" x14ac:dyDescent="0.25">
      <c r="A1849" s="1"/>
      <c r="B1849" s="2"/>
      <c r="C1849" s="8" t="s">
        <v>1742</v>
      </c>
      <c r="D1849" s="8" t="s">
        <v>42</v>
      </c>
      <c r="E1849" s="8">
        <v>66</v>
      </c>
      <c r="F1849" s="8">
        <v>1383.02</v>
      </c>
    </row>
    <row r="1850" spans="1:6" x14ac:dyDescent="0.25">
      <c r="A1850" s="1"/>
      <c r="B1850" s="2"/>
      <c r="C1850" s="8" t="s">
        <v>1743</v>
      </c>
      <c r="D1850" s="8" t="s">
        <v>42</v>
      </c>
      <c r="E1850" s="8">
        <v>75</v>
      </c>
      <c r="F1850" s="8">
        <v>1432.44</v>
      </c>
    </row>
    <row r="1851" spans="1:6" x14ac:dyDescent="0.25">
      <c r="A1851" s="1"/>
      <c r="B1851" s="2"/>
      <c r="C1851" s="8" t="s">
        <v>1744</v>
      </c>
      <c r="D1851" s="8" t="s">
        <v>42</v>
      </c>
      <c r="E1851" s="8">
        <v>65</v>
      </c>
      <c r="F1851" s="8">
        <v>1319.54</v>
      </c>
    </row>
    <row r="1852" spans="1:6" x14ac:dyDescent="0.25">
      <c r="A1852" s="1"/>
      <c r="B1852" s="2"/>
      <c r="C1852" s="8" t="s">
        <v>1745</v>
      </c>
      <c r="D1852" s="8" t="s">
        <v>42</v>
      </c>
      <c r="E1852" s="8">
        <v>35</v>
      </c>
      <c r="F1852" s="8">
        <v>683.1</v>
      </c>
    </row>
    <row r="1853" spans="1:6" x14ac:dyDescent="0.25">
      <c r="A1853" s="1"/>
      <c r="B1853" s="2"/>
      <c r="C1853" s="8" t="s">
        <v>1746</v>
      </c>
      <c r="D1853" s="8" t="s">
        <v>42</v>
      </c>
      <c r="E1853" s="8">
        <v>45</v>
      </c>
      <c r="F1853" s="8">
        <v>225.9</v>
      </c>
    </row>
    <row r="1854" spans="1:6" x14ac:dyDescent="0.25">
      <c r="A1854" s="1"/>
      <c r="B1854" s="2"/>
      <c r="C1854" s="8" t="s">
        <v>1747</v>
      </c>
      <c r="D1854" s="8" t="s">
        <v>42</v>
      </c>
      <c r="E1854" s="8">
        <v>93</v>
      </c>
      <c r="F1854" s="8">
        <v>2042.56</v>
      </c>
    </row>
    <row r="1855" spans="1:6" x14ac:dyDescent="0.25">
      <c r="A1855" s="1"/>
      <c r="B1855" s="2"/>
      <c r="C1855" s="8" t="s">
        <v>1748</v>
      </c>
      <c r="D1855" s="8" t="s">
        <v>42</v>
      </c>
      <c r="E1855" s="8">
        <v>64</v>
      </c>
      <c r="F1855" s="8">
        <v>1231.66</v>
      </c>
    </row>
    <row r="1856" spans="1:6" x14ac:dyDescent="0.25">
      <c r="A1856" s="1"/>
      <c r="B1856" s="2"/>
      <c r="C1856" s="8" t="s">
        <v>1749</v>
      </c>
      <c r="D1856" s="8" t="s">
        <v>42</v>
      </c>
      <c r="E1856" s="8">
        <v>12</v>
      </c>
      <c r="F1856" s="8">
        <v>238.5</v>
      </c>
    </row>
    <row r="1857" spans="1:6" x14ac:dyDescent="0.25">
      <c r="A1857" s="1"/>
      <c r="B1857" s="2"/>
      <c r="C1857" s="8" t="s">
        <v>1750</v>
      </c>
      <c r="D1857" s="8" t="s">
        <v>42</v>
      </c>
      <c r="E1857" s="8">
        <v>36</v>
      </c>
      <c r="F1857" s="8">
        <v>715.35</v>
      </c>
    </row>
    <row r="1858" spans="1:6" x14ac:dyDescent="0.25">
      <c r="A1858" s="1"/>
      <c r="B1858" s="2"/>
      <c r="C1858" s="8" t="s">
        <v>1751</v>
      </c>
      <c r="D1858" s="8" t="s">
        <v>42</v>
      </c>
      <c r="E1858" s="8">
        <v>41</v>
      </c>
      <c r="F1858" s="8">
        <v>734.4</v>
      </c>
    </row>
    <row r="1859" spans="1:6" x14ac:dyDescent="0.25">
      <c r="A1859" s="1"/>
      <c r="B1859" s="2"/>
      <c r="C1859" s="8" t="s">
        <v>1752</v>
      </c>
      <c r="D1859" s="8" t="s">
        <v>42</v>
      </c>
      <c r="E1859" s="8">
        <v>114</v>
      </c>
      <c r="F1859" s="8">
        <v>2141.56</v>
      </c>
    </row>
    <row r="1860" spans="1:6" x14ac:dyDescent="0.25">
      <c r="A1860" s="1"/>
      <c r="B1860" s="2"/>
      <c r="C1860" s="8" t="s">
        <v>1753</v>
      </c>
      <c r="D1860" s="8" t="s">
        <v>42</v>
      </c>
      <c r="E1860" s="8">
        <v>141</v>
      </c>
      <c r="F1860" s="8">
        <v>2713.58</v>
      </c>
    </row>
    <row r="1861" spans="1:6" x14ac:dyDescent="0.25">
      <c r="A1861" s="1"/>
      <c r="B1861" s="2"/>
      <c r="C1861" s="8" t="s">
        <v>1754</v>
      </c>
      <c r="D1861" s="8" t="s">
        <v>42</v>
      </c>
      <c r="E1861" s="8">
        <v>23</v>
      </c>
      <c r="F1861" s="8">
        <v>458.35</v>
      </c>
    </row>
    <row r="1862" spans="1:6" x14ac:dyDescent="0.25">
      <c r="A1862" s="1"/>
      <c r="B1862" s="2"/>
      <c r="C1862" s="8" t="s">
        <v>1755</v>
      </c>
      <c r="D1862" s="8" t="s">
        <v>42</v>
      </c>
      <c r="E1862" s="8">
        <v>42</v>
      </c>
      <c r="F1862" s="8">
        <v>945.62</v>
      </c>
    </row>
    <row r="1863" spans="1:6" x14ac:dyDescent="0.25">
      <c r="A1863" s="1"/>
      <c r="B1863" s="2"/>
      <c r="C1863" s="8" t="s">
        <v>1756</v>
      </c>
      <c r="D1863" s="8" t="s">
        <v>42</v>
      </c>
      <c r="E1863" s="8">
        <v>58</v>
      </c>
      <c r="F1863" s="8">
        <v>1106.56</v>
      </c>
    </row>
    <row r="1864" spans="1:6" x14ac:dyDescent="0.25">
      <c r="A1864" s="1"/>
      <c r="B1864" s="2"/>
      <c r="C1864" s="8" t="s">
        <v>1757</v>
      </c>
      <c r="D1864" s="8" t="s">
        <v>42</v>
      </c>
      <c r="E1864" s="8">
        <v>118</v>
      </c>
      <c r="F1864" s="8">
        <v>2303.48</v>
      </c>
    </row>
    <row r="1865" spans="1:6" x14ac:dyDescent="0.25">
      <c r="A1865" s="1"/>
      <c r="B1865" s="2"/>
      <c r="C1865" s="8" t="s">
        <v>1758</v>
      </c>
      <c r="D1865" s="8" t="s">
        <v>42</v>
      </c>
      <c r="E1865" s="8">
        <v>45</v>
      </c>
      <c r="F1865" s="8">
        <v>222.17</v>
      </c>
    </row>
    <row r="1866" spans="1:6" x14ac:dyDescent="0.25">
      <c r="A1866" s="1"/>
      <c r="B1866" s="2"/>
      <c r="C1866" s="8" t="s">
        <v>1759</v>
      </c>
      <c r="D1866" s="8" t="s">
        <v>42</v>
      </c>
      <c r="E1866" s="8">
        <v>142</v>
      </c>
      <c r="F1866" s="8">
        <v>2785.23</v>
      </c>
    </row>
    <row r="1867" spans="1:6" x14ac:dyDescent="0.25">
      <c r="A1867" s="1"/>
      <c r="B1867" s="2"/>
      <c r="C1867" s="8" t="s">
        <v>1760</v>
      </c>
      <c r="D1867" s="8" t="s">
        <v>42</v>
      </c>
      <c r="E1867" s="8">
        <v>53</v>
      </c>
      <c r="F1867" s="8">
        <v>1044.19</v>
      </c>
    </row>
    <row r="1868" spans="1:6" x14ac:dyDescent="0.25">
      <c r="A1868" s="1"/>
      <c r="B1868" s="2"/>
      <c r="C1868" s="8" t="s">
        <v>1761</v>
      </c>
      <c r="D1868" s="8" t="s">
        <v>42</v>
      </c>
      <c r="E1868" s="8">
        <v>40</v>
      </c>
      <c r="F1868" s="8">
        <v>199.21</v>
      </c>
    </row>
    <row r="1869" spans="1:6" x14ac:dyDescent="0.25">
      <c r="A1869" s="1"/>
      <c r="B1869" s="2"/>
      <c r="C1869" s="8" t="s">
        <v>1762</v>
      </c>
      <c r="D1869" s="8" t="s">
        <v>42</v>
      </c>
      <c r="E1869" s="8">
        <v>65</v>
      </c>
      <c r="F1869" s="8">
        <v>1320.6</v>
      </c>
    </row>
    <row r="1870" spans="1:6" x14ac:dyDescent="0.25">
      <c r="A1870" s="1"/>
      <c r="B1870" s="2"/>
      <c r="C1870" s="8" t="s">
        <v>1763</v>
      </c>
      <c r="D1870" s="8" t="s">
        <v>42</v>
      </c>
      <c r="E1870" s="8">
        <v>10</v>
      </c>
      <c r="F1870" s="8">
        <v>183.18</v>
      </c>
    </row>
    <row r="1871" spans="1:6" x14ac:dyDescent="0.25">
      <c r="A1871" s="1"/>
      <c r="B1871" s="2"/>
      <c r="C1871" s="8" t="s">
        <v>1764</v>
      </c>
      <c r="D1871" s="8" t="s">
        <v>42</v>
      </c>
      <c r="E1871" s="8">
        <v>123</v>
      </c>
      <c r="F1871" s="8">
        <v>2915.3</v>
      </c>
    </row>
    <row r="1872" spans="1:6" x14ac:dyDescent="0.25">
      <c r="A1872" s="1"/>
      <c r="B1872" s="2"/>
      <c r="C1872" s="8" t="s">
        <v>1765</v>
      </c>
      <c r="D1872" s="8" t="s">
        <v>42</v>
      </c>
      <c r="E1872" s="8">
        <v>100</v>
      </c>
      <c r="F1872" s="8">
        <v>1967.93</v>
      </c>
    </row>
    <row r="1873" spans="1:6" x14ac:dyDescent="0.25">
      <c r="A1873" s="1"/>
      <c r="B1873" s="2"/>
      <c r="C1873" s="8" t="s">
        <v>1766</v>
      </c>
      <c r="D1873" s="8" t="s">
        <v>42</v>
      </c>
      <c r="E1873" s="8">
        <v>123</v>
      </c>
      <c r="F1873" s="8">
        <v>2343.89</v>
      </c>
    </row>
    <row r="1874" spans="1:6" x14ac:dyDescent="0.25">
      <c r="A1874" s="1"/>
      <c r="B1874" s="2"/>
      <c r="C1874" s="8" t="s">
        <v>1767</v>
      </c>
      <c r="D1874" s="8" t="s">
        <v>42</v>
      </c>
      <c r="E1874" s="8">
        <v>123</v>
      </c>
      <c r="F1874" s="8">
        <v>3008.98</v>
      </c>
    </row>
    <row r="1875" spans="1:6" x14ac:dyDescent="0.25">
      <c r="A1875" s="1"/>
      <c r="B1875" s="2"/>
      <c r="C1875" s="8" t="s">
        <v>1768</v>
      </c>
      <c r="D1875" s="8" t="s">
        <v>42</v>
      </c>
      <c r="E1875" s="8">
        <v>141</v>
      </c>
      <c r="F1875" s="8">
        <v>2722.19</v>
      </c>
    </row>
    <row r="1876" spans="1:6" x14ac:dyDescent="0.25">
      <c r="A1876" s="1"/>
      <c r="B1876" s="2"/>
      <c r="C1876" s="8" t="s">
        <v>1769</v>
      </c>
      <c r="D1876" s="8" t="s">
        <v>42</v>
      </c>
      <c r="E1876" s="8">
        <v>45</v>
      </c>
      <c r="F1876" s="8">
        <v>226.68</v>
      </c>
    </row>
    <row r="1877" spans="1:6" x14ac:dyDescent="0.25">
      <c r="A1877" s="1"/>
      <c r="B1877" s="2"/>
      <c r="C1877" s="8" t="s">
        <v>1770</v>
      </c>
      <c r="D1877" s="8" t="s">
        <v>42</v>
      </c>
      <c r="E1877" s="8">
        <v>141</v>
      </c>
      <c r="F1877" s="8">
        <v>3118.79</v>
      </c>
    </row>
    <row r="1878" spans="1:6" x14ac:dyDescent="0.25">
      <c r="A1878" s="1"/>
      <c r="B1878" s="2"/>
      <c r="C1878" s="8" t="s">
        <v>1771</v>
      </c>
      <c r="D1878" s="8" t="s">
        <v>42</v>
      </c>
      <c r="E1878" s="8">
        <v>141</v>
      </c>
      <c r="F1878" s="8">
        <v>2744.22</v>
      </c>
    </row>
    <row r="1879" spans="1:6" x14ac:dyDescent="0.25">
      <c r="A1879" s="1"/>
      <c r="B1879" s="2"/>
      <c r="C1879" s="8" t="s">
        <v>1772</v>
      </c>
      <c r="D1879" s="8" t="s">
        <v>42</v>
      </c>
      <c r="E1879" s="8">
        <v>142</v>
      </c>
      <c r="F1879" s="8">
        <v>2684.96</v>
      </c>
    </row>
    <row r="1880" spans="1:6" x14ac:dyDescent="0.25">
      <c r="A1880" s="1"/>
      <c r="B1880" s="2"/>
      <c r="C1880" s="8" t="s">
        <v>1773</v>
      </c>
      <c r="D1880" s="8" t="s">
        <v>42</v>
      </c>
      <c r="E1880" s="8">
        <v>100</v>
      </c>
      <c r="F1880" s="8">
        <v>1912.58</v>
      </c>
    </row>
    <row r="1881" spans="1:6" x14ac:dyDescent="0.25">
      <c r="A1881" s="1"/>
      <c r="B1881" s="2"/>
      <c r="C1881" s="8" t="s">
        <v>1774</v>
      </c>
      <c r="D1881" s="8" t="s">
        <v>42</v>
      </c>
      <c r="E1881" s="8">
        <v>100</v>
      </c>
      <c r="F1881" s="8">
        <v>1973.83</v>
      </c>
    </row>
    <row r="1882" spans="1:6" x14ac:dyDescent="0.25">
      <c r="A1882" s="1"/>
      <c r="B1882" s="2"/>
      <c r="C1882" s="8" t="s">
        <v>1775</v>
      </c>
      <c r="D1882" s="8" t="s">
        <v>42</v>
      </c>
      <c r="E1882" s="8">
        <v>141</v>
      </c>
      <c r="F1882" s="8">
        <v>2852.01</v>
      </c>
    </row>
    <row r="1883" spans="1:6" x14ac:dyDescent="0.25">
      <c r="A1883" s="1"/>
      <c r="B1883" s="2"/>
      <c r="C1883" s="8" t="s">
        <v>1776</v>
      </c>
      <c r="D1883" s="8" t="s">
        <v>42</v>
      </c>
      <c r="E1883" s="8">
        <v>45</v>
      </c>
      <c r="F1883" s="8">
        <v>219.28</v>
      </c>
    </row>
    <row r="1884" spans="1:6" x14ac:dyDescent="0.25">
      <c r="A1884" s="1"/>
      <c r="B1884" s="2"/>
      <c r="C1884" s="8" t="s">
        <v>1777</v>
      </c>
      <c r="D1884" s="8" t="s">
        <v>42</v>
      </c>
      <c r="E1884" s="8">
        <v>141</v>
      </c>
      <c r="F1884" s="8">
        <v>2862.49</v>
      </c>
    </row>
    <row r="1885" spans="1:6" x14ac:dyDescent="0.25">
      <c r="A1885" s="1"/>
      <c r="B1885" s="2"/>
      <c r="C1885" s="8" t="s">
        <v>1778</v>
      </c>
      <c r="D1885" s="8" t="s">
        <v>42</v>
      </c>
      <c r="E1885" s="8">
        <v>141</v>
      </c>
      <c r="F1885" s="8">
        <v>3141.36</v>
      </c>
    </row>
    <row r="1887" spans="1:7" x14ac:dyDescent="0.25">
      <c r="A1887" s="7">
        <v>46269</v>
      </c>
      <c r="B1887" s="8" t="s">
        <v>25</v>
      </c>
      <c r="C1887" s="8" t="s">
        <v>1779</v>
      </c>
      <c r="D1887" s="8" t="s">
        <v>27</v>
      </c>
      <c r="E1887" s="8">
        <v>83</v>
      </c>
      <c r="F1887" s="8">
        <v>1690.86</v>
      </c>
      <c r="G1887" s="7">
        <v>46268</v>
      </c>
    </row>
    <row r="1888" spans="1:7" x14ac:dyDescent="0.25">
      <c r="A1888" s="7">
        <v>46270</v>
      </c>
      <c r="B1888" s="8" t="s">
        <v>25</v>
      </c>
      <c r="C1888" s="8" t="s">
        <v>1780</v>
      </c>
      <c r="D1888" s="8" t="s">
        <v>27</v>
      </c>
      <c r="E1888" s="8">
        <v>6</v>
      </c>
      <c r="F1888" s="8">
        <v>130.2</v>
      </c>
      <c r="G1888" s="7">
        <v>46268</v>
      </c>
    </row>
    <row r="1889" spans="1:7" x14ac:dyDescent="0.25">
      <c r="A1889" s="7">
        <v>46269</v>
      </c>
      <c r="B1889" s="8" t="s">
        <v>25</v>
      </c>
      <c r="C1889" s="8" t="s">
        <v>1781</v>
      </c>
      <c r="D1889" s="8" t="s">
        <v>27</v>
      </c>
      <c r="E1889" s="8">
        <v>25</v>
      </c>
      <c r="F1889" s="8">
        <v>462.82</v>
      </c>
      <c r="G1889" s="7">
        <v>46268</v>
      </c>
    </row>
    <row r="1890" spans="1:6" x14ac:dyDescent="0.25">
      <c r="A1890" s="1"/>
      <c r="B1890" s="2"/>
      <c r="C1890" s="8" t="s">
        <v>1782</v>
      </c>
      <c r="D1890" s="8" t="s">
        <v>27</v>
      </c>
      <c r="E1890" s="8">
        <v>66</v>
      </c>
      <c r="F1890" s="8">
        <v>1220.73</v>
      </c>
    </row>
    <row r="1892" spans="1:7" x14ac:dyDescent="0.25">
      <c r="A1892" s="7">
        <v>46268</v>
      </c>
      <c r="B1892" s="8" t="s">
        <v>172</v>
      </c>
      <c r="C1892" s="8" t="s">
        <v>1783</v>
      </c>
      <c r="D1892" s="8" t="s">
        <v>122</v>
      </c>
      <c r="E1892" s="8">
        <v>121</v>
      </c>
      <c r="F1892" s="8">
        <v>2466.74</v>
      </c>
      <c r="G1892" s="7">
        <v>46268</v>
      </c>
    </row>
    <row r="1893" spans="1:6" x14ac:dyDescent="0.25">
      <c r="A1893" s="1"/>
      <c r="B1893" s="2"/>
      <c r="C1893" s="8" t="s">
        <v>1784</v>
      </c>
      <c r="D1893" s="8" t="s">
        <v>122</v>
      </c>
      <c r="E1893" s="8">
        <v>121</v>
      </c>
      <c r="F1893" s="8">
        <v>2449.37</v>
      </c>
    </row>
    <row r="1894" spans="1:6" x14ac:dyDescent="0.25">
      <c r="A1894" s="1"/>
      <c r="B1894" s="2"/>
      <c r="C1894" s="8" t="s">
        <v>1785</v>
      </c>
      <c r="D1894" s="8" t="s">
        <v>122</v>
      </c>
      <c r="E1894" s="8">
        <v>141</v>
      </c>
      <c r="F1894" s="8">
        <v>2947.9</v>
      </c>
    </row>
    <row r="1895" spans="1:6" x14ac:dyDescent="0.25">
      <c r="A1895" s="1"/>
      <c r="B1895" s="2"/>
      <c r="C1895" s="8" t="s">
        <v>1786</v>
      </c>
      <c r="D1895" s="8" t="s">
        <v>122</v>
      </c>
      <c r="E1895" s="8">
        <v>141</v>
      </c>
      <c r="F1895" s="8">
        <v>2722.39</v>
      </c>
    </row>
    <row r="1896" spans="1:6" x14ac:dyDescent="0.25">
      <c r="A1896" s="1"/>
      <c r="B1896" s="2"/>
      <c r="C1896" s="8" t="s">
        <v>1787</v>
      </c>
      <c r="D1896" s="8" t="s">
        <v>122</v>
      </c>
      <c r="E1896" s="8">
        <v>141</v>
      </c>
      <c r="F1896" s="8">
        <v>2775.53</v>
      </c>
    </row>
    <row r="1897" spans="1:6" x14ac:dyDescent="0.25">
      <c r="A1897" s="1"/>
      <c r="B1897" s="2"/>
      <c r="C1897" s="8" t="s">
        <v>1788</v>
      </c>
      <c r="D1897" s="8" t="s">
        <v>122</v>
      </c>
      <c r="E1897" s="8">
        <v>75</v>
      </c>
      <c r="F1897" s="8">
        <v>1548.23</v>
      </c>
    </row>
    <row r="1898" spans="1:6" x14ac:dyDescent="0.25">
      <c r="A1898" s="1"/>
      <c r="B1898" s="2"/>
      <c r="C1898" s="8" t="s">
        <v>1789</v>
      </c>
      <c r="D1898" s="8" t="s">
        <v>122</v>
      </c>
      <c r="E1898" s="8">
        <v>66</v>
      </c>
      <c r="F1898" s="8">
        <v>1366.22</v>
      </c>
    </row>
    <row r="1899" spans="1:6" x14ac:dyDescent="0.25">
      <c r="A1899" s="1"/>
      <c r="B1899" s="2"/>
      <c r="C1899" s="8" t="s">
        <v>1790</v>
      </c>
      <c r="D1899" s="8" t="s">
        <v>122</v>
      </c>
      <c r="E1899" s="8">
        <v>41</v>
      </c>
      <c r="F1899" s="8">
        <v>864.81</v>
      </c>
    </row>
    <row r="1900" spans="1:6" x14ac:dyDescent="0.25">
      <c r="A1900" s="1"/>
      <c r="B1900" s="2"/>
      <c r="C1900" s="8" t="s">
        <v>1791</v>
      </c>
      <c r="D1900" s="8" t="s">
        <v>122</v>
      </c>
      <c r="E1900" s="8">
        <v>100</v>
      </c>
      <c r="F1900" s="8">
        <v>2038.03</v>
      </c>
    </row>
    <row r="1901" spans="1:6" x14ac:dyDescent="0.25">
      <c r="A1901" s="1"/>
      <c r="B1901" s="2"/>
      <c r="C1901" s="8" t="s">
        <v>1792</v>
      </c>
      <c r="D1901" s="8" t="s">
        <v>122</v>
      </c>
      <c r="E1901" s="8">
        <v>75</v>
      </c>
      <c r="F1901" s="8">
        <v>1493.26</v>
      </c>
    </row>
    <row r="1902" spans="1:7" x14ac:dyDescent="0.25">
      <c r="A1902" s="7">
        <v>46268</v>
      </c>
      <c r="B1902" s="8" t="s">
        <v>172</v>
      </c>
      <c r="C1902" s="8" t="s">
        <v>1793</v>
      </c>
      <c r="D1902" s="8" t="s">
        <v>122</v>
      </c>
      <c r="E1902" s="8">
        <v>121</v>
      </c>
      <c r="F1902" s="8">
        <v>2478.22</v>
      </c>
      <c r="G1902" s="7">
        <v>46268</v>
      </c>
    </row>
    <row r="1903" spans="1:6" x14ac:dyDescent="0.25">
      <c r="A1903" s="1"/>
      <c r="B1903" s="2"/>
      <c r="C1903" s="8" t="s">
        <v>1794</v>
      </c>
      <c r="D1903" s="8" t="s">
        <v>122</v>
      </c>
      <c r="E1903" s="8">
        <v>63</v>
      </c>
      <c r="F1903" s="8">
        <v>2264.72</v>
      </c>
    </row>
    <row r="1904" spans="1:7" x14ac:dyDescent="0.25">
      <c r="A1904" s="7">
        <v>46268</v>
      </c>
      <c r="B1904" s="8" t="s">
        <v>172</v>
      </c>
      <c r="C1904" s="8" t="s">
        <v>1795</v>
      </c>
      <c r="D1904" s="8" t="s">
        <v>122</v>
      </c>
      <c r="E1904" s="8">
        <v>99</v>
      </c>
      <c r="F1904" s="8">
        <v>1933.59</v>
      </c>
      <c r="G1904" s="7">
        <v>46268</v>
      </c>
    </row>
    <row r="1905" spans="1:6" x14ac:dyDescent="0.25">
      <c r="A1905" s="1"/>
      <c r="B1905" s="2"/>
      <c r="C1905" s="8" t="s">
        <v>1796</v>
      </c>
      <c r="D1905" s="8" t="s">
        <v>122</v>
      </c>
      <c r="E1905" s="8">
        <v>42</v>
      </c>
      <c r="F1905" s="8">
        <v>822.31</v>
      </c>
    </row>
    <row r="1906" spans="1:6" x14ac:dyDescent="0.25">
      <c r="A1906" s="1"/>
      <c r="B1906" s="2"/>
      <c r="C1906" s="8" t="s">
        <v>1797</v>
      </c>
      <c r="D1906" s="8" t="s">
        <v>122</v>
      </c>
      <c r="E1906" s="8">
        <v>19</v>
      </c>
      <c r="F1906" s="8">
        <v>714.92</v>
      </c>
    </row>
    <row r="1907" spans="1:6" x14ac:dyDescent="0.25">
      <c r="A1907" s="1"/>
      <c r="B1907" s="2"/>
      <c r="C1907" s="8" t="s">
        <v>1798</v>
      </c>
      <c r="D1907" s="8" t="s">
        <v>122</v>
      </c>
      <c r="E1907" s="8">
        <v>103</v>
      </c>
      <c r="F1907" s="8">
        <v>2034.68</v>
      </c>
    </row>
    <row r="1908" spans="1:6" x14ac:dyDescent="0.25">
      <c r="A1908" s="1"/>
      <c r="B1908" s="2"/>
      <c r="C1908" s="8" t="s">
        <v>1799</v>
      </c>
      <c r="D1908" s="8" t="s">
        <v>122</v>
      </c>
      <c r="E1908" s="8">
        <v>80</v>
      </c>
      <c r="F1908" s="8">
        <v>1607.16</v>
      </c>
    </row>
    <row r="1909" spans="1:6" x14ac:dyDescent="0.25">
      <c r="A1909" s="1"/>
      <c r="B1909" s="2"/>
      <c r="C1909" s="8" t="s">
        <v>1800</v>
      </c>
      <c r="D1909" s="8" t="s">
        <v>122</v>
      </c>
      <c r="E1909" s="8">
        <v>61</v>
      </c>
      <c r="F1909" s="8">
        <v>1258.14</v>
      </c>
    </row>
    <row r="1910" spans="1:6" x14ac:dyDescent="0.25">
      <c r="A1910" s="1"/>
      <c r="B1910" s="2"/>
      <c r="C1910" s="8" t="s">
        <v>1801</v>
      </c>
      <c r="D1910" s="8" t="s">
        <v>122</v>
      </c>
      <c r="E1910" s="8">
        <v>49</v>
      </c>
      <c r="F1910" s="8">
        <v>937.78</v>
      </c>
    </row>
    <row r="1911" spans="1:6" x14ac:dyDescent="0.25">
      <c r="A1911" s="1"/>
      <c r="B1911" s="2"/>
      <c r="C1911" s="8" t="s">
        <v>1802</v>
      </c>
      <c r="D1911" s="8" t="s">
        <v>122</v>
      </c>
      <c r="E1911" s="8">
        <v>36</v>
      </c>
      <c r="F1911" s="8">
        <v>717.15</v>
      </c>
    </row>
    <row r="1912" spans="1:6" x14ac:dyDescent="0.25">
      <c r="A1912" s="1"/>
      <c r="B1912" s="2"/>
      <c r="C1912" s="8" t="s">
        <v>1803</v>
      </c>
      <c r="D1912" s="8" t="s">
        <v>122</v>
      </c>
      <c r="E1912" s="8">
        <v>8</v>
      </c>
      <c r="F1912" s="8">
        <v>157.31</v>
      </c>
    </row>
    <row r="1913" spans="1:6" x14ac:dyDescent="0.25">
      <c r="A1913" s="1"/>
      <c r="B1913" s="2"/>
      <c r="C1913" s="8" t="s">
        <v>1804</v>
      </c>
      <c r="D1913" s="8" t="s">
        <v>122</v>
      </c>
      <c r="E1913" s="8">
        <v>9</v>
      </c>
      <c r="F1913" s="8">
        <v>166.57</v>
      </c>
    </row>
    <row r="1914" spans="1:6" x14ac:dyDescent="0.25">
      <c r="A1914" s="1"/>
      <c r="B1914" s="2"/>
      <c r="C1914" s="8" t="s">
        <v>1805</v>
      </c>
      <c r="D1914" s="8" t="s">
        <v>122</v>
      </c>
      <c r="E1914" s="8">
        <v>49</v>
      </c>
      <c r="F1914" s="8">
        <v>920.06</v>
      </c>
    </row>
    <row r="1915" spans="1:6" x14ac:dyDescent="0.25">
      <c r="A1915" s="1"/>
      <c r="B1915" s="2"/>
      <c r="C1915" s="8" t="s">
        <v>1806</v>
      </c>
      <c r="D1915" s="8" t="s">
        <v>122</v>
      </c>
      <c r="E1915" s="8">
        <v>12</v>
      </c>
      <c r="F1915" s="8">
        <v>251.73</v>
      </c>
    </row>
    <row r="1916" spans="1:6" x14ac:dyDescent="0.25">
      <c r="A1916" s="1"/>
      <c r="B1916" s="2"/>
      <c r="C1916" s="8" t="s">
        <v>1807</v>
      </c>
      <c r="D1916" s="8" t="s">
        <v>122</v>
      </c>
      <c r="E1916" s="8">
        <v>41</v>
      </c>
      <c r="F1916" s="8">
        <v>798.05</v>
      </c>
    </row>
    <row r="1917" spans="1:6" x14ac:dyDescent="0.25">
      <c r="A1917" s="1"/>
      <c r="B1917" s="2"/>
      <c r="C1917" s="8" t="s">
        <v>1808</v>
      </c>
      <c r="D1917" s="8" t="s">
        <v>122</v>
      </c>
      <c r="E1917" s="8">
        <v>34</v>
      </c>
      <c r="F1917" s="8">
        <v>676.61</v>
      </c>
    </row>
    <row r="1918" spans="1:6" x14ac:dyDescent="0.25">
      <c r="A1918" s="1"/>
      <c r="B1918" s="2"/>
      <c r="C1918" s="8" t="s">
        <v>1809</v>
      </c>
      <c r="D1918" s="8" t="s">
        <v>122</v>
      </c>
      <c r="E1918" s="8">
        <v>41</v>
      </c>
      <c r="F1918" s="8">
        <v>724.63</v>
      </c>
    </row>
    <row r="1919" spans="1:6" x14ac:dyDescent="0.25">
      <c r="A1919" s="1"/>
      <c r="B1919" s="2"/>
      <c r="C1919" s="8" t="s">
        <v>1810</v>
      </c>
      <c r="D1919" s="8" t="s">
        <v>122</v>
      </c>
      <c r="E1919" s="8">
        <v>142</v>
      </c>
      <c r="F1919" s="8">
        <v>599.43</v>
      </c>
    </row>
    <row r="1920" spans="1:6" x14ac:dyDescent="0.25">
      <c r="A1920" s="1"/>
      <c r="B1920" s="2"/>
      <c r="C1920" s="8" t="s">
        <v>1811</v>
      </c>
      <c r="D1920" s="8" t="s">
        <v>122</v>
      </c>
      <c r="E1920" s="8">
        <v>78</v>
      </c>
      <c r="F1920" s="8">
        <v>352.54</v>
      </c>
    </row>
    <row r="1921" spans="1:6" x14ac:dyDescent="0.25">
      <c r="A1921" s="1"/>
      <c r="B1921" s="2"/>
      <c r="C1921" s="8" t="s">
        <v>1812</v>
      </c>
      <c r="D1921" s="8" t="s">
        <v>122</v>
      </c>
      <c r="E1921" s="8">
        <v>141</v>
      </c>
      <c r="F1921" s="8">
        <v>2878.05</v>
      </c>
    </row>
    <row r="1922" spans="1:6" x14ac:dyDescent="0.25">
      <c r="A1922" s="1"/>
      <c r="B1922" s="2"/>
      <c r="C1922" s="8" t="s">
        <v>1813</v>
      </c>
      <c r="D1922" s="8" t="s">
        <v>122</v>
      </c>
      <c r="E1922" s="8">
        <v>111</v>
      </c>
      <c r="F1922" s="8">
        <v>2214.57</v>
      </c>
    </row>
    <row r="1923" spans="1:6" x14ac:dyDescent="0.25">
      <c r="A1923" s="1"/>
      <c r="B1923" s="2"/>
      <c r="C1923" s="8" t="s">
        <v>1814</v>
      </c>
      <c r="D1923" s="8" t="s">
        <v>122</v>
      </c>
      <c r="E1923" s="8">
        <v>30</v>
      </c>
      <c r="F1923" s="8">
        <v>585.09</v>
      </c>
    </row>
    <row r="1924" spans="1:6" x14ac:dyDescent="0.25">
      <c r="A1924" s="1"/>
      <c r="B1924" s="2"/>
      <c r="C1924" s="8" t="s">
        <v>1815</v>
      </c>
      <c r="D1924" s="8" t="s">
        <v>122</v>
      </c>
      <c r="E1924" s="8">
        <v>141</v>
      </c>
      <c r="F1924" s="8">
        <v>2762.81</v>
      </c>
    </row>
    <row r="1925" spans="1:6" x14ac:dyDescent="0.25">
      <c r="A1925" s="1"/>
      <c r="B1925" s="2"/>
      <c r="C1925" s="8" t="s">
        <v>1816</v>
      </c>
      <c r="D1925" s="8" t="s">
        <v>122</v>
      </c>
      <c r="E1925" s="8">
        <v>70</v>
      </c>
      <c r="F1925" s="8">
        <v>2611.7</v>
      </c>
    </row>
    <row r="1926" spans="1:6" x14ac:dyDescent="0.25">
      <c r="A1926" s="1"/>
      <c r="B1926" s="2"/>
      <c r="C1926" s="8" t="s">
        <v>1817</v>
      </c>
      <c r="D1926" s="8" t="s">
        <v>122</v>
      </c>
      <c r="E1926" s="8">
        <v>9</v>
      </c>
      <c r="F1926" s="8">
        <v>155.16</v>
      </c>
    </row>
    <row r="1927" spans="1:6" x14ac:dyDescent="0.25">
      <c r="A1927" s="1"/>
      <c r="B1927" s="2"/>
      <c r="C1927" s="8" t="s">
        <v>1818</v>
      </c>
      <c r="D1927" s="8" t="s">
        <v>122</v>
      </c>
      <c r="E1927" s="8">
        <v>29</v>
      </c>
      <c r="F1927" s="8">
        <v>564.23</v>
      </c>
    </row>
    <row r="1928" spans="1:6" x14ac:dyDescent="0.25">
      <c r="A1928" s="1"/>
      <c r="B1928" s="2"/>
      <c r="C1928" s="8" t="s">
        <v>1819</v>
      </c>
      <c r="D1928" s="8" t="s">
        <v>122</v>
      </c>
      <c r="E1928" s="8">
        <v>27</v>
      </c>
      <c r="F1928" s="8">
        <v>528.25</v>
      </c>
    </row>
    <row r="1929" spans="1:6" x14ac:dyDescent="0.25">
      <c r="A1929" s="1"/>
      <c r="B1929" s="2"/>
      <c r="C1929" s="8" t="s">
        <v>1820</v>
      </c>
      <c r="D1929" s="8" t="s">
        <v>122</v>
      </c>
      <c r="E1929" s="8">
        <v>19</v>
      </c>
      <c r="F1929" s="8">
        <v>344.08</v>
      </c>
    </row>
    <row r="1930" spans="1:6" x14ac:dyDescent="0.25">
      <c r="A1930" s="1"/>
      <c r="B1930" s="2"/>
      <c r="C1930" s="8" t="s">
        <v>1821</v>
      </c>
      <c r="D1930" s="8" t="s">
        <v>122</v>
      </c>
      <c r="E1930" s="8">
        <v>18</v>
      </c>
      <c r="F1930" s="8">
        <v>278.01</v>
      </c>
    </row>
    <row r="1931" spans="1:6" x14ac:dyDescent="0.25">
      <c r="A1931" s="1"/>
      <c r="B1931" s="2"/>
      <c r="C1931" s="8" t="s">
        <v>1822</v>
      </c>
      <c r="D1931" s="8" t="s">
        <v>122</v>
      </c>
      <c r="E1931" s="8">
        <v>15</v>
      </c>
      <c r="F1931" s="8">
        <v>281.07</v>
      </c>
    </row>
    <row r="1932" spans="1:6" x14ac:dyDescent="0.25">
      <c r="A1932" s="1"/>
      <c r="B1932" s="2"/>
      <c r="C1932" s="8" t="s">
        <v>1823</v>
      </c>
      <c r="D1932" s="8" t="s">
        <v>122</v>
      </c>
      <c r="E1932" s="8">
        <v>43</v>
      </c>
      <c r="F1932" s="8">
        <v>1559.49</v>
      </c>
    </row>
    <row r="1933" spans="1:6" x14ac:dyDescent="0.25">
      <c r="A1933" s="1"/>
      <c r="B1933" s="2"/>
      <c r="C1933" s="8" t="s">
        <v>1824</v>
      </c>
      <c r="D1933" s="8" t="s">
        <v>122</v>
      </c>
      <c r="E1933" s="8">
        <v>30</v>
      </c>
      <c r="F1933" s="8">
        <v>600.87</v>
      </c>
    </row>
    <row r="1934" spans="1:6" x14ac:dyDescent="0.25">
      <c r="A1934" s="1"/>
      <c r="B1934" s="2"/>
      <c r="C1934" s="8" t="s">
        <v>1825</v>
      </c>
      <c r="D1934" s="8" t="s">
        <v>122</v>
      </c>
      <c r="E1934" s="8">
        <v>14</v>
      </c>
      <c r="F1934" s="8">
        <v>309.2</v>
      </c>
    </row>
    <row r="1935" spans="1:6" x14ac:dyDescent="0.25">
      <c r="A1935" s="1"/>
      <c r="B1935" s="2"/>
      <c r="C1935" s="8" t="s">
        <v>1826</v>
      </c>
      <c r="D1935" s="8" t="s">
        <v>122</v>
      </c>
      <c r="E1935" s="8">
        <v>29</v>
      </c>
      <c r="F1935" s="8">
        <v>1073.18</v>
      </c>
    </row>
    <row r="1937" spans="1:7" x14ac:dyDescent="0.25">
      <c r="A1937" s="7">
        <v>46268</v>
      </c>
      <c r="B1937" s="8" t="s">
        <v>206</v>
      </c>
      <c r="C1937" s="8" t="s">
        <v>1827</v>
      </c>
      <c r="D1937" s="8" t="s">
        <v>27</v>
      </c>
      <c r="E1937" s="8">
        <v>98</v>
      </c>
      <c r="F1937" s="8">
        <v>1800.36</v>
      </c>
      <c r="G1937" s="7">
        <v>46268</v>
      </c>
    </row>
    <row r="1938" spans="1:6" x14ac:dyDescent="0.25">
      <c r="A1938" s="1"/>
      <c r="B1938" s="2"/>
      <c r="C1938" s="8" t="s">
        <v>1828</v>
      </c>
      <c r="D1938" s="8" t="s">
        <v>27</v>
      </c>
      <c r="E1938" s="8">
        <v>93</v>
      </c>
      <c r="F1938" s="8">
        <v>1626.07</v>
      </c>
    </row>
    <row r="1939" spans="1:6" x14ac:dyDescent="0.25">
      <c r="A1939" s="1"/>
      <c r="B1939" s="2"/>
      <c r="C1939" s="8" t="s">
        <v>1829</v>
      </c>
      <c r="D1939" s="8" t="s">
        <v>27</v>
      </c>
      <c r="E1939" s="8">
        <v>82</v>
      </c>
      <c r="F1939" s="8">
        <v>1730.58</v>
      </c>
    </row>
    <row r="1940" spans="1:6" x14ac:dyDescent="0.25">
      <c r="A1940" s="1"/>
      <c r="B1940" s="2"/>
      <c r="C1940" s="8" t="s">
        <v>1830</v>
      </c>
      <c r="D1940" s="8" t="s">
        <v>27</v>
      </c>
      <c r="E1940" s="8"/>
      <c r="F1940" s="8"/>
    </row>
    <row r="1941" spans="1:6" x14ac:dyDescent="0.25">
      <c r="A1941" s="1"/>
      <c r="B1941" s="2"/>
      <c r="C1941" s="8" t="s">
        <v>1831</v>
      </c>
      <c r="D1941" s="8" t="s">
        <v>27</v>
      </c>
      <c r="E1941" s="8">
        <v>47</v>
      </c>
      <c r="F1941" s="8">
        <v>840.61</v>
      </c>
    </row>
    <row r="1942" spans="1:6" x14ac:dyDescent="0.25">
      <c r="A1942" s="1"/>
      <c r="B1942" s="2"/>
      <c r="C1942" s="8" t="s">
        <v>1832</v>
      </c>
      <c r="D1942" s="8" t="s">
        <v>27</v>
      </c>
      <c r="E1942" s="8">
        <v>6</v>
      </c>
      <c r="F1942" s="8">
        <v>161.83</v>
      </c>
    </row>
    <row r="1943" spans="1:6" x14ac:dyDescent="0.25">
      <c r="A1943" s="1"/>
      <c r="B1943" s="2"/>
      <c r="C1943" s="8" t="s">
        <v>1833</v>
      </c>
      <c r="D1943" s="8" t="s">
        <v>27</v>
      </c>
      <c r="E1943" s="8">
        <v>29</v>
      </c>
      <c r="F1943" s="8">
        <v>436.57</v>
      </c>
    </row>
    <row r="1945" spans="1:7" x14ac:dyDescent="0.25">
      <c r="A1945" s="7">
        <v>46268</v>
      </c>
      <c r="B1945" s="8" t="s">
        <v>32</v>
      </c>
      <c r="C1945" s="8" t="s">
        <v>1834</v>
      </c>
      <c r="D1945" s="8" t="s">
        <v>20</v>
      </c>
      <c r="E1945" s="8">
        <v>105</v>
      </c>
      <c r="F1945" s="8">
        <v>2015.24</v>
      </c>
      <c r="G1945" s="7">
        <v>46268</v>
      </c>
    </row>
    <row r="1946" spans="1:6" x14ac:dyDescent="0.25">
      <c r="A1946" s="1"/>
      <c r="B1946" s="2"/>
      <c r="C1946" s="8" t="s">
        <v>1835</v>
      </c>
      <c r="D1946" s="8" t="s">
        <v>20</v>
      </c>
      <c r="E1946" s="8">
        <v>105</v>
      </c>
      <c r="F1946" s="8">
        <v>2019.96</v>
      </c>
    </row>
    <row r="1947" spans="1:6" x14ac:dyDescent="0.25">
      <c r="A1947" s="1"/>
      <c r="B1947" s="2"/>
      <c r="C1947" s="8" t="s">
        <v>1836</v>
      </c>
      <c r="D1947" s="8" t="s">
        <v>20</v>
      </c>
      <c r="E1947" s="8">
        <v>156</v>
      </c>
      <c r="F1947" s="8">
        <v>2794.19</v>
      </c>
    </row>
    <row r="1948" spans="1:6" x14ac:dyDescent="0.25">
      <c r="A1948" s="1"/>
      <c r="B1948" s="2"/>
      <c r="C1948" s="8" t="s">
        <v>1837</v>
      </c>
      <c r="D1948" s="8" t="s">
        <v>20</v>
      </c>
      <c r="E1948" s="8">
        <v>156</v>
      </c>
      <c r="F1948" s="8">
        <v>3044.02</v>
      </c>
    </row>
    <row r="1949" spans="1:6" x14ac:dyDescent="0.25">
      <c r="A1949" s="1"/>
      <c r="B1949" s="2"/>
      <c r="C1949" s="8" t="s">
        <v>1838</v>
      </c>
      <c r="D1949" s="8" t="s">
        <v>20</v>
      </c>
      <c r="E1949" s="8">
        <v>191</v>
      </c>
      <c r="F1949" s="8">
        <v>3755.33</v>
      </c>
    </row>
    <row r="1950" spans="1:6" x14ac:dyDescent="0.25">
      <c r="A1950" s="1"/>
      <c r="B1950" s="2"/>
      <c r="C1950" s="8" t="s">
        <v>1839</v>
      </c>
      <c r="D1950" s="8" t="s">
        <v>20</v>
      </c>
      <c r="E1950" s="8">
        <v>90</v>
      </c>
      <c r="F1950" s="8">
        <v>1764.62</v>
      </c>
    </row>
    <row r="1951" spans="1:6" x14ac:dyDescent="0.25">
      <c r="A1951" s="1"/>
      <c r="B1951" s="2"/>
      <c r="C1951" s="8" t="s">
        <v>1840</v>
      </c>
      <c r="D1951" s="8" t="s">
        <v>20</v>
      </c>
      <c r="E1951" s="8">
        <v>156</v>
      </c>
      <c r="F1951" s="8">
        <v>3055.46</v>
      </c>
    </row>
    <row r="1952" spans="1:6" x14ac:dyDescent="0.25">
      <c r="A1952" s="1"/>
      <c r="B1952" s="2"/>
      <c r="C1952" s="8" t="s">
        <v>1841</v>
      </c>
      <c r="D1952" s="8" t="s">
        <v>20</v>
      </c>
      <c r="E1952" s="8">
        <v>83</v>
      </c>
      <c r="F1952" s="8">
        <v>1522.78</v>
      </c>
    </row>
    <row r="1953" spans="1:6" x14ac:dyDescent="0.25">
      <c r="A1953" s="1"/>
      <c r="B1953" s="2"/>
      <c r="C1953" s="8" t="s">
        <v>1842</v>
      </c>
      <c r="D1953" s="8" t="s">
        <v>20</v>
      </c>
      <c r="E1953" s="8">
        <v>295</v>
      </c>
      <c r="F1953" s="8">
        <v>5808.06</v>
      </c>
    </row>
    <row r="1954" spans="1:6" x14ac:dyDescent="0.25">
      <c r="A1954" s="1"/>
      <c r="B1954" s="2"/>
      <c r="C1954" s="8" t="s">
        <v>1843</v>
      </c>
      <c r="D1954" s="8" t="s">
        <v>20</v>
      </c>
      <c r="E1954" s="8">
        <v>105</v>
      </c>
      <c r="F1954" s="8">
        <v>2082.93</v>
      </c>
    </row>
    <row r="1955" spans="1:6" x14ac:dyDescent="0.25">
      <c r="A1955" s="1"/>
      <c r="B1955" s="2"/>
      <c r="C1955" s="8" t="s">
        <v>1844</v>
      </c>
      <c r="D1955" s="8" t="s">
        <v>20</v>
      </c>
      <c r="E1955" s="8">
        <v>143</v>
      </c>
      <c r="F1955" s="8">
        <v>2884.43</v>
      </c>
    </row>
    <row r="1957" spans="1:7" x14ac:dyDescent="0.25">
      <c r="A1957" s="7">
        <v>46267</v>
      </c>
      <c r="B1957" s="8" t="s">
        <v>1289</v>
      </c>
      <c r="C1957" s="8" t="s">
        <v>1845</v>
      </c>
      <c r="D1957" s="8" t="s">
        <v>9</v>
      </c>
      <c r="E1957" s="8">
        <v>47</v>
      </c>
      <c r="F1957" s="8">
        <v>207.55</v>
      </c>
      <c r="G1957" s="7">
        <v>46268</v>
      </c>
    </row>
    <row r="1958" spans="1:6" x14ac:dyDescent="0.25">
      <c r="A1958" s="1"/>
      <c r="B1958" s="2"/>
      <c r="C1958" s="8" t="s">
        <v>1846</v>
      </c>
      <c r="D1958" s="8" t="s">
        <v>9</v>
      </c>
      <c r="E1958" s="8">
        <v>123</v>
      </c>
      <c r="F1958" s="8">
        <v>2494.57</v>
      </c>
    </row>
    <row r="1959" spans="1:6" x14ac:dyDescent="0.25">
      <c r="A1959" s="1"/>
      <c r="B1959" s="2"/>
      <c r="C1959" s="8" t="s">
        <v>1847</v>
      </c>
      <c r="D1959" s="8" t="s">
        <v>9</v>
      </c>
      <c r="E1959" s="8">
        <v>123</v>
      </c>
      <c r="F1959" s="8">
        <v>2381.35</v>
      </c>
    </row>
    <row r="1960" spans="1:6" x14ac:dyDescent="0.25">
      <c r="A1960" s="1"/>
      <c r="B1960" s="2"/>
      <c r="C1960" s="8" t="s">
        <v>1848</v>
      </c>
      <c r="D1960" s="8" t="s">
        <v>9</v>
      </c>
      <c r="E1960" s="8">
        <v>48</v>
      </c>
      <c r="F1960" s="8">
        <v>901.95</v>
      </c>
    </row>
    <row r="1961" spans="1:6" x14ac:dyDescent="0.25">
      <c r="A1961" s="1"/>
      <c r="B1961" s="2"/>
      <c r="C1961" s="8" t="s">
        <v>1849</v>
      </c>
      <c r="D1961" s="8" t="s">
        <v>9</v>
      </c>
      <c r="E1961" s="8">
        <v>75</v>
      </c>
      <c r="F1961" s="8">
        <v>1429.5</v>
      </c>
    </row>
    <row r="1962" spans="1:6" x14ac:dyDescent="0.25">
      <c r="A1962" s="1"/>
      <c r="B1962" s="2"/>
      <c r="C1962" s="8" t="s">
        <v>1850</v>
      </c>
      <c r="D1962" s="8" t="s">
        <v>9</v>
      </c>
      <c r="E1962" s="8">
        <v>38</v>
      </c>
      <c r="F1962" s="8">
        <v>763.18</v>
      </c>
    </row>
    <row r="1963" spans="1:6" x14ac:dyDescent="0.25">
      <c r="A1963" s="1"/>
      <c r="B1963" s="2"/>
      <c r="C1963" s="8" t="s">
        <v>1851</v>
      </c>
      <c r="D1963" s="8" t="s">
        <v>9</v>
      </c>
      <c r="E1963" s="8">
        <v>92</v>
      </c>
      <c r="F1963" s="8">
        <v>1763.05</v>
      </c>
    </row>
    <row r="1964" spans="1:6" x14ac:dyDescent="0.25">
      <c r="A1964" s="1"/>
      <c r="B1964" s="2"/>
      <c r="C1964" s="8" t="s">
        <v>1852</v>
      </c>
      <c r="D1964" s="8" t="s">
        <v>9</v>
      </c>
      <c r="E1964" s="8">
        <v>71</v>
      </c>
      <c r="F1964" s="8">
        <v>1347.45</v>
      </c>
    </row>
    <row r="1965" spans="1:6" x14ac:dyDescent="0.25">
      <c r="A1965" s="1"/>
      <c r="B1965" s="2"/>
      <c r="C1965" s="8" t="s">
        <v>1853</v>
      </c>
      <c r="D1965" s="8" t="s">
        <v>9</v>
      </c>
      <c r="E1965" s="8">
        <v>52</v>
      </c>
      <c r="F1965" s="8">
        <v>964.86</v>
      </c>
    </row>
    <row r="1966" spans="1:6" x14ac:dyDescent="0.25">
      <c r="A1966" s="1"/>
      <c r="B1966" s="2"/>
      <c r="C1966" s="8" t="s">
        <v>1854</v>
      </c>
      <c r="D1966" s="8" t="s">
        <v>9</v>
      </c>
      <c r="E1966" s="8">
        <v>99</v>
      </c>
      <c r="F1966" s="8">
        <v>1906.2</v>
      </c>
    </row>
    <row r="1967" spans="1:6" x14ac:dyDescent="0.25">
      <c r="A1967" s="1"/>
      <c r="B1967" s="2"/>
      <c r="C1967" s="8" t="s">
        <v>1855</v>
      </c>
      <c r="D1967" s="8" t="s">
        <v>9</v>
      </c>
      <c r="E1967" s="8">
        <v>49</v>
      </c>
      <c r="F1967" s="8">
        <v>991.99</v>
      </c>
    </row>
    <row r="1968" spans="1:6" x14ac:dyDescent="0.25">
      <c r="A1968" s="1"/>
      <c r="B1968" s="2"/>
      <c r="C1968" s="8" t="s">
        <v>1856</v>
      </c>
      <c r="D1968" s="8" t="s">
        <v>9</v>
      </c>
      <c r="E1968" s="8">
        <v>39</v>
      </c>
      <c r="F1968" s="8">
        <v>734.53</v>
      </c>
    </row>
    <row r="1969" spans="1:6" x14ac:dyDescent="0.25">
      <c r="A1969" s="1"/>
      <c r="B1969" s="2"/>
      <c r="C1969" s="8" t="s">
        <v>1857</v>
      </c>
      <c r="D1969" s="8" t="s">
        <v>9</v>
      </c>
      <c r="E1969" s="8">
        <v>10</v>
      </c>
      <c r="F1969" s="8">
        <v>183.62</v>
      </c>
    </row>
    <row r="1970" spans="1:7" x14ac:dyDescent="0.25">
      <c r="A1970" s="7">
        <v>46267</v>
      </c>
      <c r="B1970" s="8" t="s">
        <v>1289</v>
      </c>
      <c r="C1970" s="8" t="s">
        <v>1858</v>
      </c>
      <c r="D1970" s="8" t="s">
        <v>9</v>
      </c>
      <c r="E1970" s="8">
        <v>85</v>
      </c>
      <c r="F1970" s="8">
        <v>2381.24</v>
      </c>
      <c r="G1970" s="7">
        <v>46268</v>
      </c>
    </row>
    <row r="1971" spans="1:6" x14ac:dyDescent="0.25">
      <c r="A1971" s="1"/>
      <c r="B1971" s="2"/>
      <c r="C1971" s="8" t="s">
        <v>1859</v>
      </c>
      <c r="D1971" s="8" t="s">
        <v>9</v>
      </c>
      <c r="E1971" s="8">
        <v>112</v>
      </c>
      <c r="F1971" s="8">
        <v>1125.18</v>
      </c>
    </row>
    <row r="1972" spans="1:7" x14ac:dyDescent="0.25">
      <c r="A1972" s="7">
        <v>46267</v>
      </c>
      <c r="B1972" s="8" t="s">
        <v>90</v>
      </c>
      <c r="C1972" s="8" t="s">
        <v>1860</v>
      </c>
      <c r="D1972" s="8" t="s">
        <v>9</v>
      </c>
      <c r="E1972" s="8">
        <v>142</v>
      </c>
      <c r="F1972" s="8">
        <v>2761.48</v>
      </c>
      <c r="G1972" s="7">
        <v>46268</v>
      </c>
    </row>
    <row r="1973" spans="1:6" x14ac:dyDescent="0.25">
      <c r="A1973" s="1"/>
      <c r="B1973" s="2"/>
      <c r="C1973" s="8" t="s">
        <v>1861</v>
      </c>
      <c r="D1973" s="8" t="s">
        <v>9</v>
      </c>
      <c r="E1973" s="8">
        <v>150</v>
      </c>
      <c r="F1973" s="8">
        <v>605.58</v>
      </c>
    </row>
    <row r="1974" spans="1:6" x14ac:dyDescent="0.25">
      <c r="A1974" s="1"/>
      <c r="B1974" s="2"/>
      <c r="C1974" s="8" t="s">
        <v>1862</v>
      </c>
      <c r="D1974" s="8" t="s">
        <v>9</v>
      </c>
      <c r="E1974" s="8">
        <v>141</v>
      </c>
      <c r="F1974" s="8">
        <v>2898.36</v>
      </c>
    </row>
    <row r="1975" spans="1:6" x14ac:dyDescent="0.25">
      <c r="A1975" s="1"/>
      <c r="B1975" s="2"/>
      <c r="C1975" s="8" t="s">
        <v>1863</v>
      </c>
      <c r="D1975" s="8" t="s">
        <v>9</v>
      </c>
      <c r="E1975" s="8">
        <v>102</v>
      </c>
      <c r="F1975" s="8">
        <v>2029.23</v>
      </c>
    </row>
    <row r="1976" spans="1:6" x14ac:dyDescent="0.25">
      <c r="A1976" s="1"/>
      <c r="B1976" s="2"/>
      <c r="C1976" s="8" t="s">
        <v>1864</v>
      </c>
      <c r="D1976" s="8" t="s">
        <v>9</v>
      </c>
      <c r="E1976" s="8">
        <v>39</v>
      </c>
      <c r="F1976" s="8">
        <v>749.4</v>
      </c>
    </row>
    <row r="1977" spans="1:6" x14ac:dyDescent="0.25">
      <c r="A1977" s="1"/>
      <c r="B1977" s="2"/>
      <c r="C1977" s="8" t="s">
        <v>1865</v>
      </c>
      <c r="D1977" s="8" t="s">
        <v>9</v>
      </c>
      <c r="E1977" s="8">
        <v>102</v>
      </c>
      <c r="F1977" s="8">
        <v>2067.6</v>
      </c>
    </row>
    <row r="1978" spans="1:6" x14ac:dyDescent="0.25">
      <c r="A1978" s="1"/>
      <c r="B1978" s="2"/>
      <c r="C1978" s="8" t="s">
        <v>1866</v>
      </c>
      <c r="D1978" s="8" t="s">
        <v>9</v>
      </c>
      <c r="E1978" s="8">
        <v>39</v>
      </c>
      <c r="F1978" s="8">
        <v>771.15</v>
      </c>
    </row>
    <row r="1979" spans="1:6" x14ac:dyDescent="0.25">
      <c r="A1979" s="1"/>
      <c r="B1979" s="2"/>
      <c r="C1979" s="8" t="s">
        <v>1867</v>
      </c>
      <c r="D1979" s="8" t="s">
        <v>9</v>
      </c>
      <c r="E1979" s="8">
        <v>49</v>
      </c>
      <c r="F1979" s="8">
        <v>965.08</v>
      </c>
    </row>
    <row r="1980" spans="1:6" x14ac:dyDescent="0.25">
      <c r="A1980" s="1"/>
      <c r="B1980" s="2"/>
      <c r="C1980" s="8" t="s">
        <v>1868</v>
      </c>
      <c r="D1980" s="8" t="s">
        <v>9</v>
      </c>
      <c r="E1980" s="8">
        <v>51</v>
      </c>
      <c r="F1980" s="8">
        <v>990.99</v>
      </c>
    </row>
    <row r="1981" spans="1:6" x14ac:dyDescent="0.25">
      <c r="A1981" s="1"/>
      <c r="B1981" s="2"/>
      <c r="C1981" s="8" t="s">
        <v>1869</v>
      </c>
      <c r="D1981" s="8" t="s">
        <v>9</v>
      </c>
      <c r="E1981" s="8">
        <v>141</v>
      </c>
      <c r="F1981" s="8">
        <v>2487.44</v>
      </c>
    </row>
    <row r="1982" spans="1:6" x14ac:dyDescent="0.25">
      <c r="A1982" s="1"/>
      <c r="B1982" s="2"/>
      <c r="C1982" s="8" t="s">
        <v>1870</v>
      </c>
      <c r="D1982" s="8" t="s">
        <v>9</v>
      </c>
      <c r="E1982" s="8">
        <v>68</v>
      </c>
      <c r="F1982" s="8">
        <v>1229.55</v>
      </c>
    </row>
    <row r="1983" spans="1:6" x14ac:dyDescent="0.25">
      <c r="A1983" s="1"/>
      <c r="B1983" s="2"/>
      <c r="C1983" s="8" t="s">
        <v>1871</v>
      </c>
      <c r="D1983" s="8" t="s">
        <v>9</v>
      </c>
      <c r="E1983" s="8">
        <v>30</v>
      </c>
      <c r="F1983" s="8">
        <v>611.71</v>
      </c>
    </row>
    <row r="1984" spans="1:6" x14ac:dyDescent="0.25">
      <c r="A1984" s="1"/>
      <c r="B1984" s="2"/>
      <c r="C1984" s="8" t="s">
        <v>1872</v>
      </c>
      <c r="D1984" s="8" t="s">
        <v>9</v>
      </c>
      <c r="E1984" s="8">
        <v>43</v>
      </c>
      <c r="F1984" s="8">
        <v>678.15</v>
      </c>
    </row>
    <row r="1985" spans="1:6" x14ac:dyDescent="0.25">
      <c r="A1985" s="1"/>
      <c r="B1985" s="2"/>
      <c r="C1985" s="8" t="s">
        <v>1873</v>
      </c>
      <c r="D1985" s="8" t="s">
        <v>9</v>
      </c>
      <c r="E1985" s="8">
        <v>40</v>
      </c>
      <c r="F1985" s="8">
        <v>839.72</v>
      </c>
    </row>
    <row r="1986" spans="1:6" x14ac:dyDescent="0.25">
      <c r="A1986" s="1"/>
      <c r="B1986" s="2"/>
      <c r="C1986" s="8" t="s">
        <v>1874</v>
      </c>
      <c r="D1986" s="8" t="s">
        <v>9</v>
      </c>
      <c r="E1986" s="8">
        <v>18</v>
      </c>
      <c r="F1986" s="8">
        <v>358.45</v>
      </c>
    </row>
    <row r="1987" spans="1:6" x14ac:dyDescent="0.25">
      <c r="A1987" s="1"/>
      <c r="B1987" s="2"/>
      <c r="C1987" s="8" t="s">
        <v>1875</v>
      </c>
      <c r="D1987" s="8" t="s">
        <v>9</v>
      </c>
      <c r="E1987" s="8">
        <v>18</v>
      </c>
      <c r="F1987" s="8">
        <v>341.61</v>
      </c>
    </row>
    <row r="1988" spans="1:6" x14ac:dyDescent="0.25">
      <c r="A1988" s="1"/>
      <c r="B1988" s="2"/>
      <c r="C1988" s="8" t="s">
        <v>1876</v>
      </c>
      <c r="D1988" s="8" t="s">
        <v>9</v>
      </c>
      <c r="E1988" s="8">
        <v>15</v>
      </c>
      <c r="F1988" s="8">
        <v>268.85</v>
      </c>
    </row>
    <row r="1989" spans="1:6" x14ac:dyDescent="0.25">
      <c r="A1989" s="1"/>
      <c r="B1989" s="2"/>
      <c r="C1989" s="8" t="s">
        <v>1877</v>
      </c>
      <c r="D1989" s="8" t="s">
        <v>9</v>
      </c>
      <c r="E1989" s="8">
        <v>141</v>
      </c>
      <c r="F1989" s="8">
        <v>2716.01</v>
      </c>
    </row>
    <row r="1990" spans="1:6" x14ac:dyDescent="0.25">
      <c r="A1990" s="1"/>
      <c r="B1990" s="2"/>
      <c r="C1990" s="8" t="s">
        <v>1878</v>
      </c>
      <c r="D1990" s="8" t="s">
        <v>9</v>
      </c>
      <c r="E1990" s="8">
        <v>28</v>
      </c>
      <c r="F1990" s="8">
        <v>591.64</v>
      </c>
    </row>
    <row r="1991" spans="1:6" x14ac:dyDescent="0.25">
      <c r="A1991" s="1"/>
      <c r="B1991" s="2"/>
      <c r="C1991" s="8" t="s">
        <v>1879</v>
      </c>
      <c r="D1991" s="8" t="s">
        <v>9</v>
      </c>
      <c r="E1991" s="8">
        <v>133</v>
      </c>
      <c r="F1991" s="8">
        <v>2618.3</v>
      </c>
    </row>
    <row r="1992" spans="1:6" x14ac:dyDescent="0.25">
      <c r="A1992" s="1"/>
      <c r="B1992" s="2"/>
      <c r="C1992" s="8" t="s">
        <v>1880</v>
      </c>
      <c r="D1992" s="8" t="s">
        <v>9</v>
      </c>
      <c r="E1992" s="8">
        <v>78</v>
      </c>
      <c r="F1992" s="8">
        <v>1582.07</v>
      </c>
    </row>
    <row r="1993" spans="1:6" x14ac:dyDescent="0.25">
      <c r="A1993" s="1"/>
      <c r="B1993" s="2"/>
      <c r="C1993" s="8" t="s">
        <v>1881</v>
      </c>
      <c r="D1993" s="8" t="s">
        <v>9</v>
      </c>
      <c r="E1993" s="8">
        <v>43</v>
      </c>
      <c r="F1993" s="8">
        <v>772.32</v>
      </c>
    </row>
    <row r="1994" spans="1:6" x14ac:dyDescent="0.25">
      <c r="A1994" s="1"/>
      <c r="B1994" s="2"/>
      <c r="C1994" s="8" t="s">
        <v>1882</v>
      </c>
      <c r="D1994" s="8" t="s">
        <v>9</v>
      </c>
      <c r="E1994" s="8">
        <v>102</v>
      </c>
      <c r="F1994" s="8">
        <v>2071.06</v>
      </c>
    </row>
    <row r="1995" spans="1:6" x14ac:dyDescent="0.25">
      <c r="A1995" s="1"/>
      <c r="B1995" s="2"/>
      <c r="C1995" s="8" t="s">
        <v>1883</v>
      </c>
      <c r="D1995" s="8" t="s">
        <v>9</v>
      </c>
      <c r="E1995" s="8">
        <v>44</v>
      </c>
      <c r="F1995" s="8">
        <v>907.27</v>
      </c>
    </row>
    <row r="1996" spans="1:6" x14ac:dyDescent="0.25">
      <c r="A1996" s="1"/>
      <c r="B1996" s="2"/>
      <c r="C1996" s="8" t="s">
        <v>1884</v>
      </c>
      <c r="D1996" s="8" t="s">
        <v>9</v>
      </c>
      <c r="E1996" s="8">
        <v>31</v>
      </c>
      <c r="F1996" s="8">
        <v>664.69</v>
      </c>
    </row>
    <row r="1997" spans="1:6" x14ac:dyDescent="0.25">
      <c r="A1997" s="1"/>
      <c r="B1997" s="2"/>
      <c r="C1997" s="8" t="s">
        <v>1885</v>
      </c>
      <c r="D1997" s="8" t="s">
        <v>9</v>
      </c>
      <c r="E1997" s="8">
        <v>41</v>
      </c>
      <c r="F1997" s="8">
        <v>821.48</v>
      </c>
    </row>
    <row r="1998" spans="1:6" x14ac:dyDescent="0.25">
      <c r="A1998" s="1"/>
      <c r="B1998" s="2"/>
      <c r="C1998" s="8" t="s">
        <v>1886</v>
      </c>
      <c r="D1998" s="8" t="s">
        <v>9</v>
      </c>
      <c r="E1998" s="8">
        <v>60</v>
      </c>
      <c r="F1998" s="8">
        <v>1106.36</v>
      </c>
    </row>
    <row r="1999" spans="1:6" x14ac:dyDescent="0.25">
      <c r="A1999" s="1"/>
      <c r="B1999" s="2"/>
      <c r="C1999" s="8" t="s">
        <v>1887</v>
      </c>
      <c r="D1999" s="8" t="s">
        <v>9</v>
      </c>
      <c r="E1999" s="8">
        <v>141</v>
      </c>
      <c r="F1999" s="8">
        <v>2861.78</v>
      </c>
    </row>
    <row r="2000" spans="1:6" x14ac:dyDescent="0.25">
      <c r="A2000" s="1"/>
      <c r="B2000" s="2"/>
      <c r="C2000" s="8" t="s">
        <v>1888</v>
      </c>
      <c r="D2000" s="8" t="s">
        <v>9</v>
      </c>
      <c r="E2000" s="8">
        <v>8</v>
      </c>
      <c r="F2000" s="8">
        <v>158.49</v>
      </c>
    </row>
    <row r="2001" spans="1:6" x14ac:dyDescent="0.25">
      <c r="A2001" s="1"/>
      <c r="B2001" s="2"/>
      <c r="C2001" s="8" t="s">
        <v>1889</v>
      </c>
      <c r="D2001" s="8" t="s">
        <v>9</v>
      </c>
      <c r="E2001" s="8">
        <v>18</v>
      </c>
      <c r="F2001" s="8">
        <v>318.8</v>
      </c>
    </row>
    <row r="2002" spans="1:6" x14ac:dyDescent="0.25">
      <c r="A2002" s="1"/>
      <c r="B2002" s="2"/>
      <c r="C2002" s="8" t="s">
        <v>1890</v>
      </c>
      <c r="D2002" s="8" t="s">
        <v>9</v>
      </c>
      <c r="E2002" s="8">
        <v>50</v>
      </c>
      <c r="F2002" s="8">
        <v>840.03</v>
      </c>
    </row>
    <row r="2003" spans="1:6" x14ac:dyDescent="0.25">
      <c r="A2003" s="1"/>
      <c r="B2003" s="2"/>
      <c r="C2003" s="8" t="s">
        <v>1891</v>
      </c>
      <c r="D2003" s="8" t="s">
        <v>9</v>
      </c>
      <c r="E2003" s="8">
        <v>65</v>
      </c>
      <c r="F2003" s="8">
        <v>1279.26</v>
      </c>
    </row>
    <row r="2004" spans="1:6" x14ac:dyDescent="0.25">
      <c r="A2004" s="1"/>
      <c r="B2004" s="2"/>
      <c r="C2004" s="8" t="s">
        <v>1892</v>
      </c>
      <c r="D2004" s="8" t="s">
        <v>9</v>
      </c>
      <c r="E2004" s="8">
        <v>23</v>
      </c>
      <c r="F2004" s="8">
        <v>468.08</v>
      </c>
    </row>
    <row r="2005" spans="1:6" x14ac:dyDescent="0.25">
      <c r="A2005" s="1"/>
      <c r="B2005" s="2"/>
      <c r="C2005" s="8" t="s">
        <v>1893</v>
      </c>
      <c r="D2005" s="8" t="s">
        <v>9</v>
      </c>
      <c r="E2005" s="8">
        <v>118</v>
      </c>
      <c r="F2005" s="8">
        <v>2265.09</v>
      </c>
    </row>
    <row r="2006" spans="1:6" x14ac:dyDescent="0.25">
      <c r="A2006" s="1"/>
      <c r="B2006" s="2"/>
      <c r="C2006" s="8" t="s">
        <v>1894</v>
      </c>
      <c r="D2006" s="8" t="s">
        <v>9</v>
      </c>
      <c r="E2006" s="8">
        <v>16</v>
      </c>
      <c r="F2006" s="8">
        <v>320.4</v>
      </c>
    </row>
    <row r="2007" spans="1:6" x14ac:dyDescent="0.25">
      <c r="A2007" s="1"/>
      <c r="B2007" s="2"/>
      <c r="C2007" s="8" t="s">
        <v>1895</v>
      </c>
      <c r="D2007" s="8" t="s">
        <v>9</v>
      </c>
      <c r="E2007" s="8">
        <v>12</v>
      </c>
      <c r="F2007" s="8">
        <v>218.45</v>
      </c>
    </row>
    <row r="2008" spans="1:6" x14ac:dyDescent="0.25">
      <c r="A2008" s="1"/>
      <c r="B2008" s="2"/>
      <c r="C2008" s="8" t="s">
        <v>1896</v>
      </c>
      <c r="D2008" s="8" t="s">
        <v>9</v>
      </c>
      <c r="E2008" s="8">
        <v>9</v>
      </c>
      <c r="F2008" s="8">
        <v>155.75</v>
      </c>
    </row>
    <row r="2009" spans="1:6" x14ac:dyDescent="0.25">
      <c r="A2009" s="1"/>
      <c r="B2009" s="2"/>
      <c r="C2009" s="8" t="s">
        <v>1897</v>
      </c>
      <c r="D2009" s="8" t="s">
        <v>9</v>
      </c>
      <c r="E2009" s="8">
        <v>21</v>
      </c>
      <c r="F2009" s="8">
        <v>344.45</v>
      </c>
    </row>
    <row r="2010" spans="1:6" x14ac:dyDescent="0.25">
      <c r="A2010" s="1"/>
      <c r="B2010" s="2"/>
      <c r="C2010" s="8" t="s">
        <v>1898</v>
      </c>
      <c r="D2010" s="8" t="s">
        <v>9</v>
      </c>
      <c r="E2010" s="8">
        <v>16</v>
      </c>
      <c r="F2010" s="8">
        <v>307.35</v>
      </c>
    </row>
    <row r="2011" spans="1:6" x14ac:dyDescent="0.25">
      <c r="A2011" s="1"/>
      <c r="B2011" s="2"/>
      <c r="C2011" s="8" t="s">
        <v>1899</v>
      </c>
      <c r="D2011" s="8" t="s">
        <v>9</v>
      </c>
      <c r="E2011" s="8">
        <v>49</v>
      </c>
      <c r="F2011" s="8">
        <v>910.41</v>
      </c>
    </row>
    <row r="2012" spans="1:6" x14ac:dyDescent="0.25">
      <c r="A2012" s="1"/>
      <c r="B2012" s="2"/>
      <c r="C2012" s="8" t="s">
        <v>1900</v>
      </c>
      <c r="D2012" s="8" t="s">
        <v>9</v>
      </c>
      <c r="E2012" s="8">
        <v>10</v>
      </c>
      <c r="F2012" s="8">
        <v>203.74</v>
      </c>
    </row>
    <row r="2013" spans="1:6" x14ac:dyDescent="0.25">
      <c r="A2013" s="1"/>
      <c r="B2013" s="2"/>
      <c r="C2013" s="8" t="s">
        <v>1901</v>
      </c>
      <c r="D2013" s="8" t="s">
        <v>9</v>
      </c>
      <c r="E2013" s="8">
        <v>4</v>
      </c>
      <c r="F2013" s="8">
        <v>89.53</v>
      </c>
    </row>
    <row r="2014" spans="1:6" x14ac:dyDescent="0.25">
      <c r="A2014" s="1"/>
      <c r="B2014" s="2"/>
      <c r="C2014" s="8" t="s">
        <v>1902</v>
      </c>
      <c r="D2014" s="8" t="s">
        <v>9</v>
      </c>
      <c r="E2014" s="8">
        <v>6</v>
      </c>
      <c r="F2014" s="8">
        <v>113.07</v>
      </c>
    </row>
    <row r="2016" spans="1:7" x14ac:dyDescent="0.25">
      <c r="A2016" s="7">
        <v>46267</v>
      </c>
      <c r="B2016" s="8" t="s">
        <v>1903</v>
      </c>
      <c r="C2016" s="8" t="s">
        <v>1904</v>
      </c>
      <c r="D2016" s="8" t="s">
        <v>216</v>
      </c>
      <c r="E2016" s="8">
        <v>113</v>
      </c>
      <c r="F2016" s="8">
        <v>2060</v>
      </c>
      <c r="G2016" s="7">
        <v>46267</v>
      </c>
    </row>
    <row r="2017" spans="1:6" x14ac:dyDescent="0.25">
      <c r="A2017" s="1"/>
      <c r="B2017" s="2"/>
      <c r="C2017" s="8" t="s">
        <v>1905</v>
      </c>
      <c r="D2017" s="8" t="s">
        <v>216</v>
      </c>
      <c r="E2017" s="8">
        <v>45</v>
      </c>
      <c r="F2017" s="8">
        <v>720</v>
      </c>
    </row>
    <row r="2018" spans="1:6" x14ac:dyDescent="0.25">
      <c r="A2018" s="1"/>
      <c r="B2018" s="2"/>
      <c r="C2018" s="8" t="s">
        <v>1906</v>
      </c>
      <c r="D2018" s="8" t="s">
        <v>297</v>
      </c>
      <c r="E2018" s="8">
        <v>156</v>
      </c>
      <c r="F2018" s="8">
        <v>3015</v>
      </c>
    </row>
    <row r="2019" spans="1:6" x14ac:dyDescent="0.25">
      <c r="A2019" s="1"/>
      <c r="B2019" s="2"/>
      <c r="C2019" s="8" t="s">
        <v>1907</v>
      </c>
      <c r="D2019" s="8" t="s">
        <v>216</v>
      </c>
      <c r="E2019" s="8">
        <v>105</v>
      </c>
      <c r="F2019" s="8">
        <v>1939</v>
      </c>
    </row>
    <row r="2021" spans="1:7" x14ac:dyDescent="0.25">
      <c r="A2021" s="7">
        <v>46267</v>
      </c>
      <c r="B2021" s="8" t="s">
        <v>212</v>
      </c>
      <c r="C2021" s="8" t="s">
        <v>1383</v>
      </c>
      <c r="D2021" s="8" t="s">
        <v>216</v>
      </c>
      <c r="E2021" s="8">
        <v>36</v>
      </c>
      <c r="F2021" s="8">
        <v>682.97</v>
      </c>
      <c r="G2021" s="7">
        <v>46267</v>
      </c>
    </row>
    <row r="2022" spans="1:6" x14ac:dyDescent="0.25">
      <c r="A2022" s="1"/>
      <c r="B2022" s="2"/>
      <c r="C2022" s="8" t="s">
        <v>1384</v>
      </c>
      <c r="D2022" s="8" t="s">
        <v>347</v>
      </c>
      <c r="E2022" s="8">
        <v>83</v>
      </c>
      <c r="F2022" s="8">
        <v>1630.84</v>
      </c>
    </row>
    <row r="2023" spans="1:6" x14ac:dyDescent="0.25">
      <c r="A2023" s="1"/>
      <c r="B2023" s="2"/>
      <c r="C2023" s="8" t="s">
        <v>1385</v>
      </c>
      <c r="D2023" s="8" t="s">
        <v>347</v>
      </c>
      <c r="E2023" s="8">
        <v>55</v>
      </c>
      <c r="F2023" s="8">
        <v>1035.8</v>
      </c>
    </row>
    <row r="2024" spans="1:6" x14ac:dyDescent="0.25">
      <c r="A2024" s="1"/>
      <c r="B2024" s="2"/>
      <c r="C2024" s="8" t="s">
        <v>1908</v>
      </c>
      <c r="D2024" s="8" t="s">
        <v>204</v>
      </c>
      <c r="E2024" s="8">
        <v>51</v>
      </c>
      <c r="F2024" s="8">
        <v>1063.34</v>
      </c>
    </row>
    <row r="2025" spans="1:6" x14ac:dyDescent="0.25">
      <c r="A2025" s="1"/>
      <c r="B2025" s="2"/>
      <c r="C2025" s="8" t="s">
        <v>1909</v>
      </c>
      <c r="D2025" s="8" t="s">
        <v>214</v>
      </c>
      <c r="E2025" s="8">
        <v>43</v>
      </c>
      <c r="F2025" s="8">
        <v>867.87</v>
      </c>
    </row>
    <row r="2026" spans="1:6" x14ac:dyDescent="0.25">
      <c r="A2026" s="1"/>
      <c r="B2026" s="2"/>
      <c r="C2026" s="8" t="s">
        <v>1910</v>
      </c>
      <c r="D2026" s="8" t="s">
        <v>204</v>
      </c>
      <c r="E2026" s="8">
        <v>120</v>
      </c>
      <c r="F2026" s="8">
        <v>1578.79</v>
      </c>
    </row>
    <row r="2027" spans="1:6" x14ac:dyDescent="0.25">
      <c r="A2027" s="1"/>
      <c r="B2027" s="2"/>
      <c r="C2027" s="8" t="s">
        <v>1911</v>
      </c>
      <c r="D2027" s="8" t="s">
        <v>214</v>
      </c>
      <c r="E2027" s="8">
        <v>156</v>
      </c>
      <c r="F2027" s="8">
        <v>3199.29</v>
      </c>
    </row>
    <row r="2028" spans="1:6" x14ac:dyDescent="0.25">
      <c r="A2028" s="1"/>
      <c r="B2028" s="2"/>
      <c r="C2028" s="8" t="s">
        <v>1912</v>
      </c>
      <c r="D2028" s="8" t="s">
        <v>236</v>
      </c>
      <c r="E2028" s="8">
        <v>80</v>
      </c>
      <c r="F2028" s="8">
        <v>1551.5</v>
      </c>
    </row>
    <row r="2029" spans="1:6" x14ac:dyDescent="0.25">
      <c r="A2029" s="1"/>
      <c r="B2029" s="2"/>
      <c r="C2029" s="8" t="s">
        <v>1913</v>
      </c>
      <c r="D2029" s="8" t="s">
        <v>214</v>
      </c>
      <c r="E2029" s="8">
        <v>100</v>
      </c>
      <c r="F2029" s="8">
        <v>1930.17</v>
      </c>
    </row>
    <row r="2030" spans="1:6" x14ac:dyDescent="0.25">
      <c r="A2030" s="1"/>
      <c r="B2030" s="2"/>
      <c r="C2030" s="8" t="s">
        <v>1914</v>
      </c>
      <c r="D2030" s="8" t="s">
        <v>214</v>
      </c>
      <c r="E2030" s="8">
        <v>56</v>
      </c>
      <c r="F2030" s="8">
        <v>1074.17</v>
      </c>
    </row>
    <row r="2031" spans="1:6" x14ac:dyDescent="0.25">
      <c r="A2031" s="1"/>
      <c r="B2031" s="2"/>
      <c r="C2031" s="8" t="s">
        <v>1915</v>
      </c>
      <c r="D2031" s="8" t="s">
        <v>204</v>
      </c>
      <c r="E2031" s="8">
        <v>75</v>
      </c>
      <c r="F2031" s="8">
        <v>1517.21</v>
      </c>
    </row>
    <row r="2032" spans="1:6" x14ac:dyDescent="0.25">
      <c r="A2032" s="1"/>
      <c r="B2032" s="2"/>
      <c r="C2032" s="8" t="s">
        <v>1916</v>
      </c>
      <c r="D2032" s="8" t="s">
        <v>204</v>
      </c>
      <c r="E2032" s="8">
        <v>96</v>
      </c>
      <c r="F2032" s="8">
        <v>1910.57</v>
      </c>
    </row>
    <row r="2033" spans="1:6" x14ac:dyDescent="0.25">
      <c r="A2033" s="1"/>
      <c r="B2033" s="2"/>
      <c r="C2033" s="8" t="s">
        <v>1917</v>
      </c>
      <c r="D2033" s="8" t="s">
        <v>236</v>
      </c>
      <c r="E2033" s="8">
        <v>25</v>
      </c>
      <c r="F2033" s="8">
        <v>492.88</v>
      </c>
    </row>
    <row r="2034" spans="1:6" x14ac:dyDescent="0.25">
      <c r="A2034" s="1"/>
      <c r="B2034" s="2"/>
      <c r="C2034" s="8" t="s">
        <v>1918</v>
      </c>
      <c r="D2034" s="8" t="s">
        <v>204</v>
      </c>
      <c r="E2034" s="8">
        <v>105</v>
      </c>
      <c r="F2034" s="8">
        <v>2136.08</v>
      </c>
    </row>
    <row r="2035" spans="1:6" x14ac:dyDescent="0.25">
      <c r="A2035" s="1"/>
      <c r="B2035" s="2"/>
      <c r="C2035" s="8" t="s">
        <v>1919</v>
      </c>
      <c r="D2035" s="8" t="s">
        <v>236</v>
      </c>
      <c r="E2035" s="8">
        <v>45</v>
      </c>
      <c r="F2035" s="8">
        <v>798.22</v>
      </c>
    </row>
    <row r="2036" spans="1:6" x14ac:dyDescent="0.25">
      <c r="A2036" s="1"/>
      <c r="B2036" s="2"/>
      <c r="C2036" s="8" t="s">
        <v>1920</v>
      </c>
      <c r="D2036" s="8" t="s">
        <v>236</v>
      </c>
      <c r="E2036" s="8">
        <v>60</v>
      </c>
      <c r="F2036" s="8">
        <v>1124.3</v>
      </c>
    </row>
    <row r="2037" spans="1:6" x14ac:dyDescent="0.25">
      <c r="A2037" s="1"/>
      <c r="B2037" s="2"/>
      <c r="C2037" s="8" t="s">
        <v>1921</v>
      </c>
      <c r="D2037" s="8" t="s">
        <v>204</v>
      </c>
      <c r="E2037" s="8">
        <v>156</v>
      </c>
      <c r="F2037" s="8">
        <v>3156.66</v>
      </c>
    </row>
    <row r="2038" spans="1:6" x14ac:dyDescent="0.25">
      <c r="A2038" s="1"/>
      <c r="B2038" s="2"/>
      <c r="C2038" s="8" t="s">
        <v>1922</v>
      </c>
      <c r="D2038" s="8" t="s">
        <v>204</v>
      </c>
      <c r="E2038" s="8">
        <v>156</v>
      </c>
      <c r="F2038" s="8">
        <v>3146.83</v>
      </c>
    </row>
    <row r="2039" spans="1:6" x14ac:dyDescent="0.25">
      <c r="A2039" s="1"/>
      <c r="B2039" s="2"/>
      <c r="C2039" s="8" t="s">
        <v>1923</v>
      </c>
      <c r="D2039" s="8" t="s">
        <v>204</v>
      </c>
      <c r="E2039" s="8">
        <v>156</v>
      </c>
      <c r="F2039" s="8">
        <v>3081.5</v>
      </c>
    </row>
    <row r="2040" spans="1:6" x14ac:dyDescent="0.25">
      <c r="A2040" s="1"/>
      <c r="B2040" s="2"/>
      <c r="C2040" s="8" t="s">
        <v>1924</v>
      </c>
      <c r="D2040" s="8" t="s">
        <v>204</v>
      </c>
      <c r="E2040" s="8">
        <v>105</v>
      </c>
      <c r="F2040" s="8">
        <v>2029.01</v>
      </c>
    </row>
    <row r="2041" spans="1:6" x14ac:dyDescent="0.25">
      <c r="A2041" s="1"/>
      <c r="B2041" s="2"/>
      <c r="C2041" s="8" t="s">
        <v>1925</v>
      </c>
      <c r="D2041" s="8" t="s">
        <v>216</v>
      </c>
      <c r="E2041" s="8">
        <v>134</v>
      </c>
      <c r="F2041" s="8">
        <v>2699.7</v>
      </c>
    </row>
    <row r="2042" spans="1:6" x14ac:dyDescent="0.25">
      <c r="A2042" s="1"/>
      <c r="B2042" s="2"/>
      <c r="C2042" s="8" t="s">
        <v>1926</v>
      </c>
      <c r="D2042" s="8" t="s">
        <v>216</v>
      </c>
      <c r="E2042" s="8">
        <v>134</v>
      </c>
      <c r="F2042" s="8">
        <v>2726.8</v>
      </c>
    </row>
    <row r="2043" spans="1:6" x14ac:dyDescent="0.25">
      <c r="A2043" s="1"/>
      <c r="B2043" s="2"/>
      <c r="C2043" s="8" t="s">
        <v>1927</v>
      </c>
      <c r="D2043" s="8" t="s">
        <v>216</v>
      </c>
      <c r="E2043" s="8">
        <v>134</v>
      </c>
      <c r="F2043" s="8">
        <v>2831.94</v>
      </c>
    </row>
    <row r="2044" spans="1:6" x14ac:dyDescent="0.25">
      <c r="A2044" s="1"/>
      <c r="B2044" s="2"/>
      <c r="C2044" s="8" t="s">
        <v>1928</v>
      </c>
      <c r="D2044" s="8" t="s">
        <v>216</v>
      </c>
      <c r="E2044" s="8">
        <v>134</v>
      </c>
      <c r="F2044" s="8">
        <v>2741.12</v>
      </c>
    </row>
    <row r="2046" spans="1:7" x14ac:dyDescent="0.25">
      <c r="A2046" s="7">
        <v>46267</v>
      </c>
      <c r="B2046" s="8" t="s">
        <v>1903</v>
      </c>
      <c r="C2046" s="8" t="s">
        <v>1904</v>
      </c>
      <c r="D2046" s="8" t="s">
        <v>216</v>
      </c>
      <c r="E2046" s="8">
        <v>113</v>
      </c>
      <c r="F2046" s="8">
        <v>2060</v>
      </c>
      <c r="G2046" s="7">
        <v>46267</v>
      </c>
    </row>
    <row r="2047" spans="1:6" x14ac:dyDescent="0.25">
      <c r="A2047" s="1"/>
      <c r="B2047" s="2"/>
      <c r="C2047" s="8" t="s">
        <v>1905</v>
      </c>
      <c r="D2047" s="8" t="s">
        <v>216</v>
      </c>
      <c r="E2047" s="8">
        <v>45</v>
      </c>
      <c r="F2047" s="8">
        <v>720</v>
      </c>
    </row>
    <row r="2048" spans="1:6" x14ac:dyDescent="0.25">
      <c r="A2048" s="1"/>
      <c r="B2048" s="2"/>
      <c r="C2048" s="8" t="s">
        <v>1906</v>
      </c>
      <c r="D2048" s="8" t="s">
        <v>297</v>
      </c>
      <c r="E2048" s="8">
        <v>156</v>
      </c>
      <c r="F2048" s="8">
        <v>3015</v>
      </c>
    </row>
    <row r="2049" spans="1:6" x14ac:dyDescent="0.25">
      <c r="A2049" s="1"/>
      <c r="B2049" s="2"/>
      <c r="C2049" s="8" t="s">
        <v>1907</v>
      </c>
      <c r="D2049" s="8" t="s">
        <v>216</v>
      </c>
      <c r="E2049" s="8">
        <v>105</v>
      </c>
      <c r="F2049" s="8">
        <v>1939</v>
      </c>
    </row>
    <row r="2051" spans="1:7" x14ac:dyDescent="0.25">
      <c r="A2051" s="7">
        <v>46267</v>
      </c>
      <c r="B2051" s="8" t="s">
        <v>212</v>
      </c>
      <c r="C2051" s="8" t="s">
        <v>1929</v>
      </c>
      <c r="D2051" s="8" t="s">
        <v>342</v>
      </c>
      <c r="E2051" s="8">
        <v>129</v>
      </c>
      <c r="F2051" s="8">
        <v>2563.8</v>
      </c>
      <c r="G2051" s="7">
        <v>46267</v>
      </c>
    </row>
    <row r="2052" spans="1:6" x14ac:dyDescent="0.25">
      <c r="A2052" s="1"/>
      <c r="B2052" s="2"/>
      <c r="C2052" s="8" t="s">
        <v>1930</v>
      </c>
      <c r="D2052" s="8" t="s">
        <v>342</v>
      </c>
      <c r="E2052" s="8">
        <v>27</v>
      </c>
      <c r="F2052" s="8">
        <v>467.94</v>
      </c>
    </row>
    <row r="2054" spans="1:7" x14ac:dyDescent="0.25">
      <c r="A2054" s="7">
        <v>46267</v>
      </c>
      <c r="B2054" s="8" t="s">
        <v>120</v>
      </c>
      <c r="C2054" s="8" t="s">
        <v>1931</v>
      </c>
      <c r="D2054" s="8" t="s">
        <v>42</v>
      </c>
      <c r="E2054" s="8">
        <v>101</v>
      </c>
      <c r="F2054" s="8">
        <v>2078.26</v>
      </c>
      <c r="G2054" s="7">
        <v>46267</v>
      </c>
    </row>
    <row r="2055" spans="1:6" x14ac:dyDescent="0.25">
      <c r="A2055" s="1"/>
      <c r="B2055" s="2"/>
      <c r="C2055" s="8" t="s">
        <v>1932</v>
      </c>
      <c r="D2055" s="8" t="s">
        <v>42</v>
      </c>
      <c r="E2055" s="8">
        <v>40</v>
      </c>
      <c r="F2055" s="8">
        <v>735.79</v>
      </c>
    </row>
    <row r="2056" spans="1:6" x14ac:dyDescent="0.25">
      <c r="A2056" s="1"/>
      <c r="B2056" s="2"/>
      <c r="C2056" s="8" t="s">
        <v>1933</v>
      </c>
      <c r="D2056" s="8" t="s">
        <v>42</v>
      </c>
      <c r="E2056" s="8">
        <v>72</v>
      </c>
      <c r="F2056" s="8">
        <v>1317.66</v>
      </c>
    </row>
    <row r="2057" spans="1:6" x14ac:dyDescent="0.25">
      <c r="A2057" s="1"/>
      <c r="B2057" s="2"/>
      <c r="C2057" s="8" t="s">
        <v>1934</v>
      </c>
      <c r="D2057" s="8" t="s">
        <v>42</v>
      </c>
      <c r="E2057" s="8">
        <v>45</v>
      </c>
      <c r="F2057" s="8">
        <v>231.9</v>
      </c>
    </row>
    <row r="2058" spans="1:6" x14ac:dyDescent="0.25">
      <c r="A2058" s="1"/>
      <c r="B2058" s="2"/>
      <c r="C2058" s="8" t="s">
        <v>1935</v>
      </c>
      <c r="D2058" s="8" t="s">
        <v>42</v>
      </c>
      <c r="E2058" s="8">
        <v>129</v>
      </c>
      <c r="F2058" s="8">
        <v>2014.46</v>
      </c>
    </row>
    <row r="2059" spans="1:6" x14ac:dyDescent="0.25">
      <c r="A2059" s="1"/>
      <c r="B2059" s="2"/>
      <c r="C2059" s="8" t="s">
        <v>1936</v>
      </c>
      <c r="D2059" s="8" t="s">
        <v>42</v>
      </c>
      <c r="E2059" s="8">
        <v>102</v>
      </c>
      <c r="F2059" s="8">
        <v>1946.27</v>
      </c>
    </row>
    <row r="2060" spans="1:6" x14ac:dyDescent="0.25">
      <c r="A2060" s="1"/>
      <c r="B2060" s="2"/>
      <c r="C2060" s="8" t="s">
        <v>1937</v>
      </c>
      <c r="D2060" s="8" t="s">
        <v>42</v>
      </c>
      <c r="E2060" s="8">
        <v>38</v>
      </c>
      <c r="F2060" s="8">
        <v>747.19</v>
      </c>
    </row>
    <row r="2061" spans="1:6" x14ac:dyDescent="0.25">
      <c r="A2061" s="1"/>
      <c r="B2061" s="2"/>
      <c r="C2061" s="8" t="s">
        <v>1938</v>
      </c>
      <c r="D2061" s="8" t="s">
        <v>42</v>
      </c>
      <c r="E2061" s="8">
        <v>45</v>
      </c>
      <c r="F2061" s="8">
        <v>233.99</v>
      </c>
    </row>
    <row r="2062" spans="1:6" x14ac:dyDescent="0.25">
      <c r="A2062" s="1"/>
      <c r="B2062" s="2"/>
      <c r="C2062" s="8" t="s">
        <v>1939</v>
      </c>
      <c r="D2062" s="8" t="s">
        <v>42</v>
      </c>
      <c r="E2062" s="8">
        <v>58</v>
      </c>
      <c r="F2062" s="8">
        <v>1147.95</v>
      </c>
    </row>
    <row r="2063" spans="1:6" x14ac:dyDescent="0.25">
      <c r="A2063" s="1"/>
      <c r="B2063" s="2"/>
      <c r="C2063" s="8" t="s">
        <v>1940</v>
      </c>
      <c r="D2063" s="8" t="s">
        <v>42</v>
      </c>
      <c r="E2063" s="8">
        <v>42</v>
      </c>
      <c r="F2063" s="8">
        <v>795.2</v>
      </c>
    </row>
    <row r="2064" spans="1:6" x14ac:dyDescent="0.25">
      <c r="A2064" s="1"/>
      <c r="B2064" s="2"/>
      <c r="C2064" s="8" t="s">
        <v>1941</v>
      </c>
      <c r="D2064" s="8" t="s">
        <v>42</v>
      </c>
      <c r="E2064" s="8">
        <v>69</v>
      </c>
      <c r="F2064" s="8">
        <v>1616.46</v>
      </c>
    </row>
    <row r="2065" spans="1:6" x14ac:dyDescent="0.25">
      <c r="A2065" s="1"/>
      <c r="B2065" s="2"/>
      <c r="C2065" s="8" t="s">
        <v>1942</v>
      </c>
      <c r="D2065" s="8" t="s">
        <v>42</v>
      </c>
      <c r="E2065" s="8">
        <v>75</v>
      </c>
      <c r="F2065" s="8">
        <v>1584.36</v>
      </c>
    </row>
    <row r="2066" spans="1:6" x14ac:dyDescent="0.25">
      <c r="A2066" s="1"/>
      <c r="B2066" s="2"/>
      <c r="C2066" s="8" t="s">
        <v>1943</v>
      </c>
      <c r="D2066" s="8" t="s">
        <v>42</v>
      </c>
      <c r="E2066" s="8">
        <v>27</v>
      </c>
      <c r="F2066" s="8">
        <v>562.84</v>
      </c>
    </row>
    <row r="2067" spans="1:6" x14ac:dyDescent="0.25">
      <c r="A2067" s="1"/>
      <c r="B2067" s="2"/>
      <c r="C2067" s="8" t="s">
        <v>1944</v>
      </c>
      <c r="D2067" s="8" t="s">
        <v>42</v>
      </c>
      <c r="E2067" s="8">
        <v>21</v>
      </c>
      <c r="F2067" s="8">
        <v>472.64</v>
      </c>
    </row>
    <row r="2068" spans="1:6" x14ac:dyDescent="0.25">
      <c r="A2068" s="1"/>
      <c r="B2068" s="2"/>
      <c r="C2068" s="8" t="s">
        <v>1945</v>
      </c>
      <c r="D2068" s="8" t="s">
        <v>42</v>
      </c>
      <c r="E2068" s="8">
        <v>80</v>
      </c>
      <c r="F2068" s="8">
        <v>1559.36</v>
      </c>
    </row>
    <row r="2069" spans="1:6" x14ac:dyDescent="0.25">
      <c r="A2069" s="1"/>
      <c r="B2069" s="2"/>
      <c r="C2069" s="8" t="s">
        <v>1946</v>
      </c>
      <c r="D2069" s="8" t="s">
        <v>42</v>
      </c>
      <c r="E2069" s="8">
        <v>61</v>
      </c>
      <c r="F2069" s="8">
        <v>1173.76</v>
      </c>
    </row>
    <row r="2070" spans="1:6" x14ac:dyDescent="0.25">
      <c r="A2070" s="1"/>
      <c r="B2070" s="2"/>
      <c r="C2070" s="8" t="s">
        <v>1947</v>
      </c>
      <c r="D2070" s="8" t="s">
        <v>42</v>
      </c>
      <c r="E2070" s="8">
        <v>32</v>
      </c>
      <c r="F2070" s="8">
        <v>607.19</v>
      </c>
    </row>
    <row r="2071" spans="1:6" x14ac:dyDescent="0.25">
      <c r="A2071" s="1"/>
      <c r="B2071" s="2"/>
      <c r="C2071" s="8" t="s">
        <v>1948</v>
      </c>
      <c r="D2071" s="8" t="s">
        <v>42</v>
      </c>
      <c r="E2071" s="8">
        <v>70</v>
      </c>
      <c r="F2071" s="8">
        <v>1280.59</v>
      </c>
    </row>
    <row r="2072" spans="1:6" x14ac:dyDescent="0.25">
      <c r="A2072" s="1"/>
      <c r="B2072" s="2"/>
      <c r="C2072" s="8" t="s">
        <v>1949</v>
      </c>
      <c r="D2072" s="8" t="s">
        <v>42</v>
      </c>
      <c r="E2072" s="8">
        <v>31</v>
      </c>
      <c r="F2072" s="8">
        <v>603.68</v>
      </c>
    </row>
    <row r="2073" spans="1:6" x14ac:dyDescent="0.25">
      <c r="A2073" s="1"/>
      <c r="B2073" s="2"/>
      <c r="C2073" s="8" t="s">
        <v>1950</v>
      </c>
      <c r="D2073" s="8" t="s">
        <v>42</v>
      </c>
      <c r="E2073" s="8">
        <v>64</v>
      </c>
      <c r="F2073" s="8">
        <v>1078.25</v>
      </c>
    </row>
    <row r="2074" spans="1:6" x14ac:dyDescent="0.25">
      <c r="A2074" s="1"/>
      <c r="B2074" s="2"/>
      <c r="C2074" s="8" t="s">
        <v>1951</v>
      </c>
      <c r="D2074" s="8" t="s">
        <v>42</v>
      </c>
      <c r="E2074" s="8">
        <v>59</v>
      </c>
      <c r="F2074" s="8">
        <v>1207.47</v>
      </c>
    </row>
    <row r="2075" spans="1:6" x14ac:dyDescent="0.25">
      <c r="A2075" s="1"/>
      <c r="B2075" s="2"/>
      <c r="C2075" s="8" t="s">
        <v>1952</v>
      </c>
      <c r="D2075" s="8" t="s">
        <v>42</v>
      </c>
      <c r="E2075" s="8">
        <v>30</v>
      </c>
      <c r="F2075" s="8">
        <v>148.97</v>
      </c>
    </row>
    <row r="2076" spans="1:6" x14ac:dyDescent="0.25">
      <c r="A2076" s="1"/>
      <c r="B2076" s="2"/>
      <c r="C2076" s="8" t="s">
        <v>1953</v>
      </c>
      <c r="D2076" s="8" t="s">
        <v>42</v>
      </c>
      <c r="E2076" s="8">
        <v>26</v>
      </c>
      <c r="F2076" s="8">
        <v>517.19</v>
      </c>
    </row>
    <row r="2077" spans="1:6" x14ac:dyDescent="0.25">
      <c r="A2077" s="1"/>
      <c r="B2077" s="2"/>
      <c r="C2077" s="8" t="s">
        <v>1954</v>
      </c>
      <c r="D2077" s="8" t="s">
        <v>42</v>
      </c>
      <c r="E2077" s="8">
        <v>82</v>
      </c>
      <c r="F2077" s="8">
        <v>1568.49</v>
      </c>
    </row>
    <row r="2079" spans="1:7" x14ac:dyDescent="0.25">
      <c r="A2079" s="7">
        <v>46267</v>
      </c>
      <c r="B2079" s="8" t="s">
        <v>335</v>
      </c>
      <c r="C2079" s="8" t="s">
        <v>1955</v>
      </c>
      <c r="D2079" s="8" t="s">
        <v>20</v>
      </c>
      <c r="E2079" s="8">
        <v>149</v>
      </c>
      <c r="F2079" s="8">
        <v>2897.87</v>
      </c>
      <c r="G2079" s="7">
        <v>46267</v>
      </c>
    </row>
    <row r="2081" spans="1:7" x14ac:dyDescent="0.25">
      <c r="A2081" s="7">
        <v>46267</v>
      </c>
      <c r="B2081" s="8" t="s">
        <v>1101</v>
      </c>
      <c r="C2081" s="8" t="s">
        <v>1956</v>
      </c>
      <c r="D2081" s="8" t="s">
        <v>20</v>
      </c>
      <c r="E2081" s="8">
        <v>151</v>
      </c>
      <c r="F2081" s="8">
        <v>3004.71</v>
      </c>
      <c r="G2081" s="7">
        <v>46267</v>
      </c>
    </row>
    <row r="2082" spans="1:6" x14ac:dyDescent="0.25">
      <c r="A2082" s="1"/>
      <c r="B2082" s="2"/>
      <c r="C2082" s="8" t="s">
        <v>1957</v>
      </c>
      <c r="D2082" s="8" t="s">
        <v>20</v>
      </c>
      <c r="E2082" s="8">
        <v>156</v>
      </c>
      <c r="F2082" s="8">
        <v>3031.03</v>
      </c>
    </row>
    <row r="2083" spans="1:6" x14ac:dyDescent="0.25">
      <c r="A2083" s="1"/>
      <c r="B2083" s="2"/>
      <c r="C2083" s="8" t="s">
        <v>1958</v>
      </c>
      <c r="D2083" s="8" t="s">
        <v>20</v>
      </c>
      <c r="E2083" s="8">
        <v>98</v>
      </c>
      <c r="F2083" s="8">
        <v>1912.45</v>
      </c>
    </row>
    <row r="2084" spans="1:6" x14ac:dyDescent="0.25">
      <c r="A2084" s="1"/>
      <c r="B2084" s="2"/>
      <c r="C2084" s="8" t="s">
        <v>1959</v>
      </c>
      <c r="D2084" s="8" t="s">
        <v>20</v>
      </c>
      <c r="E2084" s="8">
        <v>156</v>
      </c>
      <c r="F2084" s="8">
        <v>3059.14</v>
      </c>
    </row>
    <row r="2085" spans="1:6" x14ac:dyDescent="0.25">
      <c r="A2085" s="1"/>
      <c r="B2085" s="2"/>
      <c r="C2085" s="8" t="s">
        <v>1960</v>
      </c>
      <c r="D2085" s="8" t="s">
        <v>20</v>
      </c>
      <c r="E2085" s="8">
        <v>64</v>
      </c>
      <c r="F2085" s="8">
        <v>1213.98</v>
      </c>
    </row>
    <row r="2086" spans="1:6" x14ac:dyDescent="0.25">
      <c r="A2086" s="1"/>
      <c r="B2086" s="2"/>
      <c r="C2086" s="8" t="s">
        <v>1961</v>
      </c>
      <c r="D2086" s="8" t="s">
        <v>20</v>
      </c>
      <c r="E2086" s="8">
        <v>156</v>
      </c>
      <c r="F2086" s="8">
        <v>2967.66</v>
      </c>
    </row>
    <row r="2087" spans="1:6" x14ac:dyDescent="0.25">
      <c r="A2087" s="1"/>
      <c r="B2087" s="2"/>
      <c r="C2087" s="8" t="s">
        <v>1962</v>
      </c>
      <c r="D2087" s="8" t="s">
        <v>20</v>
      </c>
      <c r="E2087" s="8">
        <v>266</v>
      </c>
      <c r="F2087" s="8">
        <v>5242.95</v>
      </c>
    </row>
    <row r="2088" spans="1:6" x14ac:dyDescent="0.25">
      <c r="A2088" s="1"/>
      <c r="B2088" s="2"/>
      <c r="C2088" s="8" t="s">
        <v>1963</v>
      </c>
      <c r="D2088" s="8" t="s">
        <v>20</v>
      </c>
      <c r="E2088" s="8">
        <v>258</v>
      </c>
      <c r="F2088" s="8">
        <v>4739.23</v>
      </c>
    </row>
    <row r="2089" spans="1:6" x14ac:dyDescent="0.25">
      <c r="A2089" s="1"/>
      <c r="B2089" s="2"/>
      <c r="C2089" s="8" t="s">
        <v>1964</v>
      </c>
      <c r="D2089" s="8" t="s">
        <v>20</v>
      </c>
      <c r="E2089" s="8">
        <v>156</v>
      </c>
      <c r="F2089" s="8">
        <v>2858.9</v>
      </c>
    </row>
    <row r="2090" spans="1:6" x14ac:dyDescent="0.25">
      <c r="A2090" s="1"/>
      <c r="B2090" s="2"/>
      <c r="C2090" s="8" t="s">
        <v>1965</v>
      </c>
      <c r="D2090" s="8" t="s">
        <v>20</v>
      </c>
      <c r="E2090" s="8">
        <v>200</v>
      </c>
      <c r="F2090" s="8">
        <v>3982.36</v>
      </c>
    </row>
    <row r="2092" spans="1:7" x14ac:dyDescent="0.25">
      <c r="A2092" s="7">
        <v>46266</v>
      </c>
      <c r="B2092" s="8" t="s">
        <v>1286</v>
      </c>
      <c r="C2092" s="8" t="s">
        <v>1966</v>
      </c>
      <c r="D2092" s="8" t="s">
        <v>1288</v>
      </c>
      <c r="E2092" s="8">
        <v>36</v>
      </c>
      <c r="F2092" s="8">
        <v>728.91</v>
      </c>
      <c r="G2092" s="7">
        <v>46267</v>
      </c>
    </row>
    <row r="2093" spans="1:6" x14ac:dyDescent="0.25">
      <c r="A2093" s="1"/>
      <c r="B2093" s="2"/>
      <c r="C2093" s="8" t="s">
        <v>1967</v>
      </c>
      <c r="D2093" s="8" t="s">
        <v>1288</v>
      </c>
      <c r="E2093" s="8">
        <v>65</v>
      </c>
      <c r="F2093" s="8">
        <v>1251.82</v>
      </c>
    </row>
    <row r="2095" spans="1:7" x14ac:dyDescent="0.25">
      <c r="A2095" s="7">
        <v>46266</v>
      </c>
      <c r="B2095" s="8" t="s">
        <v>10</v>
      </c>
      <c r="C2095" s="8" t="s">
        <v>1968</v>
      </c>
      <c r="D2095" s="8" t="s">
        <v>12</v>
      </c>
      <c r="E2095" s="8">
        <v>99</v>
      </c>
      <c r="F2095" s="8">
        <v>1835.87</v>
      </c>
      <c r="G2095" s="7">
        <v>46267</v>
      </c>
    </row>
    <row r="2096" spans="1:6" x14ac:dyDescent="0.25">
      <c r="A2096" s="1"/>
      <c r="B2096" s="2"/>
      <c r="C2096" s="8" t="s">
        <v>1969</v>
      </c>
      <c r="D2096" s="8" t="s">
        <v>12</v>
      </c>
      <c r="E2096" s="8">
        <v>99</v>
      </c>
      <c r="F2096" s="8">
        <v>1936.88</v>
      </c>
    </row>
    <row r="2098" spans="1:7" x14ac:dyDescent="0.25">
      <c r="A2098" s="7">
        <v>46266</v>
      </c>
      <c r="B2098" s="8" t="s">
        <v>238</v>
      </c>
      <c r="C2098" s="8" t="s">
        <v>1970</v>
      </c>
      <c r="D2098" s="8" t="s">
        <v>342</v>
      </c>
      <c r="E2098" s="8">
        <v>156</v>
      </c>
      <c r="F2098" s="8">
        <v>3152.06</v>
      </c>
      <c r="G2098" s="7">
        <v>46267</v>
      </c>
    </row>
    <row r="2100" spans="1:7" x14ac:dyDescent="0.25">
      <c r="A2100" s="7">
        <v>46266</v>
      </c>
      <c r="B2100" s="8" t="s">
        <v>238</v>
      </c>
      <c r="C2100" s="8" t="s">
        <v>1971</v>
      </c>
      <c r="D2100" s="8" t="s">
        <v>204</v>
      </c>
      <c r="E2100" s="8">
        <v>105</v>
      </c>
      <c r="F2100" s="8">
        <v>1920</v>
      </c>
      <c r="G2100" s="7">
        <v>46267</v>
      </c>
    </row>
    <row r="2101" spans="1:6" x14ac:dyDescent="0.25">
      <c r="A2101" s="1"/>
      <c r="B2101" s="2"/>
      <c r="C2101" s="8" t="s">
        <v>1972</v>
      </c>
      <c r="D2101" s="8" t="s">
        <v>204</v>
      </c>
      <c r="E2101" s="8">
        <v>135</v>
      </c>
      <c r="F2101" s="8">
        <v>2573</v>
      </c>
    </row>
    <row r="2102" spans="1:6" x14ac:dyDescent="0.25">
      <c r="A2102" s="1"/>
      <c r="B2102" s="2"/>
      <c r="C2102" s="8" t="s">
        <v>1973</v>
      </c>
      <c r="D2102" s="8" t="s">
        <v>204</v>
      </c>
      <c r="E2102" s="8">
        <v>21</v>
      </c>
      <c r="F2102" s="8">
        <v>411</v>
      </c>
    </row>
    <row r="2103" spans="1:6" x14ac:dyDescent="0.25">
      <c r="A2103" s="1"/>
      <c r="B2103" s="2"/>
      <c r="C2103" s="8" t="s">
        <v>1974</v>
      </c>
      <c r="D2103" s="8" t="s">
        <v>297</v>
      </c>
      <c r="E2103" s="8">
        <v>3</v>
      </c>
      <c r="F2103" s="8">
        <v>65</v>
      </c>
    </row>
    <row r="2104" spans="1:6" x14ac:dyDescent="0.25">
      <c r="A2104" s="1"/>
      <c r="B2104" s="2"/>
      <c r="C2104" s="8" t="s">
        <v>1975</v>
      </c>
      <c r="D2104" s="8" t="s">
        <v>297</v>
      </c>
      <c r="E2104" s="8">
        <v>153</v>
      </c>
      <c r="F2104" s="8">
        <v>2896</v>
      </c>
    </row>
    <row r="2105" spans="1:6" x14ac:dyDescent="0.25">
      <c r="A2105" s="1"/>
      <c r="B2105" s="2"/>
      <c r="C2105" s="8" t="s">
        <v>1976</v>
      </c>
      <c r="D2105" s="8" t="s">
        <v>297</v>
      </c>
      <c r="E2105" s="8">
        <v>134</v>
      </c>
      <c r="F2105" s="8">
        <v>2600</v>
      </c>
    </row>
    <row r="2107" spans="1:7" x14ac:dyDescent="0.25">
      <c r="A2107" s="7">
        <v>46266</v>
      </c>
      <c r="B2107" s="8" t="s">
        <v>238</v>
      </c>
      <c r="C2107" s="8" t="s">
        <v>1977</v>
      </c>
      <c r="D2107" s="8" t="s">
        <v>204</v>
      </c>
      <c r="E2107" s="8">
        <v>44</v>
      </c>
      <c r="F2107" s="8">
        <v>145.01</v>
      </c>
      <c r="G2107" s="7">
        <v>46267</v>
      </c>
    </row>
    <row r="2108" spans="1:6" x14ac:dyDescent="0.25">
      <c r="A2108" s="1"/>
      <c r="B2108" s="2"/>
      <c r="C2108" s="8" t="s">
        <v>1978</v>
      </c>
      <c r="D2108" s="8" t="s">
        <v>204</v>
      </c>
      <c r="E2108" s="8">
        <v>156</v>
      </c>
      <c r="F2108" s="8">
        <v>2966.17</v>
      </c>
    </row>
    <row r="2109" spans="1:6" x14ac:dyDescent="0.25">
      <c r="A2109" s="1"/>
      <c r="B2109" s="2"/>
      <c r="C2109" s="8" t="s">
        <v>1979</v>
      </c>
      <c r="D2109" s="8" t="s">
        <v>347</v>
      </c>
      <c r="E2109" s="8">
        <v>105</v>
      </c>
      <c r="F2109" s="8">
        <v>1919.3</v>
      </c>
    </row>
    <row r="2110" spans="1:6" x14ac:dyDescent="0.25">
      <c r="A2110" s="1"/>
      <c r="B2110" s="2"/>
      <c r="C2110" s="8" t="s">
        <v>1980</v>
      </c>
      <c r="D2110" s="8" t="s">
        <v>216</v>
      </c>
      <c r="E2110" s="8">
        <v>156</v>
      </c>
      <c r="F2110" s="8">
        <v>3300.25</v>
      </c>
    </row>
    <row r="2111" spans="1:6" x14ac:dyDescent="0.25">
      <c r="A2111" s="1"/>
      <c r="B2111" s="2"/>
      <c r="C2111" s="8" t="s">
        <v>1981</v>
      </c>
      <c r="D2111" s="8" t="s">
        <v>216</v>
      </c>
      <c r="E2111" s="8">
        <v>156</v>
      </c>
      <c r="F2111" s="8">
        <v>3193.3</v>
      </c>
    </row>
    <row r="2112" spans="1:6" x14ac:dyDescent="0.25">
      <c r="A2112" s="1"/>
      <c r="B2112" s="2"/>
      <c r="C2112" s="8" t="s">
        <v>1982</v>
      </c>
      <c r="D2112" s="8" t="s">
        <v>216</v>
      </c>
      <c r="E2112" s="8">
        <v>105</v>
      </c>
      <c r="F2112" s="8">
        <v>2043.27</v>
      </c>
    </row>
    <row r="2113" spans="1:6" x14ac:dyDescent="0.25">
      <c r="A2113" s="1"/>
      <c r="B2113" s="2"/>
      <c r="C2113" s="8" t="s">
        <v>1983</v>
      </c>
      <c r="D2113" s="8" t="s">
        <v>342</v>
      </c>
      <c r="E2113" s="8">
        <v>26</v>
      </c>
      <c r="F2113" s="8">
        <v>458.29</v>
      </c>
    </row>
    <row r="2114" spans="1:6" x14ac:dyDescent="0.25">
      <c r="A2114" s="1"/>
      <c r="B2114" s="2"/>
      <c r="C2114" s="8" t="s">
        <v>1984</v>
      </c>
      <c r="D2114" s="8" t="s">
        <v>342</v>
      </c>
      <c r="E2114" s="8">
        <v>79</v>
      </c>
      <c r="F2114" s="8">
        <v>1418.21</v>
      </c>
    </row>
    <row r="2115" spans="1:6" x14ac:dyDescent="0.25">
      <c r="A2115" s="1"/>
      <c r="B2115" s="2"/>
      <c r="C2115" s="8" t="s">
        <v>1985</v>
      </c>
      <c r="D2115" s="8" t="s">
        <v>236</v>
      </c>
      <c r="E2115" s="8">
        <v>60</v>
      </c>
      <c r="F2115" s="8">
        <v>1089.35</v>
      </c>
    </row>
    <row r="2116" spans="1:6" x14ac:dyDescent="0.25">
      <c r="A2116" s="1"/>
      <c r="B2116" s="2"/>
      <c r="C2116" s="8" t="s">
        <v>1986</v>
      </c>
      <c r="D2116" s="8" t="s">
        <v>236</v>
      </c>
      <c r="E2116" s="8">
        <v>36</v>
      </c>
      <c r="F2116" s="8">
        <v>648.2</v>
      </c>
    </row>
    <row r="2117" spans="1:6" x14ac:dyDescent="0.25">
      <c r="A2117" s="1"/>
      <c r="B2117" s="2"/>
      <c r="C2117" s="8" t="s">
        <v>1987</v>
      </c>
      <c r="D2117" s="8" t="s">
        <v>236</v>
      </c>
      <c r="E2117" s="8">
        <v>60</v>
      </c>
      <c r="F2117" s="8">
        <v>1059.14</v>
      </c>
    </row>
    <row r="2118" spans="1:6" x14ac:dyDescent="0.25">
      <c r="A2118" s="1"/>
      <c r="B2118" s="2"/>
      <c r="C2118" s="8" t="s">
        <v>1988</v>
      </c>
      <c r="D2118" s="8" t="s">
        <v>214</v>
      </c>
      <c r="E2118" s="8">
        <v>156</v>
      </c>
      <c r="F2118" s="8">
        <v>3059.24</v>
      </c>
    </row>
    <row r="2119" spans="1:6" x14ac:dyDescent="0.25">
      <c r="A2119" s="1"/>
      <c r="B2119" s="2"/>
      <c r="C2119" s="8" t="s">
        <v>1989</v>
      </c>
      <c r="D2119" s="8" t="s">
        <v>214</v>
      </c>
      <c r="E2119" s="8">
        <v>156</v>
      </c>
      <c r="F2119" s="8">
        <v>3067.48</v>
      </c>
    </row>
    <row r="2120" spans="1:6" x14ac:dyDescent="0.25">
      <c r="A2120" s="1"/>
      <c r="B2120" s="2"/>
      <c r="C2120" s="8" t="s">
        <v>1990</v>
      </c>
      <c r="D2120" s="8" t="s">
        <v>214</v>
      </c>
      <c r="E2120" s="8">
        <v>56</v>
      </c>
      <c r="F2120" s="8">
        <v>1090.24</v>
      </c>
    </row>
    <row r="2121" spans="1:6" x14ac:dyDescent="0.25">
      <c r="A2121" s="1"/>
      <c r="B2121" s="2"/>
      <c r="C2121" s="8" t="s">
        <v>1991</v>
      </c>
      <c r="D2121" s="8" t="s">
        <v>214</v>
      </c>
      <c r="E2121" s="8">
        <v>100</v>
      </c>
      <c r="F2121" s="8">
        <v>1915.51</v>
      </c>
    </row>
    <row r="2122" spans="1:6" x14ac:dyDescent="0.25">
      <c r="A2122" s="1"/>
      <c r="B2122" s="2"/>
      <c r="C2122" s="8" t="s">
        <v>1992</v>
      </c>
      <c r="D2122" s="8" t="s">
        <v>204</v>
      </c>
      <c r="E2122" s="8">
        <v>134</v>
      </c>
      <c r="F2122" s="8">
        <v>2692.83</v>
      </c>
    </row>
    <row r="2123" ht="16.5" customHeight="1" spans="1:6" x14ac:dyDescent="0.25">
      <c r="A2123" s="1"/>
      <c r="B2123" s="2"/>
      <c r="C2123" s="8" t="s">
        <v>1993</v>
      </c>
      <c r="D2123" s="8" t="s">
        <v>204</v>
      </c>
      <c r="E2123" s="8">
        <v>134</v>
      </c>
      <c r="F2123" s="8">
        <v>2707.56</v>
      </c>
    </row>
    <row r="2124" spans="1:6" x14ac:dyDescent="0.25">
      <c r="A2124" s="1"/>
      <c r="B2124" s="2"/>
      <c r="C2124" s="8" t="s">
        <v>1994</v>
      </c>
      <c r="D2124" s="8" t="s">
        <v>204</v>
      </c>
      <c r="E2124" s="8">
        <v>134</v>
      </c>
      <c r="F2124" s="8">
        <v>2759.82</v>
      </c>
    </row>
    <row r="2125" spans="1:6" x14ac:dyDescent="0.25">
      <c r="A2125" s="1"/>
      <c r="B2125" s="2"/>
      <c r="C2125" s="8" t="s">
        <v>1995</v>
      </c>
      <c r="D2125" s="8" t="s">
        <v>204</v>
      </c>
      <c r="E2125" s="8">
        <v>134</v>
      </c>
      <c r="F2125" s="8">
        <v>2401.66</v>
      </c>
    </row>
    <row r="2126" spans="1:6" x14ac:dyDescent="0.25">
      <c r="A2126" s="1"/>
      <c r="B2126" s="2"/>
      <c r="C2126" s="8" t="s">
        <v>1996</v>
      </c>
      <c r="D2126" s="8" t="s">
        <v>204</v>
      </c>
      <c r="E2126" s="8">
        <v>112</v>
      </c>
      <c r="F2126" s="8">
        <v>1669.51</v>
      </c>
    </row>
    <row r="2127" spans="1:6" x14ac:dyDescent="0.25">
      <c r="A2127" s="1"/>
      <c r="B2127" s="2"/>
      <c r="C2127" s="8" t="s">
        <v>1997</v>
      </c>
      <c r="D2127" s="8" t="s">
        <v>204</v>
      </c>
      <c r="E2127" s="8">
        <v>106</v>
      </c>
      <c r="F2127" s="8">
        <v>2070.93</v>
      </c>
    </row>
    <row r="2128" spans="1:6" x14ac:dyDescent="0.25">
      <c r="A2128" s="1"/>
      <c r="B2128" s="2"/>
      <c r="C2128" s="8" t="s">
        <v>1998</v>
      </c>
      <c r="D2128" s="8" t="s">
        <v>204</v>
      </c>
      <c r="E2128" s="8">
        <v>105</v>
      </c>
      <c r="F2128" s="8">
        <v>2045.43</v>
      </c>
    </row>
    <row r="2129" spans="1:6" x14ac:dyDescent="0.25">
      <c r="A2129" s="1"/>
      <c r="B2129" s="2"/>
      <c r="C2129" s="8" t="s">
        <v>1999</v>
      </c>
      <c r="D2129" s="8" t="s">
        <v>204</v>
      </c>
      <c r="E2129" s="8">
        <v>156</v>
      </c>
      <c r="F2129" s="8">
        <v>3097.85</v>
      </c>
    </row>
    <row r="2130" spans="1:6" x14ac:dyDescent="0.25">
      <c r="A2130" s="1"/>
      <c r="B2130" s="2"/>
      <c r="C2130" s="8" t="s">
        <v>2000</v>
      </c>
      <c r="D2130" s="8" t="s">
        <v>204</v>
      </c>
      <c r="E2130" s="8">
        <v>156</v>
      </c>
      <c r="F2130" s="8">
        <v>3077.47</v>
      </c>
    </row>
    <row r="2131" spans="1:6" x14ac:dyDescent="0.25">
      <c r="A2131" s="1"/>
      <c r="B2131" s="2"/>
      <c r="C2131" s="8" t="s">
        <v>2001</v>
      </c>
      <c r="D2131" s="8" t="s">
        <v>347</v>
      </c>
      <c r="E2131" s="8">
        <v>97</v>
      </c>
      <c r="F2131" s="8">
        <v>1779.55</v>
      </c>
    </row>
    <row r="2132" spans="1:6" x14ac:dyDescent="0.25">
      <c r="A2132" s="1"/>
      <c r="B2132" s="2"/>
      <c r="C2132" s="8" t="s">
        <v>2002</v>
      </c>
      <c r="D2132" s="8" t="s">
        <v>347</v>
      </c>
      <c r="E2132" s="8">
        <v>59</v>
      </c>
      <c r="F2132" s="8">
        <v>1111.19</v>
      </c>
    </row>
    <row r="2133" spans="1:6" x14ac:dyDescent="0.25">
      <c r="A2133" s="1"/>
      <c r="B2133" s="2"/>
      <c r="C2133" s="8" t="s">
        <v>2003</v>
      </c>
      <c r="D2133" s="8" t="s">
        <v>236</v>
      </c>
      <c r="E2133" s="8">
        <v>80</v>
      </c>
      <c r="F2133" s="8">
        <v>1584.45</v>
      </c>
    </row>
    <row r="2134" spans="1:6" x14ac:dyDescent="0.25">
      <c r="A2134" s="1"/>
      <c r="B2134" s="2"/>
      <c r="C2134" s="8" t="s">
        <v>2004</v>
      </c>
      <c r="D2134" s="8" t="s">
        <v>236</v>
      </c>
      <c r="E2134" s="8">
        <v>61</v>
      </c>
      <c r="F2134" s="8">
        <v>1143.39</v>
      </c>
    </row>
    <row r="2135" ht="16.5" customHeight="1" spans="1:6" x14ac:dyDescent="0.25">
      <c r="A2135" s="1"/>
      <c r="B2135" s="2"/>
      <c r="C2135" s="8" t="s">
        <v>2005</v>
      </c>
      <c r="D2135" s="8" t="s">
        <v>216</v>
      </c>
      <c r="E2135" s="8">
        <v>163</v>
      </c>
      <c r="F2135" s="8">
        <v>3170.43</v>
      </c>
    </row>
    <row r="2136" ht="13.5" customHeight="1" spans="1:6" x14ac:dyDescent="0.25">
      <c r="A2136" s="1"/>
      <c r="B2136" s="2"/>
      <c r="C2136" s="8" t="s">
        <v>2006</v>
      </c>
      <c r="D2136" s="8" t="s">
        <v>204</v>
      </c>
      <c r="E2136" s="8">
        <v>48</v>
      </c>
      <c r="F2136" s="8">
        <v>1174.71</v>
      </c>
    </row>
    <row r="2137" spans="1:6" x14ac:dyDescent="0.25">
      <c r="A2137" s="1"/>
      <c r="B2137" s="2"/>
      <c r="C2137" s="8" t="s">
        <v>2007</v>
      </c>
      <c r="D2137" s="8" t="s">
        <v>204</v>
      </c>
      <c r="E2137" s="8">
        <v>133</v>
      </c>
      <c r="F2137" s="8">
        <v>569.53</v>
      </c>
    </row>
    <row r="2138" spans="1:6" x14ac:dyDescent="0.25">
      <c r="A2138" s="1"/>
      <c r="B2138" s="2"/>
      <c r="C2138" s="8" t="s">
        <v>2008</v>
      </c>
      <c r="D2138" s="8" t="s">
        <v>204</v>
      </c>
      <c r="E2138" s="8">
        <v>76</v>
      </c>
      <c r="F2138" s="8">
        <v>1449.36</v>
      </c>
    </row>
    <row r="2140" spans="1:7" x14ac:dyDescent="0.25">
      <c r="A2140" s="7">
        <v>46266</v>
      </c>
      <c r="B2140" s="8" t="s">
        <v>238</v>
      </c>
      <c r="C2140" s="8" t="s">
        <v>2009</v>
      </c>
      <c r="D2140" s="8" t="s">
        <v>342</v>
      </c>
      <c r="E2140" s="8">
        <v>157</v>
      </c>
      <c r="F2140" s="8">
        <v>3298.44</v>
      </c>
      <c r="G2140" s="7">
        <v>46267</v>
      </c>
    </row>
    <row r="2142" spans="1:7" x14ac:dyDescent="0.25">
      <c r="A2142" s="7">
        <v>46266</v>
      </c>
      <c r="B2142" s="8" t="s">
        <v>1434</v>
      </c>
      <c r="C2142" s="8" t="s">
        <v>2010</v>
      </c>
      <c r="D2142" s="8" t="s">
        <v>122</v>
      </c>
      <c r="E2142" s="8">
        <v>141</v>
      </c>
      <c r="F2142" s="8">
        <v>2820.05</v>
      </c>
      <c r="G2142" s="7">
        <v>46267</v>
      </c>
    </row>
    <row r="2143" spans="1:6" x14ac:dyDescent="0.25">
      <c r="A2143" s="1"/>
      <c r="B2143" s="2"/>
      <c r="C2143" s="8" t="s">
        <v>2011</v>
      </c>
      <c r="D2143" s="8" t="s">
        <v>122</v>
      </c>
      <c r="E2143" s="8">
        <v>47</v>
      </c>
      <c r="F2143" s="8">
        <v>968.62</v>
      </c>
    </row>
    <row r="2145" spans="1:7" x14ac:dyDescent="0.25">
      <c r="A2145" s="7">
        <v>46266</v>
      </c>
      <c r="B2145" s="8" t="s">
        <v>324</v>
      </c>
      <c r="C2145" s="8" t="s">
        <v>2012</v>
      </c>
      <c r="D2145" s="8" t="s">
        <v>27</v>
      </c>
      <c r="E2145" s="8">
        <v>52</v>
      </c>
      <c r="F2145" s="8">
        <v>963.95</v>
      </c>
      <c r="G2145" s="7">
        <v>46267</v>
      </c>
    </row>
    <row r="2146" spans="1:6" x14ac:dyDescent="0.25">
      <c r="A2146" s="1"/>
      <c r="B2146" s="2"/>
      <c r="C2146" s="8" t="s">
        <v>2013</v>
      </c>
      <c r="D2146" s="8" t="s">
        <v>27</v>
      </c>
      <c r="E2146" s="8">
        <v>35</v>
      </c>
      <c r="F2146" s="8">
        <v>639.31</v>
      </c>
    </row>
    <row r="2147" spans="1:6" x14ac:dyDescent="0.25">
      <c r="A2147" s="1"/>
      <c r="B2147" s="2"/>
      <c r="C2147" s="8" t="s">
        <v>2014</v>
      </c>
      <c r="D2147" s="8" t="s">
        <v>27</v>
      </c>
      <c r="E2147" s="8">
        <v>82</v>
      </c>
      <c r="F2147" s="8">
        <v>1544.83</v>
      </c>
    </row>
    <row r="2148" spans="1:6" x14ac:dyDescent="0.25">
      <c r="A2148" s="1"/>
      <c r="B2148" s="2"/>
      <c r="C2148" s="8" t="s">
        <v>2015</v>
      </c>
      <c r="D2148" s="8" t="s">
        <v>27</v>
      </c>
      <c r="E2148" s="8">
        <v>18</v>
      </c>
      <c r="F2148" s="8">
        <v>310.28</v>
      </c>
    </row>
    <row r="2149" spans="1:6" x14ac:dyDescent="0.25">
      <c r="A2149" s="1"/>
      <c r="B2149" s="2"/>
      <c r="C2149" s="8" t="s">
        <v>2016</v>
      </c>
      <c r="D2149" s="8" t="s">
        <v>27</v>
      </c>
      <c r="E2149" s="8">
        <v>89</v>
      </c>
      <c r="F2149" s="8">
        <v>1645.15</v>
      </c>
    </row>
    <row r="2150" spans="1:7" x14ac:dyDescent="0.25">
      <c r="A2150" s="7">
        <v>46267</v>
      </c>
      <c r="B2150" s="8" t="s">
        <v>324</v>
      </c>
      <c r="C2150" s="8" t="s">
        <v>2017</v>
      </c>
      <c r="D2150" s="8" t="s">
        <v>27</v>
      </c>
      <c r="E2150" s="8">
        <v>9</v>
      </c>
      <c r="F2150" s="8">
        <v>193.95</v>
      </c>
      <c r="G2150" s="7">
        <v>46267</v>
      </c>
    </row>
    <row r="2151" spans="1:7" x14ac:dyDescent="0.25">
      <c r="A2151" s="7">
        <v>46266</v>
      </c>
      <c r="B2151" s="8" t="s">
        <v>324</v>
      </c>
      <c r="C2151" s="8" t="s">
        <v>2018</v>
      </c>
      <c r="D2151" s="8" t="s">
        <v>27</v>
      </c>
      <c r="E2151" s="8">
        <v>21</v>
      </c>
      <c r="F2151" s="8">
        <v>372.27</v>
      </c>
      <c r="G2151" s="7">
        <v>46267</v>
      </c>
    </row>
    <row r="2152" spans="1:6" x14ac:dyDescent="0.25">
      <c r="A2152" s="1"/>
      <c r="B2152" s="2"/>
      <c r="C2152" s="8" t="s">
        <v>2019</v>
      </c>
      <c r="D2152" s="8" t="s">
        <v>27</v>
      </c>
      <c r="E2152" s="8">
        <v>23</v>
      </c>
      <c r="F2152" s="8">
        <v>458.32</v>
      </c>
    </row>
    <row r="2153" spans="1:6" x14ac:dyDescent="0.25">
      <c r="A2153" s="1"/>
      <c r="B2153" s="2"/>
      <c r="C2153" s="8" t="s">
        <v>2020</v>
      </c>
      <c r="D2153" s="8" t="s">
        <v>27</v>
      </c>
      <c r="E2153" s="8">
        <v>42</v>
      </c>
      <c r="F2153" s="8">
        <v>813.79</v>
      </c>
    </row>
    <row r="2154" spans="1:6" x14ac:dyDescent="0.25">
      <c r="A2154" s="1"/>
      <c r="B2154" s="2"/>
      <c r="C2154" s="8" t="s">
        <v>2021</v>
      </c>
      <c r="D2154" s="8" t="s">
        <v>27</v>
      </c>
      <c r="E2154" s="8">
        <v>135</v>
      </c>
      <c r="F2154" s="8">
        <v>2359</v>
      </c>
    </row>
    <row r="2155" spans="1:6" x14ac:dyDescent="0.25">
      <c r="A2155" s="1"/>
      <c r="B2155" s="2"/>
      <c r="C2155" s="8" t="s">
        <v>2022</v>
      </c>
      <c r="D2155" s="8" t="s">
        <v>27</v>
      </c>
      <c r="E2155" s="8">
        <v>120</v>
      </c>
      <c r="F2155" s="8">
        <v>2526.69</v>
      </c>
    </row>
    <row r="2156" ht="16.5" customHeight="1" x14ac:dyDescent="0.25"/>
    <row r="2157" spans="1:7" x14ac:dyDescent="0.25">
      <c r="A2157" s="7">
        <v>46266</v>
      </c>
      <c r="B2157" s="8" t="s">
        <v>2023</v>
      </c>
      <c r="C2157" s="8" t="s">
        <v>2024</v>
      </c>
      <c r="D2157" s="8" t="s">
        <v>20</v>
      </c>
      <c r="E2157" s="8">
        <v>102</v>
      </c>
      <c r="F2157" s="8">
        <v>2008.46</v>
      </c>
      <c r="G2157" s="7">
        <v>46267</v>
      </c>
    </row>
    <row r="2158" spans="1:6" x14ac:dyDescent="0.25">
      <c r="A2158" s="1"/>
      <c r="B2158" s="2"/>
      <c r="C2158" s="8" t="s">
        <v>2025</v>
      </c>
      <c r="D2158" s="8" t="s">
        <v>20</v>
      </c>
      <c r="E2158" s="8">
        <v>156</v>
      </c>
      <c r="F2158" s="8">
        <v>3106.2</v>
      </c>
    </row>
    <row r="2159" spans="1:6" x14ac:dyDescent="0.25">
      <c r="A2159" s="1"/>
      <c r="B2159" s="2"/>
      <c r="C2159" s="8" t="s">
        <v>2026</v>
      </c>
      <c r="D2159" s="8" t="s">
        <v>20</v>
      </c>
      <c r="E2159" s="8">
        <v>156</v>
      </c>
      <c r="F2159" s="8">
        <v>2965.17</v>
      </c>
    </row>
    <row r="2160" spans="1:6" x14ac:dyDescent="0.25">
      <c r="A2160" s="1"/>
      <c r="B2160" s="2"/>
      <c r="C2160" s="8" t="s">
        <v>2027</v>
      </c>
      <c r="D2160" s="8" t="s">
        <v>20</v>
      </c>
      <c r="E2160" s="8">
        <v>105</v>
      </c>
      <c r="F2160" s="8">
        <v>2027.31</v>
      </c>
    </row>
    <row r="2161" spans="1:6" x14ac:dyDescent="0.25">
      <c r="A2161" s="1"/>
      <c r="B2161" s="2"/>
      <c r="C2161" s="8" t="s">
        <v>2028</v>
      </c>
      <c r="D2161" s="8" t="s">
        <v>20</v>
      </c>
      <c r="E2161" s="8">
        <v>151</v>
      </c>
      <c r="F2161" s="8">
        <v>2732.13</v>
      </c>
    </row>
    <row r="2162" spans="1:6" x14ac:dyDescent="0.25">
      <c r="A2162" s="1"/>
      <c r="B2162" s="2"/>
      <c r="C2162" s="8" t="s">
        <v>2029</v>
      </c>
      <c r="D2162" s="8" t="s">
        <v>20</v>
      </c>
      <c r="E2162" s="8">
        <v>105</v>
      </c>
      <c r="F2162" s="8">
        <v>2009.63</v>
      </c>
    </row>
    <row r="2163" spans="1:6" x14ac:dyDescent="0.25">
      <c r="A2163" s="1"/>
      <c r="B2163" s="2"/>
      <c r="C2163" s="8" t="s">
        <v>2030</v>
      </c>
      <c r="D2163" s="8" t="s">
        <v>20</v>
      </c>
      <c r="E2163" s="8">
        <v>298</v>
      </c>
      <c r="F2163" s="8">
        <v>5981</v>
      </c>
    </row>
    <row r="2164" spans="1:6" x14ac:dyDescent="0.25">
      <c r="A2164" s="1"/>
      <c r="B2164" s="2"/>
      <c r="C2164" s="8" t="s">
        <v>2031</v>
      </c>
      <c r="D2164" s="8" t="s">
        <v>20</v>
      </c>
      <c r="E2164" s="8">
        <v>156</v>
      </c>
      <c r="F2164" s="8">
        <v>3128.96</v>
      </c>
    </row>
    <row r="2165" spans="1:6" x14ac:dyDescent="0.25">
      <c r="A2165" s="1"/>
      <c r="B2165" s="2"/>
      <c r="C2165" s="8" t="s">
        <v>2032</v>
      </c>
      <c r="D2165" s="8" t="s">
        <v>20</v>
      </c>
      <c r="E2165" s="8">
        <v>105</v>
      </c>
      <c r="F2165" s="8">
        <v>1988.89</v>
      </c>
    </row>
    <row r="2166" spans="1:6" x14ac:dyDescent="0.25">
      <c r="A2166" s="1"/>
      <c r="B2166" s="2"/>
      <c r="C2166" s="8" t="s">
        <v>2033</v>
      </c>
      <c r="D2166" s="8" t="s">
        <v>20</v>
      </c>
      <c r="E2166" s="8">
        <v>156</v>
      </c>
      <c r="F2166" s="8">
        <v>3056.83</v>
      </c>
    </row>
    <row r="2167" spans="1:6" x14ac:dyDescent="0.25">
      <c r="A2167" s="1"/>
      <c r="B2167" s="2"/>
      <c r="C2167" s="8" t="s">
        <v>2034</v>
      </c>
      <c r="D2167" s="8" t="s">
        <v>20</v>
      </c>
      <c r="E2167" s="8">
        <v>142</v>
      </c>
      <c r="F2167" s="8">
        <v>2840.96</v>
      </c>
    </row>
    <row r="2168" ht="16.5" customHeight="1" spans="1:6" x14ac:dyDescent="0.25">
      <c r="A2168" s="1"/>
      <c r="B2168" s="2"/>
      <c r="C2168" s="8" t="s">
        <v>2035</v>
      </c>
      <c r="D2168" s="8" t="s">
        <v>20</v>
      </c>
      <c r="E2168" s="8">
        <v>156</v>
      </c>
      <c r="F2168" s="8">
        <v>2976.12</v>
      </c>
    </row>
    <row r="2169" ht="13.5" customHeight="1" spans="1:6" x14ac:dyDescent="0.25">
      <c r="A2169" s="1"/>
      <c r="B2169" s="2"/>
      <c r="C2169" s="8" t="s">
        <v>2036</v>
      </c>
      <c r="D2169" s="8" t="s">
        <v>20</v>
      </c>
      <c r="E2169" s="8">
        <v>157</v>
      </c>
      <c r="F2169" s="8">
        <v>3024.46</v>
      </c>
    </row>
    <row r="2181" spans="1:7" x14ac:dyDescent="0.25">
      <c r="A2181" s="9"/>
      <c r="B2181" s="10"/>
      <c r="C2181" s="10"/>
      <c r="D2181" s="10"/>
      <c r="E2181" s="10"/>
      <c r="F2181" s="10"/>
      <c r="G2181" s="9"/>
    </row>
    <row r="2182" ht="16.5" customHeight="1" spans="1:8" x14ac:dyDescent="0.25">
      <c r="A2182" s="1"/>
      <c r="B2182" s="11" t="s">
        <v>2037</v>
      </c>
      <c r="C2182" s="12">
        <f>COUNTA(C3:C2181)</f>
        <v>2016</v>
      </c>
      <c r="D2182" s="2"/>
      <c r="E2182" s="11" t="s">
        <v>2038</v>
      </c>
      <c r="F2182" s="13">
        <f>SUM(F3:F2181)</f>
        <v>3148963.379999999</v>
      </c>
      <c r="G2182" s="1" t="s">
        <v>2039</v>
      </c>
      <c r="H2182" s="14">
        <f>F2182*0.04</f>
        <v>125958.53519999995</v>
      </c>
    </row>
    <row r="2183" ht="13.5" customHeight="1" spans="1:8" s="1" customFormat="1" x14ac:dyDescent="0.25">
      <c r="A2183" s="1"/>
      <c r="B2183" s="2"/>
      <c r="C2183" s="2"/>
      <c r="D2183" s="2"/>
      <c r="E2183" s="2"/>
      <c r="F2183" s="2"/>
      <c r="G2183" s="1"/>
      <c r="H2183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2037</v>
      </c>
      <c r="C15" s="12">
        <f>COUNTA(C3:C14)</f>
        <v>0</v>
      </c>
      <c r="E15" s="11" t="s">
        <v>2038</v>
      </c>
      <c r="F15" s="13">
        <f>SUM(F3:F14)</f>
        <v>0</v>
      </c>
      <c r="G15" s="1" t="s">
        <v>2039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1289</v>
      </c>
      <c r="C4" s="8" t="s">
        <v>2040</v>
      </c>
      <c r="D4" s="8" t="s">
        <v>9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2041</v>
      </c>
      <c r="D5" s="8" t="s">
        <v>9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375</v>
      </c>
      <c r="C7" s="8" t="s">
        <v>2042</v>
      </c>
      <c r="D7" s="8" t="s">
        <v>204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2043</v>
      </c>
      <c r="D8" s="8" t="s">
        <v>204</v>
      </c>
      <c r="E8" s="8">
        <v>39</v>
      </c>
      <c r="F8" s="8">
        <v>967.79</v>
      </c>
    </row>
    <row r="9" spans="3:6" x14ac:dyDescent="0.25">
      <c r="C9" s="8" t="s">
        <v>2044</v>
      </c>
      <c r="D9" s="8" t="s">
        <v>204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10</v>
      </c>
      <c r="C13" s="2" t="s">
        <v>2045</v>
      </c>
      <c r="D13" s="2" t="s">
        <v>12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2046</v>
      </c>
      <c r="D14" s="2" t="s">
        <v>12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453</v>
      </c>
      <c r="C16" s="2" t="s">
        <v>2047</v>
      </c>
      <c r="D16" s="2" t="s">
        <v>204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2048</v>
      </c>
      <c r="D17" s="2" t="s">
        <v>204</v>
      </c>
      <c r="E17" s="2">
        <v>134</v>
      </c>
      <c r="F17" s="2">
        <v>2733.4</v>
      </c>
    </row>
    <row r="18" spans="3:6" x14ac:dyDescent="0.25">
      <c r="C18" s="2" t="s">
        <v>2049</v>
      </c>
      <c r="D18" s="2" t="s">
        <v>204</v>
      </c>
      <c r="E18" s="2">
        <v>134</v>
      </c>
      <c r="F18" s="2">
        <v>2623.87</v>
      </c>
    </row>
    <row r="19" spans="3:6" x14ac:dyDescent="0.25">
      <c r="C19" s="2" t="s">
        <v>2050</v>
      </c>
      <c r="D19" s="2" t="s">
        <v>204</v>
      </c>
      <c r="E19" s="2">
        <v>134</v>
      </c>
      <c r="F19" s="2">
        <v>2777.059</v>
      </c>
    </row>
    <row r="20" spans="3:6" x14ac:dyDescent="0.25">
      <c r="C20" s="2" t="s">
        <v>2051</v>
      </c>
      <c r="D20" s="2" t="s">
        <v>204</v>
      </c>
      <c r="E20" s="2">
        <v>91</v>
      </c>
      <c r="F20" s="2">
        <v>1839.31</v>
      </c>
    </row>
    <row r="21" spans="3:6" x14ac:dyDescent="0.25">
      <c r="C21" s="2" t="s">
        <v>2052</v>
      </c>
      <c r="D21" s="2" t="s">
        <v>204</v>
      </c>
      <c r="E21" s="2">
        <v>43</v>
      </c>
      <c r="F21" s="2">
        <v>804</v>
      </c>
    </row>
    <row r="22" spans="3:6" x14ac:dyDescent="0.25">
      <c r="C22" s="2" t="s">
        <v>2053</v>
      </c>
      <c r="D22" s="2" t="s">
        <v>204</v>
      </c>
      <c r="E22" s="2">
        <v>134</v>
      </c>
      <c r="F22" s="2">
        <v>2666.4</v>
      </c>
    </row>
    <row r="23" spans="3:6" x14ac:dyDescent="0.25">
      <c r="C23" s="2" t="s">
        <v>2054</v>
      </c>
      <c r="D23" s="2" t="s">
        <v>204</v>
      </c>
      <c r="E23" s="2">
        <v>134</v>
      </c>
      <c r="F23" s="2">
        <v>2797.18</v>
      </c>
    </row>
    <row r="24" spans="3:6" x14ac:dyDescent="0.25">
      <c r="C24" s="2" t="s">
        <v>2055</v>
      </c>
      <c r="D24" s="2" t="s">
        <v>204</v>
      </c>
      <c r="E24" s="2">
        <v>71</v>
      </c>
      <c r="F24" s="2">
        <v>1534.782</v>
      </c>
    </row>
    <row r="25" spans="3:6" x14ac:dyDescent="0.25">
      <c r="C25" s="2" t="s">
        <v>2056</v>
      </c>
      <c r="D25" s="2" t="s">
        <v>204</v>
      </c>
      <c r="E25" s="2">
        <v>39</v>
      </c>
      <c r="F25" s="2">
        <v>759.82</v>
      </c>
    </row>
    <row r="26" spans="3:6" x14ac:dyDescent="0.25">
      <c r="C26" s="2" t="s">
        <v>2057</v>
      </c>
      <c r="D26" s="2" t="s">
        <v>204</v>
      </c>
      <c r="E26" s="2">
        <v>26</v>
      </c>
      <c r="F26" s="2">
        <v>502</v>
      </c>
    </row>
    <row r="27" spans="3:6" x14ac:dyDescent="0.25">
      <c r="C27" s="2" t="s">
        <v>2058</v>
      </c>
      <c r="D27" s="2" t="s">
        <v>214</v>
      </c>
      <c r="E27" s="2">
        <v>156</v>
      </c>
      <c r="F27" s="2">
        <v>3180.9</v>
      </c>
    </row>
    <row r="28" spans="3:6" x14ac:dyDescent="0.25">
      <c r="C28" s="2" t="s">
        <v>2059</v>
      </c>
      <c r="D28" s="2" t="s">
        <v>214</v>
      </c>
      <c r="E28" s="2">
        <v>100</v>
      </c>
      <c r="F28" s="2">
        <v>1947.239</v>
      </c>
    </row>
    <row r="29" spans="3:6" x14ac:dyDescent="0.25">
      <c r="C29" s="2" t="s">
        <v>2060</v>
      </c>
      <c r="D29" s="2" t="s">
        <v>214</v>
      </c>
      <c r="E29" s="2">
        <v>56</v>
      </c>
      <c r="F29" s="2">
        <v>1091.419</v>
      </c>
    </row>
    <row r="30" spans="3:6" x14ac:dyDescent="0.25">
      <c r="C30" s="2" t="s">
        <v>2061</v>
      </c>
      <c r="D30" s="2" t="s">
        <v>216</v>
      </c>
      <c r="E30" s="2">
        <v>74</v>
      </c>
      <c r="F30" s="2">
        <v>1389.799</v>
      </c>
    </row>
    <row r="31" spans="3:6" x14ac:dyDescent="0.25">
      <c r="C31" s="2" t="s">
        <v>2062</v>
      </c>
      <c r="D31" s="2" t="s">
        <v>216</v>
      </c>
      <c r="E31" s="2">
        <v>156</v>
      </c>
      <c r="F31" s="2">
        <v>3088.95</v>
      </c>
    </row>
    <row r="32" spans="3:6" x14ac:dyDescent="0.25">
      <c r="C32" s="2" t="s">
        <v>2063</v>
      </c>
      <c r="D32" s="2" t="s">
        <v>216</v>
      </c>
      <c r="E32" s="2">
        <v>102</v>
      </c>
      <c r="F32" s="2">
        <v>2110.04</v>
      </c>
    </row>
    <row r="33" spans="3:6" x14ac:dyDescent="0.25">
      <c r="C33" s="2" t="s">
        <v>2064</v>
      </c>
      <c r="D33" s="2" t="s">
        <v>216</v>
      </c>
      <c r="E33" s="2">
        <v>102</v>
      </c>
      <c r="F33" s="2">
        <v>2052.669</v>
      </c>
    </row>
    <row r="34" spans="3:6" x14ac:dyDescent="0.25">
      <c r="C34" s="2" t="s">
        <v>2065</v>
      </c>
      <c r="D34" s="2" t="s">
        <v>216</v>
      </c>
      <c r="E34" s="2">
        <v>102</v>
      </c>
      <c r="F34" s="2">
        <v>2011.4</v>
      </c>
    </row>
    <row r="35" spans="3:6" x14ac:dyDescent="0.25">
      <c r="C35" s="2" t="s">
        <v>2066</v>
      </c>
      <c r="D35" s="2" t="s">
        <v>236</v>
      </c>
      <c r="E35" s="2">
        <v>45</v>
      </c>
      <c r="F35" s="2">
        <v>872.13</v>
      </c>
    </row>
    <row r="36" spans="3:6" x14ac:dyDescent="0.25">
      <c r="C36" s="2" t="s">
        <v>2067</v>
      </c>
      <c r="D36" s="2" t="s">
        <v>236</v>
      </c>
      <c r="E36" s="2">
        <v>60</v>
      </c>
      <c r="F36" s="2">
        <v>1151.16</v>
      </c>
    </row>
    <row r="37" spans="3:6" x14ac:dyDescent="0.25">
      <c r="C37" s="2" t="s">
        <v>2068</v>
      </c>
      <c r="D37" s="2" t="s">
        <v>236</v>
      </c>
      <c r="E37" s="2">
        <v>80</v>
      </c>
      <c r="F37" s="2">
        <v>1598.46</v>
      </c>
    </row>
    <row r="38" spans="3:6" x14ac:dyDescent="0.25">
      <c r="C38" s="2" t="s">
        <v>2069</v>
      </c>
      <c r="D38" s="2" t="s">
        <v>236</v>
      </c>
      <c r="E38" s="2">
        <v>12</v>
      </c>
      <c r="F38" s="2">
        <v>239.99</v>
      </c>
    </row>
    <row r="39" spans="3:6" x14ac:dyDescent="0.25">
      <c r="C39" s="2" t="s">
        <v>2070</v>
      </c>
      <c r="D39" s="2" t="s">
        <v>236</v>
      </c>
      <c r="E39" s="2">
        <v>13</v>
      </c>
      <c r="F39" s="2">
        <v>287</v>
      </c>
    </row>
    <row r="40" spans="3:6" x14ac:dyDescent="0.25">
      <c r="C40" s="2" t="s">
        <v>2071</v>
      </c>
      <c r="D40" s="2" t="s">
        <v>347</v>
      </c>
      <c r="E40" s="2">
        <v>25</v>
      </c>
      <c r="F40" s="2">
        <v>491.52</v>
      </c>
    </row>
    <row r="41" spans="3:6" x14ac:dyDescent="0.25">
      <c r="C41" s="2" t="s">
        <v>2072</v>
      </c>
      <c r="D41" s="2" t="s">
        <v>347</v>
      </c>
      <c r="E41" s="2">
        <v>100</v>
      </c>
      <c r="F41" s="2">
        <v>1955.9</v>
      </c>
    </row>
    <row r="42" spans="3:6" x14ac:dyDescent="0.25">
      <c r="C42" s="2" t="s">
        <v>2073</v>
      </c>
      <c r="D42" s="2" t="s">
        <v>347</v>
      </c>
      <c r="E42" s="2">
        <v>31</v>
      </c>
      <c r="F42" s="2">
        <v>569.13</v>
      </c>
    </row>
    <row r="43" spans="3:6" x14ac:dyDescent="0.25">
      <c r="C43" s="2" t="s">
        <v>2074</v>
      </c>
      <c r="D43" s="2" t="s">
        <v>347</v>
      </c>
      <c r="E43" s="2">
        <v>79</v>
      </c>
      <c r="F43" s="2">
        <v>1454.9</v>
      </c>
    </row>
    <row r="44" spans="3:6" x14ac:dyDescent="0.25">
      <c r="C44" s="2" t="s">
        <v>2075</v>
      </c>
      <c r="D44" s="2" t="s">
        <v>347</v>
      </c>
      <c r="E44" s="2">
        <v>77</v>
      </c>
      <c r="F44" s="2">
        <v>1447.099</v>
      </c>
    </row>
    <row r="45" spans="3:6" x14ac:dyDescent="0.25">
      <c r="C45" s="2" t="s">
        <v>2076</v>
      </c>
      <c r="D45" s="2" t="s">
        <v>204</v>
      </c>
      <c r="E45" s="2">
        <v>156</v>
      </c>
      <c r="F45" s="2">
        <v>3076.209</v>
      </c>
    </row>
    <row r="47" spans="2:7" x14ac:dyDescent="0.25">
      <c r="B47" s="2" t="s">
        <v>2077</v>
      </c>
      <c r="C47" s="2" t="s">
        <v>2078</v>
      </c>
      <c r="D47" s="2" t="s">
        <v>204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2079</v>
      </c>
      <c r="D48" s="2" t="s">
        <v>216</v>
      </c>
      <c r="E48" s="2">
        <v>105</v>
      </c>
      <c r="F48" s="2">
        <v>1848.46</v>
      </c>
    </row>
    <row r="49" spans="3:6" x14ac:dyDescent="0.25">
      <c r="C49" s="2" t="s">
        <v>2080</v>
      </c>
      <c r="D49" s="2" t="s">
        <v>216</v>
      </c>
      <c r="E49" s="2">
        <v>105</v>
      </c>
      <c r="F49" s="2">
        <v>1946.74</v>
      </c>
    </row>
    <row r="50" spans="3:6" x14ac:dyDescent="0.25">
      <c r="C50" s="2" t="s">
        <v>2081</v>
      </c>
      <c r="D50" s="2" t="s">
        <v>297</v>
      </c>
      <c r="E50" s="2">
        <v>100</v>
      </c>
      <c r="F50" s="2">
        <v>1944</v>
      </c>
    </row>
    <row r="51" spans="3:6" x14ac:dyDescent="0.25">
      <c r="C51" s="2" t="s">
        <v>2082</v>
      </c>
      <c r="D51" s="2" t="s">
        <v>297</v>
      </c>
      <c r="E51" s="2">
        <v>56</v>
      </c>
      <c r="F51" s="2">
        <v>1056.22</v>
      </c>
    </row>
    <row r="52" spans="3:6" x14ac:dyDescent="0.25">
      <c r="C52" s="2" t="s">
        <v>2083</v>
      </c>
      <c r="D52" s="2" t="s">
        <v>216</v>
      </c>
      <c r="E52" s="2">
        <v>131</v>
      </c>
      <c r="F52" s="2">
        <v>2496.22</v>
      </c>
    </row>
    <row r="53" spans="3:6" x14ac:dyDescent="0.25">
      <c r="C53" s="2" t="s">
        <v>2084</v>
      </c>
      <c r="D53" s="2" t="s">
        <v>216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32</v>
      </c>
      <c r="C55" s="2" t="s">
        <v>2085</v>
      </c>
      <c r="D55" s="2" t="s">
        <v>20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2086</v>
      </c>
      <c r="D56" s="2" t="s">
        <v>20</v>
      </c>
      <c r="E56" s="2">
        <v>156</v>
      </c>
      <c r="F56" s="2">
        <v>3004.04</v>
      </c>
    </row>
    <row r="57" spans="3:6" x14ac:dyDescent="0.25">
      <c r="C57" s="2" t="s">
        <v>2087</v>
      </c>
      <c r="D57" s="2" t="s">
        <v>20</v>
      </c>
      <c r="E57" s="2">
        <v>156</v>
      </c>
      <c r="F57" s="2">
        <v>2920.069</v>
      </c>
    </row>
    <row r="58" spans="3:6" x14ac:dyDescent="0.25">
      <c r="C58" s="2" t="s">
        <v>2088</v>
      </c>
      <c r="D58" s="2" t="s">
        <v>20</v>
      </c>
      <c r="E58" s="2">
        <v>156</v>
      </c>
      <c r="F58" s="2">
        <v>3089.13</v>
      </c>
    </row>
    <row r="59" spans="3:6" x14ac:dyDescent="0.25">
      <c r="C59" s="2" t="s">
        <v>2089</v>
      </c>
      <c r="D59" s="2" t="s">
        <v>20</v>
      </c>
      <c r="E59" s="2">
        <v>105</v>
      </c>
      <c r="F59" s="2">
        <v>2000.858</v>
      </c>
    </row>
    <row r="60" spans="3:6" x14ac:dyDescent="0.25">
      <c r="C60" s="2" t="s">
        <v>2090</v>
      </c>
      <c r="D60" s="2" t="s">
        <v>20</v>
      </c>
      <c r="E60" s="2">
        <v>156</v>
      </c>
      <c r="F60" s="2">
        <v>3080.079</v>
      </c>
    </row>
    <row r="61" spans="3:6" x14ac:dyDescent="0.25">
      <c r="C61" s="2" t="s">
        <v>2091</v>
      </c>
      <c r="D61" s="2" t="s">
        <v>20</v>
      </c>
      <c r="E61" s="2">
        <v>156</v>
      </c>
      <c r="F61" s="2">
        <v>2972.869</v>
      </c>
    </row>
    <row r="62" spans="3:6" x14ac:dyDescent="0.25">
      <c r="C62" s="2" t="s">
        <v>2092</v>
      </c>
      <c r="D62" s="2" t="s">
        <v>20</v>
      </c>
      <c r="E62" s="2">
        <v>208</v>
      </c>
      <c r="F62" s="2">
        <v>4080.979</v>
      </c>
    </row>
    <row r="63" spans="3:6" x14ac:dyDescent="0.25">
      <c r="C63" s="2" t="s">
        <v>2093</v>
      </c>
      <c r="D63" s="2" t="s">
        <v>20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2094</v>
      </c>
      <c r="C65" s="2" t="s">
        <v>2095</v>
      </c>
      <c r="D65" s="2" t="s">
        <v>2096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2097</v>
      </c>
      <c r="C67" s="2" t="s">
        <v>2098</v>
      </c>
      <c r="D67" s="2" t="s">
        <v>27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2099</v>
      </c>
      <c r="D68" s="2" t="s">
        <v>27</v>
      </c>
      <c r="E68" s="2">
        <v>53</v>
      </c>
      <c r="F68" s="2">
        <v>981.33</v>
      </c>
    </row>
    <row r="69" spans="3:6" x14ac:dyDescent="0.25">
      <c r="C69" s="2" t="s">
        <v>2100</v>
      </c>
      <c r="D69" s="2" t="s">
        <v>27</v>
      </c>
      <c r="E69" s="2">
        <v>65</v>
      </c>
      <c r="F69" s="2">
        <v>1304.719</v>
      </c>
    </row>
    <row r="70" spans="3:6" x14ac:dyDescent="0.25">
      <c r="C70" s="2" t="s">
        <v>2101</v>
      </c>
      <c r="D70" s="2" t="s">
        <v>27</v>
      </c>
      <c r="E70" s="2">
        <v>10</v>
      </c>
      <c r="F70" s="2">
        <v>187.55</v>
      </c>
    </row>
    <row r="71" spans="3:6" x14ac:dyDescent="0.25">
      <c r="C71" s="2" t="s">
        <v>2102</v>
      </c>
      <c r="D71" s="2" t="s">
        <v>27</v>
      </c>
      <c r="E71" s="2">
        <v>81</v>
      </c>
      <c r="F71" s="2">
        <v>1680.179</v>
      </c>
    </row>
    <row r="72" spans="3:6" x14ac:dyDescent="0.25">
      <c r="C72" s="2" t="s">
        <v>2103</v>
      </c>
      <c r="D72" s="2" t="s">
        <v>27</v>
      </c>
      <c r="E72" s="2">
        <v>101</v>
      </c>
      <c r="F72" s="2">
        <v>1969.21</v>
      </c>
    </row>
    <row r="73" spans="3:6" x14ac:dyDescent="0.25">
      <c r="C73" s="2" t="s">
        <v>2104</v>
      </c>
      <c r="D73" s="2" t="s">
        <v>27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183</v>
      </c>
      <c r="C75" s="2" t="s">
        <v>2105</v>
      </c>
      <c r="D75" s="2" t="s">
        <v>122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2106</v>
      </c>
      <c r="D76" s="2" t="s">
        <v>122</v>
      </c>
      <c r="E76" s="2">
        <v>13</v>
      </c>
      <c r="F76" s="2">
        <v>271.51</v>
      </c>
    </row>
    <row r="77" spans="3:6" x14ac:dyDescent="0.25">
      <c r="C77" s="2" t="s">
        <v>2107</v>
      </c>
      <c r="D77" s="2" t="s">
        <v>122</v>
      </c>
      <c r="E77" s="2">
        <v>26</v>
      </c>
      <c r="F77" s="2">
        <v>403.022</v>
      </c>
    </row>
    <row r="78" spans="3:6" x14ac:dyDescent="0.25">
      <c r="C78" s="2" t="s">
        <v>2108</v>
      </c>
      <c r="D78" s="2" t="s">
        <v>122</v>
      </c>
      <c r="E78" s="2">
        <v>56</v>
      </c>
      <c r="F78" s="2">
        <v>1259.693</v>
      </c>
    </row>
    <row r="79" spans="3:6" x14ac:dyDescent="0.25">
      <c r="C79" s="2" t="s">
        <v>2109</v>
      </c>
      <c r="D79" s="2" t="s">
        <v>122</v>
      </c>
      <c r="E79" s="2">
        <v>38</v>
      </c>
      <c r="F79" s="2">
        <v>745.81</v>
      </c>
    </row>
    <row r="80" spans="3:6" x14ac:dyDescent="0.25">
      <c r="C80" s="2" t="s">
        <v>2110</v>
      </c>
      <c r="D80" s="2" t="s">
        <v>122</v>
      </c>
      <c r="E80" s="2">
        <v>64</v>
      </c>
      <c r="F80" s="2">
        <v>1637.637</v>
      </c>
    </row>
    <row r="81" spans="3:6" x14ac:dyDescent="0.25">
      <c r="C81" s="2" t="s">
        <v>2111</v>
      </c>
      <c r="D81" s="2" t="s">
        <v>122</v>
      </c>
      <c r="E81" s="2">
        <v>75</v>
      </c>
      <c r="F81" s="2">
        <v>331.23</v>
      </c>
    </row>
    <row r="82" spans="3:6" x14ac:dyDescent="0.25">
      <c r="C82" s="2" t="s">
        <v>2112</v>
      </c>
      <c r="D82" s="2" t="s">
        <v>122</v>
      </c>
      <c r="E82" s="2">
        <v>81</v>
      </c>
      <c r="F82" s="2">
        <v>1666.1</v>
      </c>
    </row>
    <row r="83" spans="3:6" x14ac:dyDescent="0.25">
      <c r="C83" s="2" t="s">
        <v>2113</v>
      </c>
      <c r="D83" s="2" t="s">
        <v>122</v>
      </c>
      <c r="E83" s="2">
        <v>60</v>
      </c>
      <c r="F83" s="2">
        <v>1160.28</v>
      </c>
    </row>
    <row r="84" spans="3:6" x14ac:dyDescent="0.25">
      <c r="C84" s="2" t="s">
        <v>2114</v>
      </c>
      <c r="D84" s="2" t="s">
        <v>122</v>
      </c>
      <c r="E84" s="2">
        <v>51</v>
      </c>
      <c r="F84" s="2">
        <v>1058.1</v>
      </c>
    </row>
    <row r="85" spans="3:6" x14ac:dyDescent="0.25">
      <c r="C85" s="2" t="s">
        <v>2115</v>
      </c>
      <c r="D85" s="2" t="s">
        <v>122</v>
      </c>
      <c r="E85" s="2">
        <v>90</v>
      </c>
      <c r="F85" s="2">
        <v>1696.94</v>
      </c>
    </row>
    <row r="86" spans="3:6" x14ac:dyDescent="0.25">
      <c r="C86" s="2" t="s">
        <v>2116</v>
      </c>
      <c r="D86" s="2" t="s">
        <v>122</v>
      </c>
      <c r="E86" s="2">
        <v>141</v>
      </c>
      <c r="F86" s="2">
        <v>2875.56</v>
      </c>
    </row>
    <row r="87" spans="3:6" x14ac:dyDescent="0.25">
      <c r="C87" s="2" t="s">
        <v>2117</v>
      </c>
      <c r="D87" s="2" t="s">
        <v>122</v>
      </c>
      <c r="E87" s="2">
        <v>141</v>
      </c>
      <c r="F87" s="2">
        <v>2919.427</v>
      </c>
    </row>
    <row r="88" spans="3:6" x14ac:dyDescent="0.25">
      <c r="C88" s="2" t="s">
        <v>2118</v>
      </c>
      <c r="D88" s="2" t="s">
        <v>122</v>
      </c>
      <c r="E88" s="2">
        <v>141</v>
      </c>
      <c r="F88" s="2">
        <v>2905.8</v>
      </c>
    </row>
    <row r="89" spans="3:6" x14ac:dyDescent="0.25">
      <c r="C89" s="2" t="s">
        <v>2119</v>
      </c>
      <c r="D89" s="2" t="s">
        <v>122</v>
      </c>
      <c r="E89" s="2">
        <v>141</v>
      </c>
      <c r="F89" s="2">
        <v>2784.359</v>
      </c>
    </row>
    <row r="90" spans="3:6" x14ac:dyDescent="0.25">
      <c r="C90" s="2" t="s">
        <v>2120</v>
      </c>
      <c r="D90" s="2" t="s">
        <v>122</v>
      </c>
      <c r="E90" s="2">
        <v>75</v>
      </c>
      <c r="F90" s="2">
        <v>330.89</v>
      </c>
    </row>
    <row r="91" spans="3:6" x14ac:dyDescent="0.25">
      <c r="C91" s="2" t="s">
        <v>2121</v>
      </c>
      <c r="D91" s="2" t="s">
        <v>122</v>
      </c>
      <c r="E91" s="2">
        <v>141</v>
      </c>
      <c r="F91" s="2">
        <v>2855.769</v>
      </c>
    </row>
    <row r="92" spans="3:6" x14ac:dyDescent="0.25">
      <c r="C92" s="2" t="s">
        <v>2122</v>
      </c>
      <c r="D92" s="2" t="s">
        <v>122</v>
      </c>
      <c r="E92" s="2">
        <v>121</v>
      </c>
      <c r="F92" s="2">
        <v>2481.959</v>
      </c>
    </row>
    <row r="93" spans="3:6" x14ac:dyDescent="0.25">
      <c r="C93" s="2" t="s">
        <v>2123</v>
      </c>
      <c r="D93" s="2" t="s">
        <v>122</v>
      </c>
      <c r="E93" s="2">
        <v>102</v>
      </c>
      <c r="F93" s="2">
        <v>2115.15</v>
      </c>
    </row>
    <row r="94" spans="3:6" x14ac:dyDescent="0.25">
      <c r="C94" s="2" t="s">
        <v>2124</v>
      </c>
      <c r="D94" s="2" t="s">
        <v>122</v>
      </c>
      <c r="E94" s="2">
        <v>141</v>
      </c>
      <c r="F94" s="2">
        <v>3011.41</v>
      </c>
    </row>
    <row r="95" spans="3:6" x14ac:dyDescent="0.25">
      <c r="C95" s="2" t="s">
        <v>2125</v>
      </c>
      <c r="D95" s="2" t="s">
        <v>122</v>
      </c>
      <c r="E95" s="2">
        <v>141</v>
      </c>
      <c r="F95" s="2">
        <v>2913.889</v>
      </c>
    </row>
    <row r="96" spans="3:6" x14ac:dyDescent="0.25">
      <c r="C96" s="2" t="s">
        <v>2126</v>
      </c>
      <c r="D96" s="2" t="s">
        <v>122</v>
      </c>
      <c r="E96" s="2">
        <v>121</v>
      </c>
      <c r="F96" s="2">
        <v>2525.05</v>
      </c>
    </row>
    <row r="97" spans="3:6" x14ac:dyDescent="0.25">
      <c r="C97" s="2" t="s">
        <v>2127</v>
      </c>
      <c r="D97" s="2" t="s">
        <v>122</v>
      </c>
      <c r="E97" s="2">
        <v>13</v>
      </c>
      <c r="F97" s="2">
        <v>247.59</v>
      </c>
    </row>
    <row r="98" spans="3:6" x14ac:dyDescent="0.25">
      <c r="C98" s="2" t="s">
        <v>2128</v>
      </c>
      <c r="D98" s="2" t="s">
        <v>122</v>
      </c>
      <c r="E98" s="2">
        <v>62</v>
      </c>
      <c r="F98" s="2">
        <v>1200.53</v>
      </c>
    </row>
    <row r="99" spans="3:6" x14ac:dyDescent="0.25">
      <c r="C99" s="2" t="s">
        <v>2129</v>
      </c>
      <c r="D99" s="2" t="s">
        <v>122</v>
      </c>
      <c r="E99" s="2">
        <v>10</v>
      </c>
      <c r="F99" s="2">
        <v>202.25</v>
      </c>
    </row>
    <row r="100" spans="3:6" x14ac:dyDescent="0.25">
      <c r="C100" s="2" t="s">
        <v>2130</v>
      </c>
      <c r="D100" s="2" t="s">
        <v>122</v>
      </c>
      <c r="E100" s="2">
        <v>26</v>
      </c>
      <c r="F100" s="2">
        <v>480.35</v>
      </c>
    </row>
    <row r="101" spans="3:6" x14ac:dyDescent="0.25">
      <c r="C101" s="2" t="s">
        <v>2131</v>
      </c>
      <c r="D101" s="2" t="s">
        <v>122</v>
      </c>
      <c r="E101" s="2">
        <v>66</v>
      </c>
      <c r="F101" s="2">
        <v>1264.7</v>
      </c>
    </row>
    <row r="102" spans="3:6" x14ac:dyDescent="0.25">
      <c r="C102" s="2" t="s">
        <v>2132</v>
      </c>
      <c r="D102" s="2" t="s">
        <v>122</v>
      </c>
      <c r="E102" s="2">
        <v>79</v>
      </c>
      <c r="F102" s="2">
        <v>1605.07</v>
      </c>
    </row>
    <row r="103" spans="3:6" x14ac:dyDescent="0.25">
      <c r="C103" s="2" t="s">
        <v>2133</v>
      </c>
      <c r="D103" s="2" t="s">
        <v>122</v>
      </c>
      <c r="E103" s="2">
        <v>55</v>
      </c>
      <c r="F103" s="2">
        <v>1079.89</v>
      </c>
    </row>
    <row r="104" spans="3:6" x14ac:dyDescent="0.25">
      <c r="C104" s="2" t="s">
        <v>2134</v>
      </c>
      <c r="D104" s="2" t="s">
        <v>122</v>
      </c>
      <c r="E104" s="2">
        <v>52</v>
      </c>
      <c r="F104" s="2">
        <v>1042.25</v>
      </c>
    </row>
    <row r="105" spans="3:6" x14ac:dyDescent="0.25">
      <c r="C105" s="2" t="s">
        <v>2135</v>
      </c>
      <c r="D105" s="2" t="s">
        <v>122</v>
      </c>
      <c r="E105" s="2">
        <v>50</v>
      </c>
      <c r="F105" s="2">
        <v>994.29</v>
      </c>
    </row>
    <row r="106" spans="3:6" x14ac:dyDescent="0.25">
      <c r="C106" s="2" t="s">
        <v>2136</v>
      </c>
      <c r="D106" s="2" t="s">
        <v>122</v>
      </c>
      <c r="E106" s="2">
        <v>85</v>
      </c>
      <c r="F106" s="2">
        <v>1631.789</v>
      </c>
    </row>
    <row r="107" spans="3:6" x14ac:dyDescent="0.25">
      <c r="C107" s="2" t="s">
        <v>2137</v>
      </c>
      <c r="D107" s="2" t="s">
        <v>122</v>
      </c>
      <c r="E107" s="2">
        <v>8</v>
      </c>
      <c r="F107" s="2">
        <v>133.93</v>
      </c>
    </row>
    <row r="108" spans="3:6" x14ac:dyDescent="0.25">
      <c r="C108" s="2" t="s">
        <v>2138</v>
      </c>
      <c r="D108" s="2" t="s">
        <v>122</v>
      </c>
      <c r="E108" s="2">
        <v>28</v>
      </c>
      <c r="F108" s="2">
        <v>530.62</v>
      </c>
    </row>
    <row r="109" spans="3:6" x14ac:dyDescent="0.25">
      <c r="C109" s="2" t="s">
        <v>2139</v>
      </c>
      <c r="D109" s="2" t="s">
        <v>122</v>
      </c>
      <c r="E109" s="2">
        <v>102</v>
      </c>
      <c r="F109" s="2">
        <v>2172.95</v>
      </c>
    </row>
    <row r="110" spans="3:6" x14ac:dyDescent="0.25">
      <c r="C110" s="2" t="s">
        <v>2140</v>
      </c>
      <c r="D110" s="2" t="s">
        <v>122</v>
      </c>
      <c r="E110" s="2">
        <v>102</v>
      </c>
      <c r="F110" s="2">
        <v>1986.38</v>
      </c>
    </row>
    <row r="111" spans="3:6" x14ac:dyDescent="0.25">
      <c r="C111" s="2" t="s">
        <v>2141</v>
      </c>
      <c r="D111" s="2" t="s">
        <v>122</v>
      </c>
      <c r="E111" s="2">
        <v>71</v>
      </c>
      <c r="F111" s="2">
        <v>1335.07</v>
      </c>
    </row>
    <row r="112" spans="3:6" x14ac:dyDescent="0.25">
      <c r="C112" s="2" t="s">
        <v>2142</v>
      </c>
      <c r="D112" s="2" t="s">
        <v>122</v>
      </c>
      <c r="E112" s="2">
        <v>39</v>
      </c>
      <c r="F112" s="2">
        <v>749.549</v>
      </c>
    </row>
    <row r="113" spans="3:5" x14ac:dyDescent="0.25">
      <c r="C113" s="2" t="s">
        <v>2143</v>
      </c>
      <c r="D113" s="2" t="s">
        <v>122</v>
      </c>
      <c r="E113" s="2">
        <v>7</v>
      </c>
    </row>
    <row r="114" spans="3:5" x14ac:dyDescent="0.25">
      <c r="C114" s="2" t="s">
        <v>2144</v>
      </c>
      <c r="D114" s="2" t="s">
        <v>122</v>
      </c>
      <c r="E114" s="2">
        <v>4</v>
      </c>
    </row>
    <row r="116" spans="1:7" x14ac:dyDescent="0.25">
      <c r="A116" s="1">
        <v>46236</v>
      </c>
      <c r="B116" s="2" t="s">
        <v>398</v>
      </c>
      <c r="C116" s="2" t="s">
        <v>2145</v>
      </c>
      <c r="D116" s="2" t="s">
        <v>12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2146</v>
      </c>
      <c r="D117" s="2" t="s">
        <v>12</v>
      </c>
      <c r="E117" s="2">
        <v>150</v>
      </c>
      <c r="F117" s="2">
        <f>1044.84+1833.859</f>
        <v>2878.6989999999996</v>
      </c>
    </row>
    <row r="118" spans="3:6" x14ac:dyDescent="0.25">
      <c r="C118" s="2" t="s">
        <v>2147</v>
      </c>
      <c r="D118" s="2" t="s">
        <v>12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10</v>
      </c>
      <c r="C120" s="2" t="s">
        <v>2148</v>
      </c>
      <c r="D120" s="2" t="s">
        <v>12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2149</v>
      </c>
      <c r="D121" s="2" t="s">
        <v>12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375</v>
      </c>
      <c r="C123" s="2" t="s">
        <v>2150</v>
      </c>
      <c r="D123" s="2" t="s">
        <v>216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2151</v>
      </c>
      <c r="D124" s="2" t="s">
        <v>214</v>
      </c>
      <c r="E124" s="2">
        <v>156</v>
      </c>
      <c r="F124" s="2">
        <v>3212.668</v>
      </c>
    </row>
    <row r="125" spans="3:6" x14ac:dyDescent="0.25">
      <c r="C125" s="2" t="s">
        <v>2152</v>
      </c>
      <c r="D125" s="2" t="s">
        <v>214</v>
      </c>
      <c r="E125" s="2">
        <v>156</v>
      </c>
      <c r="F125" s="2">
        <v>2578.559</v>
      </c>
    </row>
    <row r="126" spans="3:6" x14ac:dyDescent="0.25">
      <c r="C126" s="2" t="s">
        <v>2153</v>
      </c>
      <c r="D126" s="2" t="s">
        <v>216</v>
      </c>
      <c r="E126" s="2">
        <v>134</v>
      </c>
      <c r="F126" s="2">
        <v>2787.74</v>
      </c>
    </row>
    <row r="127" spans="3:6" x14ac:dyDescent="0.25">
      <c r="C127" s="2" t="s">
        <v>2154</v>
      </c>
      <c r="D127" s="2" t="s">
        <v>216</v>
      </c>
      <c r="E127" s="2">
        <v>134</v>
      </c>
      <c r="F127" s="2">
        <v>2695.67</v>
      </c>
    </row>
    <row r="128" spans="3:6" x14ac:dyDescent="0.25">
      <c r="C128" s="2" t="s">
        <v>2155</v>
      </c>
      <c r="D128" s="2" t="s">
        <v>204</v>
      </c>
      <c r="E128" s="2">
        <v>70</v>
      </c>
      <c r="F128" s="2">
        <v>1030.716</v>
      </c>
    </row>
    <row r="129" spans="3:6" x14ac:dyDescent="0.25">
      <c r="C129" s="2" t="s">
        <v>2156</v>
      </c>
      <c r="D129" s="2" t="s">
        <v>342</v>
      </c>
      <c r="E129" s="2">
        <v>11</v>
      </c>
      <c r="F129" s="2">
        <v>186.33</v>
      </c>
    </row>
    <row r="130" spans="3:6" x14ac:dyDescent="0.25">
      <c r="C130" s="2" t="s">
        <v>2157</v>
      </c>
      <c r="D130" s="2" t="s">
        <v>342</v>
      </c>
      <c r="E130" s="2">
        <v>24</v>
      </c>
      <c r="F130" s="2">
        <v>416.55</v>
      </c>
    </row>
    <row r="131" spans="3:6" x14ac:dyDescent="0.25">
      <c r="C131" s="2" t="s">
        <v>2158</v>
      </c>
      <c r="D131" s="2" t="s">
        <v>204</v>
      </c>
      <c r="E131" s="2">
        <v>76</v>
      </c>
      <c r="F131" s="2">
        <v>1345.725</v>
      </c>
    </row>
    <row r="132" spans="3:6" x14ac:dyDescent="0.25">
      <c r="C132" s="2" t="s">
        <v>2159</v>
      </c>
      <c r="D132" s="2" t="s">
        <v>204</v>
      </c>
      <c r="E132" s="2">
        <v>96</v>
      </c>
      <c r="F132" s="2">
        <v>2142.12</v>
      </c>
    </row>
    <row r="133" spans="3:6" x14ac:dyDescent="0.25">
      <c r="C133" s="2" t="s">
        <v>2160</v>
      </c>
      <c r="D133" s="2" t="s">
        <v>204</v>
      </c>
      <c r="E133" s="2">
        <v>13</v>
      </c>
      <c r="F133" s="2">
        <v>270.13</v>
      </c>
    </row>
    <row r="134" spans="3:6" x14ac:dyDescent="0.25">
      <c r="C134" s="2" t="s">
        <v>2161</v>
      </c>
      <c r="D134" s="2" t="s">
        <v>204</v>
      </c>
      <c r="E134" s="2">
        <v>74</v>
      </c>
      <c r="F134" s="2">
        <v>374.591</v>
      </c>
    </row>
    <row r="135" spans="3:6" x14ac:dyDescent="0.25">
      <c r="C135" s="2" t="s">
        <v>2162</v>
      </c>
      <c r="D135" s="2" t="s">
        <v>214</v>
      </c>
      <c r="E135" s="2">
        <v>56</v>
      </c>
      <c r="F135" s="2">
        <v>1087.5</v>
      </c>
    </row>
    <row r="136" spans="3:6" x14ac:dyDescent="0.25">
      <c r="C136" s="2" t="s">
        <v>2163</v>
      </c>
      <c r="D136" s="2" t="s">
        <v>214</v>
      </c>
      <c r="E136" s="2">
        <v>100</v>
      </c>
      <c r="F136" s="2">
        <v>2057.98</v>
      </c>
    </row>
    <row r="137" spans="3:6" x14ac:dyDescent="0.25">
      <c r="C137" s="2" t="s">
        <v>2164</v>
      </c>
      <c r="D137" s="2" t="s">
        <v>347</v>
      </c>
      <c r="E137" s="2">
        <v>100</v>
      </c>
      <c r="F137" s="2">
        <v>1860.889</v>
      </c>
    </row>
    <row r="138" spans="3:6" x14ac:dyDescent="0.25">
      <c r="C138" s="2" t="s">
        <v>2165</v>
      </c>
      <c r="D138" s="2" t="s">
        <v>347</v>
      </c>
      <c r="E138" s="2">
        <v>56</v>
      </c>
      <c r="F138" s="2">
        <v>1022.45</v>
      </c>
    </row>
    <row r="139" spans="3:6" x14ac:dyDescent="0.25">
      <c r="C139" s="2" t="s">
        <v>2166</v>
      </c>
      <c r="D139" s="2" t="s">
        <v>204</v>
      </c>
      <c r="E139" s="2">
        <v>128</v>
      </c>
      <c r="F139" s="2">
        <v>2557.89</v>
      </c>
    </row>
    <row r="140" spans="3:6" x14ac:dyDescent="0.25">
      <c r="C140" s="2" t="s">
        <v>2167</v>
      </c>
      <c r="D140" s="2" t="s">
        <v>204</v>
      </c>
      <c r="E140" s="2">
        <v>163</v>
      </c>
      <c r="F140" s="2">
        <v>3103.279</v>
      </c>
    </row>
    <row r="141" spans="3:6" x14ac:dyDescent="0.25">
      <c r="C141" s="2" t="s">
        <v>2168</v>
      </c>
      <c r="D141" s="2" t="s">
        <v>204</v>
      </c>
      <c r="E141" s="2">
        <v>163</v>
      </c>
      <c r="F141" s="2">
        <v>3211.29</v>
      </c>
    </row>
    <row r="142" spans="3:6" x14ac:dyDescent="0.25">
      <c r="C142" s="2" t="s">
        <v>2169</v>
      </c>
      <c r="D142" s="2" t="s">
        <v>236</v>
      </c>
      <c r="E142" s="2">
        <v>45</v>
      </c>
      <c r="F142" s="2">
        <v>839.21</v>
      </c>
    </row>
    <row r="143" spans="3:6" x14ac:dyDescent="0.25">
      <c r="C143" s="2" t="s">
        <v>2170</v>
      </c>
      <c r="D143" s="2" t="s">
        <v>236</v>
      </c>
      <c r="E143" s="2">
        <v>25</v>
      </c>
      <c r="F143" s="2">
        <v>495.959</v>
      </c>
    </row>
    <row r="144" spans="3:6" x14ac:dyDescent="0.25">
      <c r="C144" s="2" t="s">
        <v>2171</v>
      </c>
      <c r="D144" s="2" t="s">
        <v>236</v>
      </c>
      <c r="E144" s="2">
        <v>60</v>
      </c>
      <c r="F144" s="2">
        <v>1000.799</v>
      </c>
    </row>
    <row r="145" spans="3:6" x14ac:dyDescent="0.25">
      <c r="C145" s="2" t="s">
        <v>2172</v>
      </c>
      <c r="D145" s="2" t="s">
        <v>236</v>
      </c>
      <c r="E145" s="2">
        <v>80</v>
      </c>
      <c r="F145" s="2">
        <v>1530.88</v>
      </c>
    </row>
    <row r="146" spans="3:6" x14ac:dyDescent="0.25">
      <c r="C146" s="2" t="s">
        <v>2173</v>
      </c>
      <c r="D146" s="2" t="s">
        <v>204</v>
      </c>
      <c r="E146" s="2">
        <v>53</v>
      </c>
      <c r="F146" s="2">
        <v>1088.67</v>
      </c>
    </row>
    <row r="147" spans="3:6" x14ac:dyDescent="0.25">
      <c r="C147" s="2" t="s">
        <v>2174</v>
      </c>
      <c r="D147" s="2" t="s">
        <v>204</v>
      </c>
      <c r="E147" s="2">
        <v>52</v>
      </c>
      <c r="F147" s="2">
        <v>1038.02</v>
      </c>
    </row>
    <row r="148" spans="3:6" x14ac:dyDescent="0.25">
      <c r="C148" s="2" t="s">
        <v>2175</v>
      </c>
      <c r="D148" s="2" t="s">
        <v>216</v>
      </c>
      <c r="E148" s="2">
        <v>134</v>
      </c>
      <c r="F148" s="2">
        <v>2558.98</v>
      </c>
    </row>
    <row r="149" spans="3:6" x14ac:dyDescent="0.25">
      <c r="C149" s="2" t="s">
        <v>2176</v>
      </c>
      <c r="D149" s="2" t="s">
        <v>216</v>
      </c>
      <c r="E149" s="2">
        <v>134</v>
      </c>
      <c r="F149" s="2">
        <v>2704.71</v>
      </c>
    </row>
    <row r="150" spans="3:6" x14ac:dyDescent="0.25">
      <c r="C150" s="2" t="s">
        <v>2064</v>
      </c>
      <c r="D150" s="2" t="s">
        <v>216</v>
      </c>
      <c r="E150" s="2">
        <v>102</v>
      </c>
      <c r="F150" s="2">
        <v>2052.669</v>
      </c>
    </row>
    <row r="151" spans="3:6" x14ac:dyDescent="0.25">
      <c r="C151" s="2" t="s">
        <v>2054</v>
      </c>
      <c r="D151" s="2" t="s">
        <v>204</v>
      </c>
      <c r="E151" s="2">
        <v>134</v>
      </c>
      <c r="F151" s="2">
        <v>2797.18</v>
      </c>
    </row>
    <row r="152" spans="3:6" x14ac:dyDescent="0.25">
      <c r="C152" s="2" t="s">
        <v>2177</v>
      </c>
      <c r="D152" s="2" t="s">
        <v>204</v>
      </c>
      <c r="E152" s="2">
        <v>20</v>
      </c>
      <c r="F152" s="2">
        <v>358</v>
      </c>
    </row>
    <row r="154" spans="3:7" x14ac:dyDescent="0.25">
      <c r="C154" s="2" t="s">
        <v>2178</v>
      </c>
      <c r="D154" s="2" t="s">
        <v>342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2179</v>
      </c>
      <c r="D155" s="2" t="s">
        <v>342</v>
      </c>
      <c r="E155" s="2">
        <v>17</v>
      </c>
      <c r="F155" s="2">
        <v>302.269</v>
      </c>
    </row>
    <row r="156" spans="3:6" x14ac:dyDescent="0.25">
      <c r="C156" s="2" t="s">
        <v>2180</v>
      </c>
      <c r="D156" s="2" t="s">
        <v>342</v>
      </c>
      <c r="E156" s="2">
        <v>156</v>
      </c>
      <c r="F156" s="2">
        <v>3196.36</v>
      </c>
    </row>
    <row r="158" spans="2:7" x14ac:dyDescent="0.25">
      <c r="B158" s="2" t="s">
        <v>2077</v>
      </c>
      <c r="C158" s="2" t="s">
        <v>2181</v>
      </c>
      <c r="D158" s="2" t="s">
        <v>216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2182</v>
      </c>
      <c r="D159" s="2" t="s">
        <v>216</v>
      </c>
      <c r="E159" s="2">
        <v>56</v>
      </c>
      <c r="F159" s="2">
        <v>1048.14</v>
      </c>
    </row>
    <row r="160" spans="3:6" x14ac:dyDescent="0.25">
      <c r="C160" s="2" t="s">
        <v>2183</v>
      </c>
      <c r="D160" s="2" t="s">
        <v>216</v>
      </c>
      <c r="E160" s="2">
        <v>105</v>
      </c>
      <c r="F160" s="2">
        <v>2011.6</v>
      </c>
    </row>
    <row r="161" spans="3:6" x14ac:dyDescent="0.25">
      <c r="C161" s="2" t="s">
        <v>2184</v>
      </c>
      <c r="D161" s="2" t="s">
        <v>297</v>
      </c>
      <c r="E161" s="2">
        <v>100</v>
      </c>
      <c r="F161" s="2">
        <v>1836.58</v>
      </c>
    </row>
    <row r="162" spans="3:6" x14ac:dyDescent="0.25">
      <c r="C162" s="2" t="s">
        <v>2185</v>
      </c>
      <c r="D162" s="2" t="s">
        <v>297</v>
      </c>
      <c r="E162" s="2">
        <v>53</v>
      </c>
      <c r="F162" s="2">
        <v>1008.56</v>
      </c>
    </row>
    <row r="163" spans="3:6" x14ac:dyDescent="0.25">
      <c r="C163" s="2" t="s">
        <v>2186</v>
      </c>
      <c r="D163" s="2" t="s">
        <v>297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32</v>
      </c>
      <c r="C165" s="2" t="s">
        <v>2187</v>
      </c>
      <c r="D165" s="2" t="s">
        <v>20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2188</v>
      </c>
      <c r="D166" s="2" t="s">
        <v>20</v>
      </c>
      <c r="E166" s="2">
        <v>154</v>
      </c>
      <c r="F166" s="2">
        <v>3145.81</v>
      </c>
    </row>
    <row r="167" spans="3:6" x14ac:dyDescent="0.25">
      <c r="C167" s="2" t="s">
        <v>2189</v>
      </c>
      <c r="D167" s="2" t="s">
        <v>20</v>
      </c>
      <c r="E167" s="2">
        <v>105</v>
      </c>
      <c r="F167" s="2">
        <v>1993.079</v>
      </c>
    </row>
    <row r="168" spans="3:6" x14ac:dyDescent="0.25">
      <c r="C168" s="2" t="s">
        <v>2190</v>
      </c>
      <c r="D168" s="2" t="s">
        <v>20</v>
      </c>
      <c r="E168" s="2">
        <v>156</v>
      </c>
      <c r="F168" s="2">
        <v>3076.879</v>
      </c>
    </row>
    <row r="169" spans="3:6" x14ac:dyDescent="0.25">
      <c r="C169" s="2" t="s">
        <v>2191</v>
      </c>
      <c r="D169" s="2" t="s">
        <v>20</v>
      </c>
      <c r="E169" s="2">
        <v>93</v>
      </c>
      <c r="F169" s="2">
        <v>1805.21</v>
      </c>
    </row>
    <row r="170" spans="3:6" x14ac:dyDescent="0.25">
      <c r="C170" s="2" t="s">
        <v>2192</v>
      </c>
      <c r="D170" s="2" t="s">
        <v>20</v>
      </c>
      <c r="E170" s="2">
        <v>156</v>
      </c>
      <c r="F170" s="2">
        <v>3009.699</v>
      </c>
    </row>
    <row r="171" spans="3:6" x14ac:dyDescent="0.25">
      <c r="C171" s="2" t="s">
        <v>2193</v>
      </c>
      <c r="D171" s="2" t="s">
        <v>20</v>
      </c>
      <c r="E171" s="2">
        <v>156</v>
      </c>
      <c r="F171" s="2">
        <v>3065.029</v>
      </c>
    </row>
    <row r="172" spans="3:6" x14ac:dyDescent="0.25">
      <c r="C172" s="2" t="s">
        <v>2194</v>
      </c>
      <c r="D172" s="2" t="s">
        <v>20</v>
      </c>
      <c r="E172" s="2">
        <v>156</v>
      </c>
      <c r="F172" s="2">
        <v>3032.53</v>
      </c>
    </row>
    <row r="173" spans="3:6" x14ac:dyDescent="0.25">
      <c r="C173" s="2" t="s">
        <v>2195</v>
      </c>
      <c r="D173" s="2" t="s">
        <v>20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2196</v>
      </c>
      <c r="C175" s="2" t="s">
        <v>2197</v>
      </c>
      <c r="D175" s="2" t="s">
        <v>9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2198</v>
      </c>
      <c r="D176" s="2" t="s">
        <v>9</v>
      </c>
      <c r="E176" s="2">
        <v>141</v>
      </c>
      <c r="F176" s="2">
        <v>2794.51</v>
      </c>
    </row>
    <row r="177" spans="3:6" x14ac:dyDescent="0.25">
      <c r="C177" s="2" t="s">
        <v>2199</v>
      </c>
      <c r="D177" s="2" t="s">
        <v>9</v>
      </c>
      <c r="E177" s="2">
        <v>145</v>
      </c>
      <c r="F177" s="2">
        <v>636.587</v>
      </c>
    </row>
    <row r="178" spans="3:6" x14ac:dyDescent="0.25">
      <c r="C178" s="2" t="s">
        <v>2200</v>
      </c>
      <c r="D178" s="2" t="s">
        <v>9</v>
      </c>
      <c r="E178" s="2">
        <v>102</v>
      </c>
      <c r="F178" s="2">
        <v>2031.859</v>
      </c>
    </row>
    <row r="179" spans="3:6" x14ac:dyDescent="0.25">
      <c r="C179" s="2" t="s">
        <v>2201</v>
      </c>
      <c r="D179" s="2" t="s">
        <v>9</v>
      </c>
      <c r="E179" s="2">
        <v>123</v>
      </c>
      <c r="F179" s="2">
        <v>2545.929</v>
      </c>
    </row>
    <row r="180" spans="3:6" x14ac:dyDescent="0.25">
      <c r="C180" s="2" t="s">
        <v>2202</v>
      </c>
      <c r="D180" s="2" t="s">
        <v>9</v>
      </c>
      <c r="E180" s="2">
        <v>115</v>
      </c>
      <c r="F180" s="2">
        <v>2280.46</v>
      </c>
    </row>
    <row r="181" spans="3:6" x14ac:dyDescent="0.25">
      <c r="C181" s="2" t="s">
        <v>2203</v>
      </c>
      <c r="D181" s="2" t="s">
        <v>9</v>
      </c>
      <c r="E181" s="2">
        <v>125</v>
      </c>
      <c r="F181" s="2">
        <v>2457.539</v>
      </c>
    </row>
    <row r="182" spans="3:6" x14ac:dyDescent="0.25">
      <c r="C182" s="2" t="s">
        <v>2204</v>
      </c>
      <c r="D182" s="2" t="s">
        <v>9</v>
      </c>
      <c r="E182" s="2">
        <v>141</v>
      </c>
      <c r="F182" s="2">
        <v>2822.899</v>
      </c>
    </row>
    <row r="183" spans="3:6" x14ac:dyDescent="0.25">
      <c r="C183" s="2" t="s">
        <v>2205</v>
      </c>
      <c r="D183" s="2" t="s">
        <v>9</v>
      </c>
      <c r="E183" s="2">
        <v>141</v>
      </c>
      <c r="F183" s="2">
        <v>2929.459</v>
      </c>
    </row>
    <row r="184" spans="3:6" x14ac:dyDescent="0.25">
      <c r="C184" s="2" t="s">
        <v>2206</v>
      </c>
      <c r="D184" s="2" t="s">
        <v>9</v>
      </c>
      <c r="E184" s="2">
        <v>141</v>
      </c>
      <c r="F184" s="2">
        <v>2881.118</v>
      </c>
    </row>
    <row r="185" spans="3:6" x14ac:dyDescent="0.25">
      <c r="C185" s="2" t="s">
        <v>2207</v>
      </c>
      <c r="D185" s="2" t="s">
        <v>9</v>
      </c>
      <c r="E185" s="2">
        <v>44</v>
      </c>
      <c r="F185" s="2">
        <v>764.672</v>
      </c>
    </row>
    <row r="186" spans="3:6" x14ac:dyDescent="0.25">
      <c r="C186" s="2" t="s">
        <v>2208</v>
      </c>
      <c r="D186" s="2" t="s">
        <v>9</v>
      </c>
      <c r="E186" s="2">
        <v>48</v>
      </c>
      <c r="F186" s="2">
        <v>887.514</v>
      </c>
    </row>
    <row r="187" spans="3:6" x14ac:dyDescent="0.25">
      <c r="C187" s="2" t="s">
        <v>2209</v>
      </c>
      <c r="D187" s="2" t="s">
        <v>9</v>
      </c>
      <c r="E187" s="2">
        <v>123</v>
      </c>
      <c r="F187" s="2">
        <v>2374.78</v>
      </c>
    </row>
    <row r="188" spans="3:6" x14ac:dyDescent="0.25">
      <c r="C188" s="2" t="s">
        <v>2210</v>
      </c>
      <c r="D188" s="2" t="s">
        <v>9</v>
      </c>
      <c r="E188" s="2">
        <v>123</v>
      </c>
      <c r="F188" s="2">
        <v>2431.749</v>
      </c>
    </row>
    <row r="189" spans="3:6" x14ac:dyDescent="0.25">
      <c r="C189" s="2" t="s">
        <v>2211</v>
      </c>
      <c r="D189" s="2" t="s">
        <v>9</v>
      </c>
      <c r="E189" s="2">
        <v>141</v>
      </c>
      <c r="F189" s="2">
        <v>2759.528</v>
      </c>
    </row>
    <row r="190" spans="3:6" x14ac:dyDescent="0.25">
      <c r="C190" s="2" t="s">
        <v>2212</v>
      </c>
      <c r="D190" s="2" t="s">
        <v>9</v>
      </c>
      <c r="E190" s="2">
        <v>141</v>
      </c>
      <c r="F190" s="2">
        <v>2868.44</v>
      </c>
    </row>
    <row r="191" spans="3:6" x14ac:dyDescent="0.25">
      <c r="C191" s="2" t="s">
        <v>2213</v>
      </c>
      <c r="D191" s="2" t="s">
        <v>9</v>
      </c>
      <c r="E191" s="2">
        <v>141</v>
      </c>
      <c r="F191" s="2">
        <v>2755.66</v>
      </c>
    </row>
    <row r="192" spans="3:6" x14ac:dyDescent="0.25">
      <c r="C192" s="2" t="s">
        <v>2214</v>
      </c>
      <c r="D192" s="2" t="s">
        <v>9</v>
      </c>
      <c r="E192" s="2">
        <v>141</v>
      </c>
      <c r="F192" s="2">
        <v>2890.5</v>
      </c>
    </row>
    <row r="193" spans="3:6" x14ac:dyDescent="0.25">
      <c r="C193" s="2" t="s">
        <v>2215</v>
      </c>
      <c r="D193" s="2" t="s">
        <v>9</v>
      </c>
      <c r="E193" s="2">
        <v>141</v>
      </c>
      <c r="F193" s="2">
        <v>2830.91</v>
      </c>
    </row>
    <row r="194" spans="3:6" x14ac:dyDescent="0.25">
      <c r="C194" s="2" t="s">
        <v>2216</v>
      </c>
      <c r="D194" s="2" t="s">
        <v>9</v>
      </c>
      <c r="E194" s="2">
        <v>47</v>
      </c>
      <c r="F194" s="2">
        <v>844.175</v>
      </c>
    </row>
    <row r="195" spans="3:6" x14ac:dyDescent="0.25">
      <c r="C195" s="2" t="s">
        <v>2217</v>
      </c>
      <c r="D195" s="2" t="s">
        <v>9</v>
      </c>
      <c r="E195" s="2">
        <v>44</v>
      </c>
      <c r="F195" s="2">
        <v>861.592</v>
      </c>
    </row>
    <row r="196" spans="3:6" x14ac:dyDescent="0.25">
      <c r="C196" s="2" t="s">
        <v>2218</v>
      </c>
      <c r="D196" s="2" t="s">
        <v>9</v>
      </c>
      <c r="E196" s="2">
        <v>3</v>
      </c>
      <c r="F196" s="2">
        <v>67.65</v>
      </c>
    </row>
    <row r="197" spans="3:6" x14ac:dyDescent="0.25">
      <c r="C197" s="2" t="s">
        <v>2219</v>
      </c>
      <c r="D197" s="2" t="s">
        <v>9</v>
      </c>
      <c r="E197" s="2">
        <v>5</v>
      </c>
      <c r="F197" s="2">
        <v>104.64</v>
      </c>
    </row>
    <row r="198" spans="3:6" x14ac:dyDescent="0.25">
      <c r="C198" s="2" t="s">
        <v>2220</v>
      </c>
      <c r="D198" s="2" t="s">
        <v>9</v>
      </c>
      <c r="E198" s="2">
        <v>9</v>
      </c>
      <c r="F198" s="2">
        <v>182</v>
      </c>
    </row>
    <row r="199" spans="3:6" x14ac:dyDescent="0.25">
      <c r="C199" s="2" t="s">
        <v>2221</v>
      </c>
      <c r="D199" s="2" t="s">
        <v>9</v>
      </c>
      <c r="E199" s="2">
        <v>7</v>
      </c>
      <c r="F199" s="2">
        <v>67</v>
      </c>
    </row>
    <row r="200" spans="3:6" x14ac:dyDescent="0.25">
      <c r="C200" s="2" t="s">
        <v>2222</v>
      </c>
      <c r="D200" s="2" t="s">
        <v>9</v>
      </c>
      <c r="E200" s="2">
        <v>33</v>
      </c>
      <c r="F200" s="2">
        <v>663.92</v>
      </c>
    </row>
    <row r="201" spans="3:6" x14ac:dyDescent="0.25">
      <c r="C201" s="2" t="s">
        <v>2223</v>
      </c>
      <c r="D201" s="2" t="s">
        <v>9</v>
      </c>
      <c r="E201" s="2">
        <v>18</v>
      </c>
      <c r="F201" s="2">
        <v>313.357</v>
      </c>
    </row>
    <row r="202" spans="3:6" x14ac:dyDescent="0.25">
      <c r="C202" s="2" t="s">
        <v>2224</v>
      </c>
      <c r="D202" s="2" t="s">
        <v>9</v>
      </c>
      <c r="E202" s="2">
        <v>142</v>
      </c>
      <c r="F202" s="2">
        <v>2476.398</v>
      </c>
    </row>
    <row r="203" spans="3:6" x14ac:dyDescent="0.25">
      <c r="C203" s="2" t="s">
        <v>2225</v>
      </c>
      <c r="D203" s="2" t="s">
        <v>9</v>
      </c>
      <c r="E203" s="2">
        <v>100</v>
      </c>
      <c r="F203" s="2">
        <v>1992.619</v>
      </c>
    </row>
    <row r="204" spans="3:6" x14ac:dyDescent="0.25">
      <c r="C204" s="2" t="s">
        <v>2226</v>
      </c>
      <c r="D204" s="2" t="s">
        <v>9</v>
      </c>
      <c r="E204" s="2">
        <v>41</v>
      </c>
      <c r="F204" s="2">
        <v>821.35</v>
      </c>
    </row>
    <row r="205" spans="3:6" x14ac:dyDescent="0.25">
      <c r="C205" s="2" t="s">
        <v>2227</v>
      </c>
      <c r="D205" s="2" t="s">
        <v>9</v>
      </c>
      <c r="E205" s="2">
        <v>51</v>
      </c>
      <c r="F205" s="2">
        <v>960.359</v>
      </c>
    </row>
    <row r="206" spans="3:6" x14ac:dyDescent="0.25">
      <c r="C206" s="2" t="s">
        <v>2228</v>
      </c>
      <c r="D206" s="2" t="s">
        <v>9</v>
      </c>
      <c r="E206" s="2">
        <v>51</v>
      </c>
      <c r="F206" s="2">
        <v>932.779</v>
      </c>
    </row>
    <row r="207" spans="3:6" x14ac:dyDescent="0.25">
      <c r="C207" s="2" t="s">
        <v>2229</v>
      </c>
      <c r="D207" s="2" t="s">
        <v>9</v>
      </c>
      <c r="E207" s="2">
        <v>141</v>
      </c>
      <c r="F207" s="2">
        <v>2784.719</v>
      </c>
    </row>
    <row r="208" spans="3:6" x14ac:dyDescent="0.25">
      <c r="C208" s="2" t="s">
        <v>2230</v>
      </c>
      <c r="D208" s="2" t="s">
        <v>9</v>
      </c>
      <c r="E208" s="2">
        <v>102</v>
      </c>
      <c r="F208" s="2">
        <v>1777.069</v>
      </c>
    </row>
    <row r="209" spans="3:6" x14ac:dyDescent="0.25">
      <c r="C209" s="2" t="s">
        <v>2231</v>
      </c>
      <c r="D209" s="2" t="s">
        <v>9</v>
      </c>
      <c r="E209" s="2">
        <v>82</v>
      </c>
      <c r="F209" s="2">
        <v>1466.89</v>
      </c>
    </row>
    <row r="210" spans="3:6" x14ac:dyDescent="0.25">
      <c r="C210" s="2" t="s">
        <v>2232</v>
      </c>
      <c r="D210" s="2" t="s">
        <v>9</v>
      </c>
      <c r="E210" s="2">
        <v>20</v>
      </c>
      <c r="F210" s="2">
        <v>396.86</v>
      </c>
    </row>
    <row r="211" spans="3:6" x14ac:dyDescent="0.25">
      <c r="C211" s="2" t="s">
        <v>2233</v>
      </c>
      <c r="D211" s="2" t="s">
        <v>9</v>
      </c>
      <c r="E211" s="2">
        <v>22</v>
      </c>
      <c r="F211" s="2">
        <v>429.369</v>
      </c>
    </row>
    <row r="212" spans="3:6" x14ac:dyDescent="0.25">
      <c r="C212" s="2" t="s">
        <v>2234</v>
      </c>
      <c r="D212" s="2" t="s">
        <v>9</v>
      </c>
      <c r="E212" s="2">
        <v>13</v>
      </c>
      <c r="F212" s="2">
        <v>259.495</v>
      </c>
    </row>
    <row r="213" spans="3:6" x14ac:dyDescent="0.25">
      <c r="C213" s="2" t="s">
        <v>2235</v>
      </c>
      <c r="D213" s="2" t="s">
        <v>9</v>
      </c>
      <c r="E213" s="2">
        <v>67</v>
      </c>
      <c r="F213" s="2">
        <v>1294.808</v>
      </c>
    </row>
    <row r="214" spans="3:6" x14ac:dyDescent="0.25">
      <c r="C214" s="2" t="s">
        <v>2236</v>
      </c>
      <c r="D214" s="2" t="s">
        <v>9</v>
      </c>
      <c r="E214" s="2">
        <v>110</v>
      </c>
      <c r="F214" s="2">
        <v>2004.08</v>
      </c>
    </row>
    <row r="215" spans="3:6" x14ac:dyDescent="0.25">
      <c r="C215" s="2" t="s">
        <v>2237</v>
      </c>
      <c r="D215" s="2" t="s">
        <v>9</v>
      </c>
      <c r="E215" s="2">
        <v>7</v>
      </c>
      <c r="F215" s="2">
        <v>151.45</v>
      </c>
    </row>
    <row r="216" spans="3:6" x14ac:dyDescent="0.25">
      <c r="C216" s="2" t="s">
        <v>2238</v>
      </c>
      <c r="D216" s="2" t="s">
        <v>9</v>
      </c>
      <c r="E216" s="2">
        <v>14</v>
      </c>
      <c r="F216" s="2">
        <v>272.34</v>
      </c>
    </row>
    <row r="217" spans="3:6" x14ac:dyDescent="0.25">
      <c r="C217" s="2" t="s">
        <v>2239</v>
      </c>
      <c r="D217" s="2" t="s">
        <v>9</v>
      </c>
      <c r="E217" s="2">
        <v>10</v>
      </c>
      <c r="F217" s="2">
        <v>209.75</v>
      </c>
    </row>
    <row r="218" spans="3:6" x14ac:dyDescent="0.25">
      <c r="C218" s="2" t="s">
        <v>2240</v>
      </c>
      <c r="D218" s="2" t="s">
        <v>9</v>
      </c>
      <c r="E218" s="2">
        <v>34</v>
      </c>
      <c r="F218" s="2">
        <v>641.88</v>
      </c>
    </row>
    <row r="219" spans="3:6" x14ac:dyDescent="0.25">
      <c r="C219" s="2" t="s">
        <v>2241</v>
      </c>
      <c r="D219" s="2" t="s">
        <v>9</v>
      </c>
      <c r="E219" s="2">
        <v>33</v>
      </c>
      <c r="F219" s="2">
        <v>616.88</v>
      </c>
    </row>
    <row r="220" spans="3:6" x14ac:dyDescent="0.25">
      <c r="C220" s="2" t="s">
        <v>2242</v>
      </c>
      <c r="D220" s="2" t="s">
        <v>9</v>
      </c>
      <c r="E220" s="2">
        <v>31</v>
      </c>
      <c r="F220" s="2">
        <v>617.15</v>
      </c>
    </row>
    <row r="221" spans="3:6" x14ac:dyDescent="0.25">
      <c r="C221" s="2" t="s">
        <v>2243</v>
      </c>
      <c r="D221" s="2" t="s">
        <v>9</v>
      </c>
      <c r="E221" s="2">
        <v>43</v>
      </c>
      <c r="F221" s="2">
        <v>905.78</v>
      </c>
    </row>
    <row r="222" spans="3:6" x14ac:dyDescent="0.25">
      <c r="C222" s="2" t="s">
        <v>2244</v>
      </c>
      <c r="D222" s="2" t="s">
        <v>9</v>
      </c>
      <c r="E222" s="2">
        <v>141</v>
      </c>
      <c r="F222" s="2">
        <v>2439.078</v>
      </c>
    </row>
    <row r="223" spans="3:6" x14ac:dyDescent="0.25">
      <c r="C223" s="2" t="s">
        <v>2245</v>
      </c>
      <c r="D223" s="2" t="s">
        <v>9</v>
      </c>
      <c r="E223" s="2">
        <v>36</v>
      </c>
      <c r="F223" s="2">
        <v>726.26</v>
      </c>
    </row>
    <row r="224" spans="3:6" x14ac:dyDescent="0.25">
      <c r="C224" s="2" t="s">
        <v>2246</v>
      </c>
      <c r="D224" s="2" t="s">
        <v>9</v>
      </c>
      <c r="E224" s="2">
        <v>44</v>
      </c>
      <c r="F224" s="2">
        <v>908.14</v>
      </c>
    </row>
    <row r="225" spans="3:6" x14ac:dyDescent="0.25">
      <c r="C225" s="2" t="s">
        <v>2247</v>
      </c>
      <c r="D225" s="2" t="s">
        <v>9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120</v>
      </c>
      <c r="C227" s="2" t="s">
        <v>2248</v>
      </c>
      <c r="D227" s="2" t="s">
        <v>122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2249</v>
      </c>
      <c r="D228" s="2" t="s">
        <v>122</v>
      </c>
      <c r="E228" s="2">
        <v>141</v>
      </c>
      <c r="F228" s="2">
        <v>2686.828</v>
      </c>
    </row>
    <row r="229" spans="3:6" x14ac:dyDescent="0.25">
      <c r="C229" s="2" t="s">
        <v>2250</v>
      </c>
      <c r="D229" s="2" t="s">
        <v>122</v>
      </c>
      <c r="E229" s="2">
        <v>141</v>
      </c>
      <c r="F229" s="2">
        <v>2835.739</v>
      </c>
    </row>
    <row r="230" spans="3:6" x14ac:dyDescent="0.25">
      <c r="C230" s="2" t="s">
        <v>2251</v>
      </c>
      <c r="D230" s="2" t="s">
        <v>122</v>
      </c>
      <c r="E230" s="2">
        <v>71</v>
      </c>
      <c r="F230" s="2">
        <v>1450.91</v>
      </c>
    </row>
    <row r="231" spans="3:6" x14ac:dyDescent="0.25">
      <c r="C231" s="2" t="s">
        <v>2252</v>
      </c>
      <c r="D231" s="2" t="s">
        <v>122</v>
      </c>
      <c r="E231" s="2">
        <v>70</v>
      </c>
      <c r="F231" s="2">
        <v>1406.14</v>
      </c>
    </row>
    <row r="232" spans="3:6" x14ac:dyDescent="0.25">
      <c r="C232" s="2" t="s">
        <v>2253</v>
      </c>
      <c r="D232" s="2" t="s">
        <v>122</v>
      </c>
      <c r="E232" s="2">
        <v>101</v>
      </c>
      <c r="F232" s="2">
        <v>1883.969</v>
      </c>
    </row>
    <row r="233" spans="3:6" x14ac:dyDescent="0.25">
      <c r="C233" s="2" t="s">
        <v>2254</v>
      </c>
      <c r="D233" s="2" t="s">
        <v>122</v>
      </c>
      <c r="E233" s="2">
        <v>40</v>
      </c>
      <c r="F233" s="2">
        <v>789.81</v>
      </c>
    </row>
    <row r="234" spans="3:6" x14ac:dyDescent="0.25">
      <c r="C234" s="2" t="s">
        <v>2255</v>
      </c>
      <c r="D234" s="2" t="s">
        <v>122</v>
      </c>
      <c r="E234" s="2">
        <v>51</v>
      </c>
      <c r="F234" s="2">
        <v>974.52</v>
      </c>
    </row>
    <row r="235" spans="3:6" x14ac:dyDescent="0.25">
      <c r="C235" s="2" t="s">
        <v>2256</v>
      </c>
      <c r="D235" s="2" t="s">
        <v>122</v>
      </c>
      <c r="E235" s="2">
        <v>51</v>
      </c>
      <c r="F235" s="2">
        <v>997.83</v>
      </c>
    </row>
    <row r="236" spans="3:6" x14ac:dyDescent="0.25">
      <c r="C236" s="2" t="s">
        <v>2257</v>
      </c>
      <c r="D236" s="2" t="s">
        <v>122</v>
      </c>
      <c r="E236" s="2">
        <v>102</v>
      </c>
      <c r="F236" s="2">
        <v>1984.92</v>
      </c>
    </row>
    <row r="237" spans="3:6" x14ac:dyDescent="0.25">
      <c r="C237" s="2" t="s">
        <v>2258</v>
      </c>
      <c r="D237" s="2" t="s">
        <v>122</v>
      </c>
      <c r="E237" s="2">
        <v>71</v>
      </c>
      <c r="F237" s="2">
        <v>1459.2</v>
      </c>
    </row>
    <row r="238" spans="3:6" x14ac:dyDescent="0.25">
      <c r="C238" s="2" t="s">
        <v>2259</v>
      </c>
      <c r="D238" s="2" t="s">
        <v>122</v>
      </c>
      <c r="E238" s="2">
        <v>11</v>
      </c>
      <c r="F238" s="2">
        <v>243</v>
      </c>
    </row>
    <row r="239" spans="3:6" x14ac:dyDescent="0.25">
      <c r="C239" s="2" t="s">
        <v>2260</v>
      </c>
      <c r="D239" s="2" t="s">
        <v>122</v>
      </c>
      <c r="E239" s="2">
        <v>9</v>
      </c>
      <c r="F239" s="2">
        <v>180.45</v>
      </c>
    </row>
    <row r="240" spans="3:6" x14ac:dyDescent="0.25">
      <c r="C240" s="2" t="s">
        <v>2261</v>
      </c>
      <c r="D240" s="2" t="s">
        <v>122</v>
      </c>
      <c r="E240" s="2">
        <v>6</v>
      </c>
      <c r="F240" s="2">
        <v>104</v>
      </c>
    </row>
    <row r="241" spans="3:6" x14ac:dyDescent="0.25">
      <c r="C241" s="2" t="s">
        <v>2262</v>
      </c>
      <c r="D241" s="2" t="s">
        <v>122</v>
      </c>
      <c r="E241" s="2">
        <v>4</v>
      </c>
      <c r="F241" s="2">
        <v>62.75</v>
      </c>
    </row>
    <row r="242" spans="3:6" x14ac:dyDescent="0.25">
      <c r="C242" s="2" t="s">
        <v>2263</v>
      </c>
      <c r="D242" s="2" t="s">
        <v>122</v>
      </c>
      <c r="E242" s="2">
        <v>3</v>
      </c>
      <c r="F242" s="2">
        <v>7.65</v>
      </c>
    </row>
    <row r="243" spans="3:5" x14ac:dyDescent="0.25">
      <c r="C243" s="2" t="s">
        <v>2264</v>
      </c>
      <c r="D243" s="2" t="s">
        <v>122</v>
      </c>
      <c r="E243" s="2">
        <v>6</v>
      </c>
    </row>
    <row r="244" spans="3:6" x14ac:dyDescent="0.25">
      <c r="C244" s="2" t="s">
        <v>2265</v>
      </c>
      <c r="D244" s="2" t="s">
        <v>122</v>
      </c>
      <c r="E244" s="2">
        <v>31</v>
      </c>
      <c r="F244" s="2">
        <v>609.81</v>
      </c>
    </row>
    <row r="245" spans="3:6" x14ac:dyDescent="0.25">
      <c r="C245" s="2" t="s">
        <v>2266</v>
      </c>
      <c r="D245" s="2" t="s">
        <v>122</v>
      </c>
      <c r="E245" s="2">
        <v>38</v>
      </c>
      <c r="F245" s="2">
        <v>764.82</v>
      </c>
    </row>
    <row r="246" spans="3:6" x14ac:dyDescent="0.25">
      <c r="C246" s="2" t="s">
        <v>2267</v>
      </c>
      <c r="D246" s="2" t="s">
        <v>122</v>
      </c>
      <c r="E246" s="2">
        <v>30</v>
      </c>
      <c r="F246" s="2">
        <v>139.79</v>
      </c>
    </row>
    <row r="247" spans="3:6" x14ac:dyDescent="0.25">
      <c r="C247" s="2" t="s">
        <v>2268</v>
      </c>
      <c r="D247" s="2" t="s">
        <v>122</v>
      </c>
      <c r="E247" s="2">
        <v>65</v>
      </c>
      <c r="F247" s="2">
        <v>279.059</v>
      </c>
    </row>
    <row r="248" spans="3:6" x14ac:dyDescent="0.25">
      <c r="C248" s="2" t="s">
        <v>2269</v>
      </c>
      <c r="D248" s="2" t="s">
        <v>122</v>
      </c>
      <c r="E248" s="2">
        <v>22</v>
      </c>
      <c r="F248" s="2">
        <v>102.06</v>
      </c>
    </row>
    <row r="249" spans="3:6" x14ac:dyDescent="0.25">
      <c r="C249" s="2" t="s">
        <v>2270</v>
      </c>
      <c r="D249" s="2" t="s">
        <v>122</v>
      </c>
      <c r="E249" s="2">
        <v>4</v>
      </c>
      <c r="F249" s="2">
        <v>35.5</v>
      </c>
    </row>
    <row r="250" spans="3:6" x14ac:dyDescent="0.25">
      <c r="C250" s="2" t="s">
        <v>2271</v>
      </c>
      <c r="D250" s="2" t="s">
        <v>122</v>
      </c>
      <c r="E250" s="2">
        <v>3</v>
      </c>
      <c r="F250" s="2">
        <v>36.7</v>
      </c>
    </row>
    <row r="251" spans="3:6" x14ac:dyDescent="0.25">
      <c r="C251" s="2" t="s">
        <v>2272</v>
      </c>
      <c r="D251" s="2" t="s">
        <v>122</v>
      </c>
      <c r="E251" s="2">
        <v>48</v>
      </c>
      <c r="F251" s="2">
        <v>974.4</v>
      </c>
    </row>
    <row r="252" spans="3:6" x14ac:dyDescent="0.25">
      <c r="C252" s="2" t="s">
        <v>2273</v>
      </c>
      <c r="D252" s="2" t="s">
        <v>122</v>
      </c>
      <c r="E252" s="2">
        <v>29</v>
      </c>
      <c r="F252" s="2">
        <v>556.87</v>
      </c>
    </row>
    <row r="253" spans="3:6" x14ac:dyDescent="0.25">
      <c r="C253" s="2" t="s">
        <v>2274</v>
      </c>
      <c r="D253" s="2" t="s">
        <v>122</v>
      </c>
      <c r="E253" s="2">
        <v>13</v>
      </c>
      <c r="F253" s="2">
        <v>143.294</v>
      </c>
    </row>
    <row r="254" spans="3:6" x14ac:dyDescent="0.25">
      <c r="C254" s="2" t="s">
        <v>2275</v>
      </c>
      <c r="D254" s="2" t="s">
        <v>122</v>
      </c>
      <c r="E254" s="2">
        <v>67</v>
      </c>
      <c r="F254" s="2">
        <v>1311.94</v>
      </c>
    </row>
    <row r="255" spans="3:6" x14ac:dyDescent="0.25">
      <c r="C255" s="2" t="s">
        <v>2276</v>
      </c>
      <c r="D255" s="2" t="s">
        <v>122</v>
      </c>
      <c r="E255" s="2">
        <v>67</v>
      </c>
      <c r="F255" s="2">
        <v>1258.939</v>
      </c>
    </row>
    <row r="256" spans="3:6" x14ac:dyDescent="0.25">
      <c r="C256" s="2" t="s">
        <v>2277</v>
      </c>
      <c r="D256" s="2" t="s">
        <v>122</v>
      </c>
      <c r="E256" s="2">
        <v>51</v>
      </c>
      <c r="F256" s="2">
        <v>1005.71</v>
      </c>
    </row>
    <row r="257" spans="3:6" x14ac:dyDescent="0.25">
      <c r="C257" s="2" t="s">
        <v>2278</v>
      </c>
      <c r="D257" s="2" t="s">
        <v>122</v>
      </c>
      <c r="E257" s="2">
        <v>51</v>
      </c>
      <c r="F257" s="2">
        <v>1002.929</v>
      </c>
    </row>
    <row r="258" spans="3:6" x14ac:dyDescent="0.25">
      <c r="C258" s="2" t="s">
        <v>2279</v>
      </c>
      <c r="D258" s="2" t="s">
        <v>122</v>
      </c>
      <c r="E258" s="2">
        <v>25</v>
      </c>
      <c r="F258" s="2">
        <v>107.939</v>
      </c>
    </row>
    <row r="259" spans="3:5" x14ac:dyDescent="0.25">
      <c r="C259" s="2" t="s">
        <v>2280</v>
      </c>
      <c r="D259" s="2" t="s">
        <v>122</v>
      </c>
      <c r="E259" s="2">
        <v>28</v>
      </c>
    </row>
    <row r="260" spans="3:6" x14ac:dyDescent="0.25">
      <c r="C260" s="2" t="s">
        <v>2281</v>
      </c>
      <c r="D260" s="2" t="s">
        <v>122</v>
      </c>
      <c r="E260" s="2">
        <v>121</v>
      </c>
      <c r="F260" s="2">
        <v>2474.45</v>
      </c>
    </row>
    <row r="261" spans="3:6" x14ac:dyDescent="0.25">
      <c r="C261" s="2" t="s">
        <v>2282</v>
      </c>
      <c r="D261" s="2" t="s">
        <v>122</v>
      </c>
      <c r="E261" s="2">
        <v>121</v>
      </c>
      <c r="F261" s="2">
        <v>2466.16</v>
      </c>
    </row>
    <row r="262" spans="3:6" x14ac:dyDescent="0.25">
      <c r="C262" s="2" t="s">
        <v>2283</v>
      </c>
      <c r="D262" s="2" t="s">
        <v>122</v>
      </c>
      <c r="E262" s="2">
        <v>90</v>
      </c>
      <c r="F262" s="2">
        <v>1756.63</v>
      </c>
    </row>
    <row r="263" spans="3:6" x14ac:dyDescent="0.25">
      <c r="C263" s="2" t="s">
        <v>2284</v>
      </c>
      <c r="D263" s="2" t="s">
        <v>122</v>
      </c>
      <c r="E263" s="2">
        <v>31</v>
      </c>
      <c r="F263" s="2">
        <v>594.99</v>
      </c>
    </row>
    <row r="264" spans="3:6" x14ac:dyDescent="0.25">
      <c r="C264" s="2" t="s">
        <v>2285</v>
      </c>
      <c r="D264" s="2" t="s">
        <v>122</v>
      </c>
      <c r="E264" s="2">
        <v>53</v>
      </c>
      <c r="F264" s="2">
        <v>1035.52</v>
      </c>
    </row>
    <row r="265" spans="3:6" x14ac:dyDescent="0.25">
      <c r="C265" s="2" t="s">
        <v>2286</v>
      </c>
      <c r="D265" s="2" t="s">
        <v>122</v>
      </c>
      <c r="E265" s="2">
        <v>30</v>
      </c>
      <c r="F265" s="2">
        <v>576.71</v>
      </c>
    </row>
    <row r="266" spans="3:6" x14ac:dyDescent="0.25">
      <c r="C266" s="2" t="s">
        <v>2287</v>
      </c>
      <c r="D266" s="2" t="s">
        <v>122</v>
      </c>
      <c r="E266" s="2">
        <v>30</v>
      </c>
      <c r="F266" s="2">
        <v>613.53</v>
      </c>
    </row>
    <row r="267" spans="3:6" x14ac:dyDescent="0.25">
      <c r="C267" s="2" t="s">
        <v>2288</v>
      </c>
      <c r="D267" s="2" t="s">
        <v>122</v>
      </c>
      <c r="E267" s="2">
        <v>8</v>
      </c>
      <c r="F267" s="2">
        <v>152.68</v>
      </c>
    </row>
    <row r="268" spans="3:6" x14ac:dyDescent="0.25">
      <c r="C268" s="2" t="s">
        <v>2289</v>
      </c>
      <c r="D268" s="2" t="s">
        <v>122</v>
      </c>
      <c r="E268" s="2">
        <v>124</v>
      </c>
      <c r="F268" s="2">
        <v>2557.89</v>
      </c>
    </row>
    <row r="269" spans="3:6" x14ac:dyDescent="0.25">
      <c r="C269" s="2" t="s">
        <v>2290</v>
      </c>
      <c r="D269" s="2" t="s">
        <v>122</v>
      </c>
      <c r="E269" s="2">
        <v>17</v>
      </c>
      <c r="F269" s="2">
        <v>362.54</v>
      </c>
    </row>
    <row r="270" spans="3:6" x14ac:dyDescent="0.25">
      <c r="C270" s="2" t="s">
        <v>2291</v>
      </c>
      <c r="D270" s="2" t="s">
        <v>122</v>
      </c>
      <c r="E270" s="2">
        <v>105</v>
      </c>
      <c r="F270" s="2">
        <v>2070.31</v>
      </c>
    </row>
    <row r="271" spans="3:6" x14ac:dyDescent="0.25">
      <c r="C271" s="2" t="s">
        <v>2292</v>
      </c>
      <c r="D271" s="2" t="s">
        <v>122</v>
      </c>
      <c r="E271" s="2">
        <v>36</v>
      </c>
      <c r="F271" s="2">
        <v>698.44</v>
      </c>
    </row>
    <row r="272" spans="3:6" x14ac:dyDescent="0.25">
      <c r="C272" s="2" t="s">
        <v>2293</v>
      </c>
      <c r="D272" s="2" t="s">
        <v>122</v>
      </c>
      <c r="E272" s="2">
        <v>92</v>
      </c>
      <c r="F272" s="2">
        <v>1806.67</v>
      </c>
    </row>
    <row r="273" spans="3:6" x14ac:dyDescent="0.25">
      <c r="C273" s="2" t="s">
        <v>2294</v>
      </c>
      <c r="D273" s="2" t="s">
        <v>122</v>
      </c>
      <c r="E273" s="2">
        <v>49</v>
      </c>
      <c r="F273" s="2">
        <v>999.89</v>
      </c>
    </row>
    <row r="274" spans="3:6" x14ac:dyDescent="0.25">
      <c r="C274" s="2" t="s">
        <v>2295</v>
      </c>
      <c r="D274" s="2" t="s">
        <v>122</v>
      </c>
      <c r="E274" s="2">
        <v>94</v>
      </c>
      <c r="F274" s="2">
        <v>1964.73</v>
      </c>
    </row>
    <row r="275" spans="3:6" x14ac:dyDescent="0.25">
      <c r="C275" s="2" t="s">
        <v>2296</v>
      </c>
      <c r="D275" s="2" t="s">
        <v>122</v>
      </c>
      <c r="E275" s="2">
        <v>47</v>
      </c>
      <c r="F275" s="2">
        <v>918.67</v>
      </c>
    </row>
    <row r="276" spans="3:6" x14ac:dyDescent="0.25">
      <c r="C276" s="2" t="s">
        <v>2297</v>
      </c>
      <c r="D276" s="2" t="s">
        <v>122</v>
      </c>
      <c r="E276" s="2">
        <v>30</v>
      </c>
      <c r="F276" s="2">
        <v>132.31</v>
      </c>
    </row>
    <row r="277" spans="3:6" x14ac:dyDescent="0.25">
      <c r="C277" s="2" t="s">
        <v>2298</v>
      </c>
      <c r="D277" s="2" t="s">
        <v>122</v>
      </c>
      <c r="E277" s="2">
        <v>32</v>
      </c>
      <c r="F277" s="2">
        <v>669.41</v>
      </c>
    </row>
    <row r="278" spans="3:6" x14ac:dyDescent="0.25">
      <c r="C278" s="2" t="s">
        <v>2299</v>
      </c>
      <c r="D278" s="2" t="s">
        <v>122</v>
      </c>
      <c r="E278" s="2">
        <v>43</v>
      </c>
      <c r="F278" s="2">
        <v>834.72</v>
      </c>
    </row>
    <row r="279" spans="3:6" x14ac:dyDescent="0.25">
      <c r="C279" s="2" t="s">
        <v>2300</v>
      </c>
      <c r="D279" s="2" t="s">
        <v>122</v>
      </c>
      <c r="E279" s="2">
        <v>40</v>
      </c>
      <c r="F279" s="2">
        <v>815.66</v>
      </c>
    </row>
    <row r="280" spans="3:6" x14ac:dyDescent="0.25">
      <c r="C280" s="2" t="s">
        <v>2301</v>
      </c>
      <c r="D280" s="2" t="s">
        <v>122</v>
      </c>
      <c r="E280" s="2">
        <v>26</v>
      </c>
      <c r="F280" s="2">
        <v>463.26</v>
      </c>
    </row>
    <row r="281" spans="3:6" x14ac:dyDescent="0.25">
      <c r="C281" s="2" t="s">
        <v>2302</v>
      </c>
      <c r="D281" s="2" t="s">
        <v>122</v>
      </c>
      <c r="E281" s="2">
        <v>39</v>
      </c>
      <c r="F281" s="2">
        <v>777.66</v>
      </c>
    </row>
    <row r="282" spans="3:6" x14ac:dyDescent="0.25">
      <c r="C282" s="2" t="s">
        <v>2303</v>
      </c>
      <c r="D282" s="2" t="s">
        <v>122</v>
      </c>
      <c r="E282" s="2">
        <v>31</v>
      </c>
      <c r="F282" s="2">
        <v>631.27</v>
      </c>
    </row>
    <row r="283" spans="3:6" x14ac:dyDescent="0.25">
      <c r="C283" s="2" t="s">
        <v>2304</v>
      </c>
      <c r="D283" s="2" t="s">
        <v>122</v>
      </c>
      <c r="E283" s="2">
        <v>24</v>
      </c>
      <c r="F283" s="2">
        <v>441.31</v>
      </c>
    </row>
    <row r="284" spans="3:6" x14ac:dyDescent="0.25">
      <c r="C284" s="2" t="s">
        <v>2305</v>
      </c>
      <c r="D284" s="2" t="s">
        <v>122</v>
      </c>
      <c r="E284" s="2">
        <v>25</v>
      </c>
      <c r="F284" s="2">
        <v>458.26</v>
      </c>
    </row>
    <row r="285" spans="3:6" x14ac:dyDescent="0.25">
      <c r="C285" s="2" t="s">
        <v>2306</v>
      </c>
      <c r="D285" s="2" t="s">
        <v>122</v>
      </c>
      <c r="E285" s="2">
        <v>22</v>
      </c>
      <c r="F285" s="2">
        <v>395.64</v>
      </c>
    </row>
    <row r="286" spans="3:6" x14ac:dyDescent="0.25">
      <c r="C286" s="2" t="s">
        <v>2307</v>
      </c>
      <c r="D286" s="2" t="s">
        <v>122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90</v>
      </c>
      <c r="C288" s="2" t="s">
        <v>2308</v>
      </c>
      <c r="D288" s="2" t="s">
        <v>42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2309</v>
      </c>
      <c r="D289" s="2" t="s">
        <v>42</v>
      </c>
      <c r="E289" s="2">
        <v>123</v>
      </c>
      <c r="F289" s="2">
        <v>2364.649</v>
      </c>
    </row>
    <row r="290" spans="3:6" x14ac:dyDescent="0.25">
      <c r="C290" s="2" t="s">
        <v>2310</v>
      </c>
      <c r="D290" s="2" t="s">
        <v>42</v>
      </c>
      <c r="E290" s="2">
        <v>123</v>
      </c>
      <c r="F290" s="2">
        <v>2307.159</v>
      </c>
    </row>
    <row r="291" spans="3:6" x14ac:dyDescent="0.25">
      <c r="C291" s="2" t="s">
        <v>2311</v>
      </c>
      <c r="D291" s="2" t="s">
        <v>42</v>
      </c>
      <c r="E291" s="2">
        <v>141</v>
      </c>
      <c r="F291" s="2">
        <v>2729.78</v>
      </c>
    </row>
    <row r="292" spans="3:6" x14ac:dyDescent="0.25">
      <c r="C292" s="2" t="s">
        <v>2312</v>
      </c>
      <c r="D292" s="2" t="s">
        <v>42</v>
      </c>
      <c r="E292" s="2">
        <v>141</v>
      </c>
      <c r="F292" s="2">
        <v>2996.91</v>
      </c>
    </row>
    <row r="293" spans="3:6" x14ac:dyDescent="0.25">
      <c r="C293" s="2" t="s">
        <v>2313</v>
      </c>
      <c r="D293" s="2" t="s">
        <v>42</v>
      </c>
      <c r="E293" s="2">
        <v>141</v>
      </c>
      <c r="F293" s="2">
        <v>2824.829</v>
      </c>
    </row>
    <row r="294" spans="3:6" x14ac:dyDescent="0.25">
      <c r="C294" s="2" t="s">
        <v>2314</v>
      </c>
      <c r="D294" s="2" t="s">
        <v>42</v>
      </c>
      <c r="E294" s="2">
        <v>141</v>
      </c>
      <c r="F294" s="2">
        <v>3064.54</v>
      </c>
    </row>
    <row r="295" spans="3:6" x14ac:dyDescent="0.25">
      <c r="C295" s="2" t="s">
        <v>2315</v>
      </c>
      <c r="D295" s="2" t="s">
        <v>42</v>
      </c>
      <c r="E295" s="2">
        <v>50</v>
      </c>
      <c r="F295" s="2">
        <v>242.03</v>
      </c>
    </row>
    <row r="296" spans="3:6" x14ac:dyDescent="0.25">
      <c r="C296" s="2" t="s">
        <v>2316</v>
      </c>
      <c r="D296" s="2" t="s">
        <v>42</v>
      </c>
      <c r="E296" s="2">
        <v>141</v>
      </c>
      <c r="F296" s="2">
        <v>2870.49</v>
      </c>
    </row>
    <row r="297" spans="3:6" x14ac:dyDescent="0.25">
      <c r="C297" s="2" t="s">
        <v>2317</v>
      </c>
      <c r="D297" s="2" t="s">
        <v>42</v>
      </c>
      <c r="E297" s="2">
        <v>134</v>
      </c>
      <c r="F297" s="2">
        <v>2893.02</v>
      </c>
    </row>
    <row r="298" spans="3:6" x14ac:dyDescent="0.25">
      <c r="C298" s="2" t="s">
        <v>2318</v>
      </c>
      <c r="D298" s="2" t="s">
        <v>42</v>
      </c>
      <c r="E298" s="2">
        <v>123</v>
      </c>
      <c r="F298" s="2">
        <v>2364.31</v>
      </c>
    </row>
    <row r="299" spans="3:6" x14ac:dyDescent="0.25">
      <c r="C299" s="2" t="s">
        <v>2319</v>
      </c>
      <c r="D299" s="2" t="s">
        <v>42</v>
      </c>
      <c r="E299" s="2">
        <v>100</v>
      </c>
      <c r="F299" s="2">
        <v>1949.84</v>
      </c>
    </row>
    <row r="300" spans="3:6" x14ac:dyDescent="0.25">
      <c r="C300" s="2" t="s">
        <v>2320</v>
      </c>
      <c r="D300" s="2" t="s">
        <v>42</v>
      </c>
      <c r="E300" s="2">
        <v>45</v>
      </c>
      <c r="F300" s="2">
        <v>222.86</v>
      </c>
    </row>
    <row r="301" spans="3:6" x14ac:dyDescent="0.25">
      <c r="C301" s="2" t="s">
        <v>2321</v>
      </c>
      <c r="D301" s="2" t="s">
        <v>42</v>
      </c>
      <c r="E301" s="2">
        <v>45</v>
      </c>
      <c r="F301" s="2">
        <v>222.78</v>
      </c>
    </row>
    <row r="302" spans="3:6" x14ac:dyDescent="0.25">
      <c r="C302" s="2" t="s">
        <v>2322</v>
      </c>
      <c r="D302" s="2" t="s">
        <v>42</v>
      </c>
      <c r="E302" s="2">
        <v>141</v>
      </c>
      <c r="F302" s="2">
        <v>2762.169</v>
      </c>
    </row>
    <row r="303" spans="3:6" x14ac:dyDescent="0.25">
      <c r="C303" s="2" t="s">
        <v>2323</v>
      </c>
      <c r="D303" s="2" t="s">
        <v>42</v>
      </c>
      <c r="E303" s="2">
        <v>40</v>
      </c>
      <c r="F303" s="2">
        <v>783.14</v>
      </c>
    </row>
    <row r="304" spans="3:6" x14ac:dyDescent="0.25">
      <c r="C304" s="2" t="s">
        <v>2324</v>
      </c>
      <c r="D304" s="2" t="s">
        <v>42</v>
      </c>
      <c r="E304" s="2">
        <v>31</v>
      </c>
      <c r="F304" s="2">
        <v>555.5</v>
      </c>
    </row>
    <row r="305" spans="3:6" x14ac:dyDescent="0.25">
      <c r="C305" s="2" t="s">
        <v>2325</v>
      </c>
      <c r="D305" s="2" t="s">
        <v>42</v>
      </c>
      <c r="E305" s="2">
        <v>69</v>
      </c>
      <c r="F305" s="2">
        <v>1282.09</v>
      </c>
    </row>
    <row r="306" spans="3:6" x14ac:dyDescent="0.25">
      <c r="C306" s="2" t="s">
        <v>2326</v>
      </c>
      <c r="D306" s="2" t="s">
        <v>42</v>
      </c>
      <c r="E306" s="2">
        <v>71</v>
      </c>
      <c r="F306" s="2">
        <v>1320.54</v>
      </c>
    </row>
    <row r="307" spans="3:6" x14ac:dyDescent="0.25">
      <c r="C307" s="2" t="s">
        <v>2327</v>
      </c>
      <c r="D307" s="2" t="s">
        <v>42</v>
      </c>
      <c r="E307" s="2">
        <v>29</v>
      </c>
      <c r="F307" s="2">
        <v>602.86</v>
      </c>
    </row>
    <row r="308" spans="3:6" x14ac:dyDescent="0.25">
      <c r="C308" s="2" t="s">
        <v>2328</v>
      </c>
      <c r="D308" s="2" t="s">
        <v>42</v>
      </c>
      <c r="E308" s="2">
        <v>60</v>
      </c>
      <c r="F308" s="2">
        <v>312.94</v>
      </c>
    </row>
    <row r="309" spans="3:6" x14ac:dyDescent="0.25">
      <c r="C309" s="2" t="s">
        <v>2329</v>
      </c>
      <c r="D309" s="2" t="s">
        <v>42</v>
      </c>
      <c r="E309" s="2">
        <v>141</v>
      </c>
      <c r="F309" s="2">
        <v>2702.97</v>
      </c>
    </row>
    <row r="310" spans="3:6" x14ac:dyDescent="0.25">
      <c r="C310" s="2" t="s">
        <v>2330</v>
      </c>
      <c r="D310" s="2" t="s">
        <v>42</v>
      </c>
      <c r="E310" s="2">
        <v>65</v>
      </c>
      <c r="F310" s="2">
        <v>1321.44</v>
      </c>
    </row>
    <row r="311" spans="3:6" x14ac:dyDescent="0.25">
      <c r="C311" s="2" t="s">
        <v>2331</v>
      </c>
      <c r="D311" s="2" t="s">
        <v>42</v>
      </c>
      <c r="E311" s="2">
        <v>10</v>
      </c>
      <c r="F311" s="2">
        <v>201.5</v>
      </c>
    </row>
    <row r="312" spans="3:6" x14ac:dyDescent="0.25">
      <c r="C312" s="2" t="s">
        <v>2332</v>
      </c>
      <c r="D312" s="2" t="s">
        <v>42</v>
      </c>
      <c r="E312" s="2">
        <v>37</v>
      </c>
      <c r="F312" s="2">
        <v>696.339</v>
      </c>
    </row>
    <row r="313" spans="3:6" x14ac:dyDescent="0.25">
      <c r="C313" s="2" t="s">
        <v>2333</v>
      </c>
      <c r="D313" s="2" t="s">
        <v>42</v>
      </c>
      <c r="E313" s="2">
        <v>101</v>
      </c>
      <c r="F313" s="2">
        <v>1924.189</v>
      </c>
    </row>
    <row r="314" spans="3:6" x14ac:dyDescent="0.25">
      <c r="C314" s="2" t="s">
        <v>2334</v>
      </c>
      <c r="D314" s="2" t="s">
        <v>42</v>
      </c>
      <c r="E314" s="2">
        <v>57</v>
      </c>
      <c r="F314" s="2">
        <v>1280.4</v>
      </c>
    </row>
    <row r="315" spans="3:6" x14ac:dyDescent="0.25">
      <c r="C315" s="2" t="s">
        <v>2335</v>
      </c>
      <c r="D315" s="2" t="s">
        <v>42</v>
      </c>
      <c r="E315" s="2">
        <v>71</v>
      </c>
      <c r="F315" s="2">
        <v>1430.84</v>
      </c>
    </row>
    <row r="316" spans="3:6" x14ac:dyDescent="0.25">
      <c r="C316" s="2" t="s">
        <v>2336</v>
      </c>
      <c r="D316" s="2" t="s">
        <v>42</v>
      </c>
      <c r="E316" s="2">
        <v>103</v>
      </c>
      <c r="F316" s="2">
        <v>2159.61</v>
      </c>
    </row>
    <row r="317" spans="3:6" x14ac:dyDescent="0.25">
      <c r="C317" s="2" t="s">
        <v>2337</v>
      </c>
      <c r="D317" s="2" t="s">
        <v>42</v>
      </c>
      <c r="E317" s="2">
        <v>84</v>
      </c>
      <c r="F317" s="2">
        <v>1605.059</v>
      </c>
    </row>
    <row r="318" spans="3:6" x14ac:dyDescent="0.25">
      <c r="C318" s="2" t="s">
        <v>2338</v>
      </c>
      <c r="D318" s="2" t="s">
        <v>42</v>
      </c>
      <c r="E318" s="2">
        <v>37</v>
      </c>
      <c r="F318" s="2">
        <v>702.13</v>
      </c>
    </row>
    <row r="319" spans="3:6" x14ac:dyDescent="0.25">
      <c r="C319" s="2" t="s">
        <v>2339</v>
      </c>
      <c r="D319" s="2" t="s">
        <v>42</v>
      </c>
      <c r="E319" s="2">
        <v>77</v>
      </c>
      <c r="F319" s="2">
        <v>1552.2</v>
      </c>
    </row>
    <row r="320" spans="3:6" x14ac:dyDescent="0.25">
      <c r="C320" s="2" t="s">
        <v>2340</v>
      </c>
      <c r="D320" s="2" t="s">
        <v>42</v>
      </c>
      <c r="E320" s="2">
        <v>45</v>
      </c>
      <c r="F320" s="2">
        <v>889.979</v>
      </c>
    </row>
    <row r="321" spans="3:6" x14ac:dyDescent="0.25">
      <c r="C321" s="2" t="s">
        <v>2341</v>
      </c>
      <c r="D321" s="2" t="s">
        <v>42</v>
      </c>
      <c r="E321" s="2">
        <v>25</v>
      </c>
      <c r="F321" s="2">
        <v>542.91</v>
      </c>
    </row>
    <row r="322" spans="3:6" x14ac:dyDescent="0.25">
      <c r="C322" s="2" t="s">
        <v>2342</v>
      </c>
      <c r="D322" s="2" t="s">
        <v>42</v>
      </c>
      <c r="E322" s="2">
        <v>109</v>
      </c>
      <c r="F322" s="2">
        <v>2229.43</v>
      </c>
    </row>
    <row r="323" spans="3:6" x14ac:dyDescent="0.25">
      <c r="C323" s="2" t="s">
        <v>2343</v>
      </c>
      <c r="D323" s="2" t="s">
        <v>42</v>
      </c>
      <c r="E323" s="2">
        <v>27</v>
      </c>
      <c r="F323" s="2">
        <v>547.49</v>
      </c>
    </row>
    <row r="324" spans="3:6" x14ac:dyDescent="0.25">
      <c r="C324" s="2" t="s">
        <v>2344</v>
      </c>
      <c r="D324" s="2" t="s">
        <v>42</v>
      </c>
      <c r="E324" s="2">
        <v>14</v>
      </c>
      <c r="F324" s="2">
        <v>200.58</v>
      </c>
    </row>
    <row r="325" spans="3:6" x14ac:dyDescent="0.25">
      <c r="C325" s="2" t="s">
        <v>2345</v>
      </c>
      <c r="D325" s="2" t="s">
        <v>42</v>
      </c>
      <c r="E325" s="2">
        <v>19</v>
      </c>
      <c r="F325" s="2">
        <v>329.47</v>
      </c>
    </row>
    <row r="326" spans="3:6" x14ac:dyDescent="0.25">
      <c r="C326" s="2" t="s">
        <v>2346</v>
      </c>
      <c r="D326" s="2" t="s">
        <v>42</v>
      </c>
      <c r="E326" s="2">
        <v>24</v>
      </c>
      <c r="F326" s="2">
        <v>468.45</v>
      </c>
    </row>
    <row r="327" spans="3:6" x14ac:dyDescent="0.25">
      <c r="C327" s="2" t="s">
        <v>2347</v>
      </c>
      <c r="D327" s="2" t="s">
        <v>42</v>
      </c>
      <c r="E327" s="2">
        <v>26</v>
      </c>
      <c r="F327" s="2">
        <v>562.75</v>
      </c>
    </row>
    <row r="328" spans="3:6" x14ac:dyDescent="0.25">
      <c r="C328" s="2" t="s">
        <v>2348</v>
      </c>
      <c r="D328" s="2" t="s">
        <v>42</v>
      </c>
      <c r="E328" s="2">
        <v>33</v>
      </c>
      <c r="F328" s="2">
        <v>679.11</v>
      </c>
    </row>
    <row r="329" spans="3:6" x14ac:dyDescent="0.25">
      <c r="C329" s="2" t="s">
        <v>2349</v>
      </c>
      <c r="D329" s="2" t="s">
        <v>42</v>
      </c>
      <c r="E329" s="2">
        <v>31</v>
      </c>
      <c r="F329" s="2">
        <v>695.72</v>
      </c>
    </row>
    <row r="330" spans="3:6" x14ac:dyDescent="0.25">
      <c r="C330" s="2" t="s">
        <v>2350</v>
      </c>
      <c r="D330" s="2" t="s">
        <v>42</v>
      </c>
      <c r="E330" s="2">
        <v>27</v>
      </c>
      <c r="F330" s="2">
        <v>519.5</v>
      </c>
    </row>
    <row r="331" spans="3:6" x14ac:dyDescent="0.25">
      <c r="C331" s="2" t="s">
        <v>2351</v>
      </c>
      <c r="D331" s="2" t="s">
        <v>42</v>
      </c>
      <c r="E331" s="2">
        <v>16</v>
      </c>
      <c r="F331" s="2">
        <v>283.04</v>
      </c>
    </row>
    <row r="332" spans="3:6" x14ac:dyDescent="0.25">
      <c r="C332" s="2" t="s">
        <v>2352</v>
      </c>
      <c r="D332" s="2" t="s">
        <v>42</v>
      </c>
      <c r="E332" s="2">
        <v>12</v>
      </c>
      <c r="F332" s="2">
        <v>240.91</v>
      </c>
    </row>
    <row r="333" spans="3:6" x14ac:dyDescent="0.25">
      <c r="C333" s="2" t="s">
        <v>2353</v>
      </c>
      <c r="D333" s="2" t="s">
        <v>42</v>
      </c>
      <c r="E333" s="2">
        <v>26</v>
      </c>
      <c r="F333" s="2">
        <v>526.22</v>
      </c>
    </row>
    <row r="334" spans="3:6" x14ac:dyDescent="0.25">
      <c r="C334" s="2" t="s">
        <v>2354</v>
      </c>
      <c r="D334" s="2" t="s">
        <v>42</v>
      </c>
      <c r="E334" s="2">
        <v>35</v>
      </c>
      <c r="F334" s="2">
        <v>673.03</v>
      </c>
    </row>
    <row r="335" spans="3:6" x14ac:dyDescent="0.25">
      <c r="C335" s="2" t="s">
        <v>2355</v>
      </c>
      <c r="D335" s="2" t="s">
        <v>42</v>
      </c>
      <c r="E335" s="2">
        <v>57</v>
      </c>
      <c r="F335" s="2">
        <v>1041.54</v>
      </c>
    </row>
    <row r="336" spans="3:6" x14ac:dyDescent="0.25">
      <c r="C336" s="2" t="s">
        <v>2356</v>
      </c>
      <c r="D336" s="2" t="s">
        <v>42</v>
      </c>
      <c r="E336" s="2">
        <v>85</v>
      </c>
      <c r="F336" s="2">
        <v>1616.249</v>
      </c>
    </row>
    <row r="337" spans="3:6" x14ac:dyDescent="0.25">
      <c r="C337" s="2" t="s">
        <v>2357</v>
      </c>
      <c r="D337" s="2" t="s">
        <v>42</v>
      </c>
      <c r="E337" s="2">
        <v>44</v>
      </c>
      <c r="F337" s="2">
        <v>796.01</v>
      </c>
    </row>
    <row r="338" spans="3:6" x14ac:dyDescent="0.25">
      <c r="C338" s="2" t="s">
        <v>2358</v>
      </c>
      <c r="D338" s="2" t="s">
        <v>42</v>
      </c>
      <c r="E338" s="2">
        <v>22</v>
      </c>
      <c r="F338" s="2">
        <v>410.51</v>
      </c>
    </row>
    <row r="339" spans="3:6" x14ac:dyDescent="0.25">
      <c r="C339" s="2" t="s">
        <v>2359</v>
      </c>
      <c r="D339" s="2" t="s">
        <v>42</v>
      </c>
      <c r="E339" s="2">
        <v>7</v>
      </c>
      <c r="F339" s="2">
        <v>112.25</v>
      </c>
    </row>
    <row r="340" spans="3:6" x14ac:dyDescent="0.25">
      <c r="C340" s="2" t="s">
        <v>2360</v>
      </c>
      <c r="D340" s="2" t="s">
        <v>42</v>
      </c>
      <c r="E340" s="2">
        <v>64</v>
      </c>
      <c r="F340" s="2">
        <v>1194.47</v>
      </c>
    </row>
    <row r="341" spans="3:6" x14ac:dyDescent="0.25">
      <c r="C341" s="2" t="s">
        <v>2361</v>
      </c>
      <c r="D341" s="2" t="s">
        <v>42</v>
      </c>
      <c r="E341" s="2">
        <v>17</v>
      </c>
      <c r="F341" s="2">
        <v>318.18</v>
      </c>
    </row>
    <row r="342" spans="3:6" x14ac:dyDescent="0.25">
      <c r="C342" s="2" t="s">
        <v>2362</v>
      </c>
      <c r="D342" s="2" t="s">
        <v>42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10</v>
      </c>
      <c r="C344" s="2" t="s">
        <v>2363</v>
      </c>
      <c r="D344" s="2" t="s">
        <v>12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2364</v>
      </c>
      <c r="D345" s="2" t="s">
        <v>12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18</v>
      </c>
      <c r="C347" s="2" t="s">
        <v>2365</v>
      </c>
      <c r="D347" s="2" t="s">
        <v>20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2366</v>
      </c>
      <c r="D348" s="2" t="s">
        <v>20</v>
      </c>
      <c r="E348" s="2">
        <v>102</v>
      </c>
      <c r="F348" s="2">
        <v>1941.2</v>
      </c>
    </row>
    <row r="349" spans="3:6" x14ac:dyDescent="0.25">
      <c r="C349" s="2" t="s">
        <v>2367</v>
      </c>
      <c r="D349" s="2" t="s">
        <v>20</v>
      </c>
      <c r="E349" s="2">
        <v>142</v>
      </c>
      <c r="F349" s="2">
        <v>2755.759</v>
      </c>
    </row>
    <row r="350" spans="3:6" x14ac:dyDescent="0.25">
      <c r="C350" s="2" t="s">
        <v>2368</v>
      </c>
      <c r="D350" s="2" t="s">
        <v>20</v>
      </c>
      <c r="E350" s="2">
        <v>142</v>
      </c>
      <c r="F350" s="2">
        <v>2760.258</v>
      </c>
    </row>
    <row r="351" spans="3:6" x14ac:dyDescent="0.25">
      <c r="C351" s="2" t="s">
        <v>2369</v>
      </c>
      <c r="D351" s="2" t="s">
        <v>20</v>
      </c>
      <c r="E351" s="2">
        <v>338</v>
      </c>
      <c r="F351" s="2">
        <v>6612.758</v>
      </c>
    </row>
    <row r="352" spans="3:6" x14ac:dyDescent="0.25">
      <c r="C352" s="2" t="s">
        <v>2370</v>
      </c>
      <c r="D352" s="2" t="s">
        <v>20</v>
      </c>
      <c r="E352" s="2">
        <v>142</v>
      </c>
      <c r="F352" s="2">
        <v>2740.81</v>
      </c>
    </row>
    <row r="353" spans="3:6" x14ac:dyDescent="0.25">
      <c r="C353" s="2" t="s">
        <v>2371</v>
      </c>
      <c r="D353" s="2" t="s">
        <v>20</v>
      </c>
      <c r="E353" s="2">
        <v>283</v>
      </c>
      <c r="F353" s="2">
        <v>5449.399</v>
      </c>
    </row>
    <row r="354" spans="3:6" x14ac:dyDescent="0.25">
      <c r="C354" s="2" t="s">
        <v>2372</v>
      </c>
      <c r="D354" s="2" t="s">
        <v>20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10</v>
      </c>
      <c r="C356" s="2" t="s">
        <v>2373</v>
      </c>
      <c r="D356" s="2" t="s">
        <v>12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2374</v>
      </c>
      <c r="D357" s="2" t="s">
        <v>12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2375</v>
      </c>
      <c r="C359" s="2" t="s">
        <v>2376</v>
      </c>
      <c r="D359" s="2" t="s">
        <v>342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2377</v>
      </c>
      <c r="D360" s="2" t="s">
        <v>342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2378</v>
      </c>
      <c r="C362" s="2" t="s">
        <v>2379</v>
      </c>
      <c r="D362" s="2" t="s">
        <v>2096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2380</v>
      </c>
      <c r="C364" s="2" t="s">
        <v>2381</v>
      </c>
      <c r="D364" s="2" t="s">
        <v>27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2382</v>
      </c>
      <c r="D365" s="2" t="s">
        <v>27</v>
      </c>
      <c r="E365" s="2">
        <v>75</v>
      </c>
      <c r="F365" s="2">
        <v>1529.21</v>
      </c>
    </row>
    <row r="366" spans="3:6" x14ac:dyDescent="0.25">
      <c r="C366" s="2" t="s">
        <v>2383</v>
      </c>
      <c r="D366" s="2" t="s">
        <v>27</v>
      </c>
      <c r="E366" s="2">
        <v>83</v>
      </c>
      <c r="F366" s="2">
        <v>1703.03</v>
      </c>
    </row>
    <row r="367" spans="3:6" x14ac:dyDescent="0.25">
      <c r="C367" s="2" t="s">
        <v>2384</v>
      </c>
      <c r="D367" s="2" t="s">
        <v>27</v>
      </c>
      <c r="E367" s="2">
        <v>11</v>
      </c>
      <c r="F367" s="2">
        <v>201.88</v>
      </c>
    </row>
    <row r="368" spans="3:6" x14ac:dyDescent="0.25">
      <c r="C368" s="2" t="s">
        <v>2385</v>
      </c>
      <c r="D368" s="2" t="s">
        <v>27</v>
      </c>
      <c r="E368" s="2">
        <v>6</v>
      </c>
      <c r="F368" s="2">
        <v>133.8</v>
      </c>
    </row>
    <row r="369" spans="3:6" x14ac:dyDescent="0.25">
      <c r="C369" s="2" t="s">
        <v>2386</v>
      </c>
      <c r="D369" s="2" t="s">
        <v>27</v>
      </c>
      <c r="E369" s="2">
        <v>27</v>
      </c>
      <c r="F369" s="2">
        <v>506.12</v>
      </c>
    </row>
    <row r="370" spans="3:6" x14ac:dyDescent="0.25">
      <c r="C370" s="2" t="s">
        <v>2387</v>
      </c>
      <c r="D370" s="2" t="s">
        <v>27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10</v>
      </c>
      <c r="C372" s="2" t="s">
        <v>2388</v>
      </c>
      <c r="D372" s="2" t="s">
        <v>12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2389</v>
      </c>
      <c r="D373" s="2" t="s">
        <v>12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2390</v>
      </c>
      <c r="C375" s="2" t="s">
        <v>2391</v>
      </c>
      <c r="D375" s="2" t="s">
        <v>42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2392</v>
      </c>
      <c r="D376" s="2" t="s">
        <v>42</v>
      </c>
      <c r="E376" s="2">
        <v>53</v>
      </c>
      <c r="F376" s="2">
        <v>1048.04</v>
      </c>
    </row>
    <row r="377" spans="3:6" x14ac:dyDescent="0.25">
      <c r="C377" s="2" t="s">
        <v>2393</v>
      </c>
      <c r="D377" s="2" t="s">
        <v>42</v>
      </c>
      <c r="E377" s="2">
        <v>44</v>
      </c>
      <c r="F377" s="2">
        <v>875.72</v>
      </c>
    </row>
    <row r="378" spans="3:6" x14ac:dyDescent="0.25">
      <c r="C378" s="2" t="s">
        <v>2394</v>
      </c>
      <c r="D378" s="2" t="s">
        <v>42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212</v>
      </c>
      <c r="C380" s="2" t="s">
        <v>2395</v>
      </c>
      <c r="D380" s="2" t="s">
        <v>204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2396</v>
      </c>
      <c r="D381" s="2" t="s">
        <v>204</v>
      </c>
      <c r="E381" s="2">
        <v>163</v>
      </c>
      <c r="F381" s="2">
        <v>3179.35</v>
      </c>
    </row>
    <row r="382" spans="3:6" x14ac:dyDescent="0.25">
      <c r="C382" s="2" t="s">
        <v>2397</v>
      </c>
      <c r="D382" s="2" t="s">
        <v>204</v>
      </c>
      <c r="E382" s="2">
        <v>163</v>
      </c>
      <c r="F382" s="2">
        <v>3197.54</v>
      </c>
    </row>
    <row r="383" spans="3:6" x14ac:dyDescent="0.25">
      <c r="C383" s="2" t="s">
        <v>2158</v>
      </c>
      <c r="D383" s="2" t="s">
        <v>204</v>
      </c>
      <c r="E383" s="2">
        <v>76</v>
      </c>
      <c r="F383" s="2">
        <v>1345.725</v>
      </c>
    </row>
    <row r="384" spans="3:6" x14ac:dyDescent="0.25">
      <c r="C384" s="2" t="s">
        <v>2155</v>
      </c>
      <c r="D384" s="2" t="s">
        <v>204</v>
      </c>
      <c r="E384" s="2">
        <v>70</v>
      </c>
      <c r="F384" s="2">
        <v>1030.716</v>
      </c>
    </row>
    <row r="385" spans="3:6" x14ac:dyDescent="0.25">
      <c r="C385" s="2" t="s">
        <v>2398</v>
      </c>
      <c r="D385" s="2" t="s">
        <v>204</v>
      </c>
      <c r="E385" s="2">
        <v>163</v>
      </c>
      <c r="F385" s="2">
        <v>2996.839</v>
      </c>
    </row>
    <row r="386" spans="3:6" x14ac:dyDescent="0.25">
      <c r="C386" s="2" t="s">
        <v>2399</v>
      </c>
      <c r="D386" s="2" t="s">
        <v>204</v>
      </c>
      <c r="E386" s="2">
        <v>163</v>
      </c>
      <c r="F386" s="2">
        <v>3210.58</v>
      </c>
    </row>
    <row r="387" spans="3:6" x14ac:dyDescent="0.25">
      <c r="C387" s="2" t="s">
        <v>2400</v>
      </c>
      <c r="D387" s="2" t="s">
        <v>204</v>
      </c>
      <c r="E387" s="2">
        <v>163</v>
      </c>
      <c r="F387" s="2">
        <v>3151.7</v>
      </c>
    </row>
    <row r="388" spans="3:6" x14ac:dyDescent="0.25">
      <c r="C388" s="2" t="s">
        <v>2401</v>
      </c>
      <c r="D388" s="2" t="s">
        <v>204</v>
      </c>
      <c r="E388" s="2">
        <v>163</v>
      </c>
      <c r="F388" s="2">
        <v>3140.33</v>
      </c>
    </row>
    <row r="389" spans="3:6" x14ac:dyDescent="0.25">
      <c r="C389" s="2" t="s">
        <v>2402</v>
      </c>
      <c r="D389" s="2" t="s">
        <v>204</v>
      </c>
      <c r="E389" s="2">
        <v>163</v>
      </c>
      <c r="F389" s="2">
        <v>2939.49</v>
      </c>
    </row>
    <row r="390" spans="3:6" x14ac:dyDescent="0.25">
      <c r="C390" s="2" t="s">
        <v>2403</v>
      </c>
      <c r="D390" s="2" t="s">
        <v>204</v>
      </c>
      <c r="E390" s="2">
        <v>163</v>
      </c>
      <c r="F390" s="2">
        <v>3251.259</v>
      </c>
    </row>
    <row r="391" spans="3:6" x14ac:dyDescent="0.25">
      <c r="C391" s="2" t="s">
        <v>2404</v>
      </c>
      <c r="D391" s="2" t="s">
        <v>204</v>
      </c>
      <c r="E391" s="2">
        <v>163</v>
      </c>
      <c r="F391" s="2">
        <v>3215.82</v>
      </c>
    </row>
    <row r="392" spans="3:6" x14ac:dyDescent="0.25">
      <c r="C392" s="2" t="s">
        <v>2405</v>
      </c>
      <c r="D392" s="2" t="s">
        <v>204</v>
      </c>
      <c r="E392" s="2">
        <v>163</v>
      </c>
      <c r="F392" s="2">
        <v>3276.987</v>
      </c>
    </row>
    <row r="393" spans="3:6" x14ac:dyDescent="0.25">
      <c r="C393" s="2" t="s">
        <v>2406</v>
      </c>
      <c r="D393" s="2" t="s">
        <v>204</v>
      </c>
      <c r="E393" s="2">
        <v>105</v>
      </c>
      <c r="F393" s="2">
        <v>2108</v>
      </c>
    </row>
    <row r="394" spans="3:6" x14ac:dyDescent="0.25">
      <c r="C394" s="2" t="s">
        <v>2407</v>
      </c>
      <c r="D394" s="2" t="s">
        <v>204</v>
      </c>
      <c r="E394" s="2">
        <v>85</v>
      </c>
      <c r="F394" s="2">
        <v>1550.999</v>
      </c>
    </row>
    <row r="395" spans="3:6" x14ac:dyDescent="0.25">
      <c r="C395" s="2" t="s">
        <v>2408</v>
      </c>
      <c r="D395" s="2" t="s">
        <v>204</v>
      </c>
      <c r="E395" s="2">
        <v>78</v>
      </c>
      <c r="F395" s="2">
        <v>1555.24</v>
      </c>
    </row>
    <row r="396" spans="3:5" x14ac:dyDescent="0.25">
      <c r="C396" s="2" t="s">
        <v>2409</v>
      </c>
      <c r="D396" s="2" t="s">
        <v>204</v>
      </c>
      <c r="E396" s="2">
        <v>78</v>
      </c>
    </row>
    <row r="397" spans="3:6" x14ac:dyDescent="0.25">
      <c r="C397" s="2" t="s">
        <v>2410</v>
      </c>
      <c r="D397" s="2" t="s">
        <v>204</v>
      </c>
      <c r="E397" s="2">
        <v>27</v>
      </c>
      <c r="F397" s="2">
        <v>507.88</v>
      </c>
    </row>
    <row r="398" spans="3:6" x14ac:dyDescent="0.25">
      <c r="C398" s="2" t="s">
        <v>2411</v>
      </c>
      <c r="D398" s="2" t="s">
        <v>216</v>
      </c>
      <c r="E398" s="2">
        <v>134</v>
      </c>
      <c r="F398" s="2">
        <v>2741.329</v>
      </c>
    </row>
    <row r="399" spans="3:6" x14ac:dyDescent="0.25">
      <c r="C399" s="2" t="s">
        <v>2412</v>
      </c>
      <c r="D399" s="2" t="s">
        <v>216</v>
      </c>
      <c r="E399" s="2">
        <v>134</v>
      </c>
      <c r="F399" s="2">
        <v>2698.89</v>
      </c>
    </row>
    <row r="400" spans="3:6" x14ac:dyDescent="0.25">
      <c r="C400" s="2" t="s">
        <v>2413</v>
      </c>
      <c r="D400" s="2" t="s">
        <v>216</v>
      </c>
      <c r="E400" s="2">
        <v>134</v>
      </c>
      <c r="F400" s="2">
        <v>2679.74</v>
      </c>
    </row>
    <row r="401" spans="3:6" x14ac:dyDescent="0.25">
      <c r="C401" s="2" t="s">
        <v>2414</v>
      </c>
      <c r="D401" s="2" t="s">
        <v>216</v>
      </c>
      <c r="E401" s="2">
        <v>134</v>
      </c>
      <c r="F401" s="2">
        <v>2549.939</v>
      </c>
    </row>
    <row r="402" spans="3:6" x14ac:dyDescent="0.25">
      <c r="C402" s="2" t="s">
        <v>2415</v>
      </c>
      <c r="D402" s="2" t="s">
        <v>216</v>
      </c>
      <c r="E402" s="2">
        <v>134</v>
      </c>
      <c r="F402" s="2">
        <v>2673.92</v>
      </c>
    </row>
    <row r="403" spans="3:6" x14ac:dyDescent="0.25">
      <c r="C403" s="2" t="s">
        <v>2416</v>
      </c>
      <c r="D403" s="2" t="s">
        <v>216</v>
      </c>
      <c r="E403" s="2">
        <v>134</v>
      </c>
      <c r="F403" s="2">
        <v>2715.07</v>
      </c>
    </row>
    <row r="404" spans="3:6" x14ac:dyDescent="0.25">
      <c r="C404" s="2" t="s">
        <v>2417</v>
      </c>
      <c r="D404" s="2" t="s">
        <v>214</v>
      </c>
      <c r="E404" s="2">
        <v>100</v>
      </c>
      <c r="F404" s="2">
        <v>1938.039</v>
      </c>
    </row>
    <row r="405" spans="3:6" x14ac:dyDescent="0.25">
      <c r="C405" s="2" t="s">
        <v>2418</v>
      </c>
      <c r="D405" s="2" t="s">
        <v>214</v>
      </c>
      <c r="E405" s="2">
        <v>56</v>
      </c>
      <c r="F405" s="2">
        <v>1064.35</v>
      </c>
    </row>
    <row r="406" spans="3:6" x14ac:dyDescent="0.25">
      <c r="C406" s="2" t="s">
        <v>2419</v>
      </c>
      <c r="D406" s="2" t="s">
        <v>214</v>
      </c>
      <c r="E406" s="2">
        <v>100</v>
      </c>
      <c r="F406" s="2">
        <v>1884.288</v>
      </c>
    </row>
    <row r="407" spans="3:6" x14ac:dyDescent="0.25">
      <c r="C407" s="2" t="s">
        <v>2420</v>
      </c>
      <c r="D407" s="2" t="s">
        <v>214</v>
      </c>
      <c r="E407" s="2">
        <v>56</v>
      </c>
      <c r="F407" s="2">
        <v>1171.859</v>
      </c>
    </row>
    <row r="408" spans="3:6" x14ac:dyDescent="0.25">
      <c r="C408" s="2" t="s">
        <v>2421</v>
      </c>
      <c r="D408" s="2" t="s">
        <v>214</v>
      </c>
      <c r="E408" s="2">
        <v>156</v>
      </c>
      <c r="F408" s="2">
        <v>3151.679</v>
      </c>
    </row>
    <row r="409" spans="3:6" x14ac:dyDescent="0.25">
      <c r="C409" s="2" t="s">
        <v>2422</v>
      </c>
      <c r="D409" s="2" t="s">
        <v>214</v>
      </c>
      <c r="E409" s="2">
        <v>156</v>
      </c>
      <c r="F409" s="2">
        <v>3132.81</v>
      </c>
    </row>
    <row r="410" spans="3:6" x14ac:dyDescent="0.25">
      <c r="C410" s="2" t="s">
        <v>2423</v>
      </c>
      <c r="D410" s="2" t="s">
        <v>236</v>
      </c>
      <c r="E410" s="2">
        <v>60</v>
      </c>
      <c r="F410" s="2">
        <v>1129.839</v>
      </c>
    </row>
    <row r="411" spans="3:6" x14ac:dyDescent="0.25">
      <c r="C411" s="2" t="s">
        <v>2424</v>
      </c>
      <c r="D411" s="2" t="s">
        <v>236</v>
      </c>
      <c r="E411" s="2">
        <v>45</v>
      </c>
      <c r="F411" s="2">
        <v>820.54</v>
      </c>
    </row>
    <row r="412" spans="3:6" x14ac:dyDescent="0.25">
      <c r="C412" s="2" t="s">
        <v>2425</v>
      </c>
      <c r="D412" s="2" t="s">
        <v>236</v>
      </c>
      <c r="E412" s="2">
        <v>45</v>
      </c>
      <c r="F412" s="2">
        <v>841.769</v>
      </c>
    </row>
    <row r="413" spans="3:6" x14ac:dyDescent="0.25">
      <c r="C413" s="2" t="s">
        <v>2426</v>
      </c>
      <c r="D413" s="2" t="s">
        <v>236</v>
      </c>
      <c r="E413" s="2">
        <v>60</v>
      </c>
      <c r="F413" s="2">
        <v>1116.11</v>
      </c>
    </row>
    <row r="414" spans="3:5" x14ac:dyDescent="0.25">
      <c r="C414" s="2" t="s">
        <v>2427</v>
      </c>
      <c r="D414" s="2" t="s">
        <v>236</v>
      </c>
      <c r="E414" s="2">
        <v>6</v>
      </c>
    </row>
    <row r="415" spans="3:6" x14ac:dyDescent="0.25">
      <c r="C415" s="2" t="s">
        <v>2428</v>
      </c>
      <c r="D415" s="2" t="s">
        <v>236</v>
      </c>
      <c r="E415" s="2">
        <v>80</v>
      </c>
      <c r="F415" s="2">
        <v>1576.29</v>
      </c>
    </row>
    <row r="416" spans="3:6" x14ac:dyDescent="0.25">
      <c r="C416" s="2" t="s">
        <v>2429</v>
      </c>
      <c r="D416" s="2" t="s">
        <v>236</v>
      </c>
      <c r="E416" s="2">
        <v>19</v>
      </c>
      <c r="F416" s="2">
        <v>402.61</v>
      </c>
    </row>
    <row r="417" spans="3:6" x14ac:dyDescent="0.25">
      <c r="C417" s="2" t="s">
        <v>2430</v>
      </c>
      <c r="D417" s="2" t="s">
        <v>204</v>
      </c>
      <c r="E417" s="2">
        <v>163</v>
      </c>
      <c r="F417" s="2">
        <v>3123.04</v>
      </c>
    </row>
    <row r="419" spans="2:7" x14ac:dyDescent="0.25">
      <c r="B419" s="2" t="s">
        <v>2077</v>
      </c>
      <c r="C419" s="2" t="s">
        <v>2431</v>
      </c>
      <c r="D419" s="2" t="s">
        <v>216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2432</v>
      </c>
      <c r="D420" s="2" t="s">
        <v>216</v>
      </c>
      <c r="E420" s="2">
        <v>30</v>
      </c>
      <c r="F420" s="2">
        <v>501</v>
      </c>
    </row>
    <row r="421" spans="3:6" x14ac:dyDescent="0.25">
      <c r="C421" s="2" t="s">
        <v>2433</v>
      </c>
      <c r="D421" s="2" t="s">
        <v>216</v>
      </c>
      <c r="E421" s="2">
        <v>156</v>
      </c>
      <c r="F421" s="2">
        <v>2966</v>
      </c>
    </row>
    <row r="422" spans="3:6" x14ac:dyDescent="0.25">
      <c r="C422" s="2" t="s">
        <v>2434</v>
      </c>
      <c r="D422" s="2" t="s">
        <v>297</v>
      </c>
      <c r="E422" s="2">
        <v>105</v>
      </c>
      <c r="F422" s="2">
        <v>1966</v>
      </c>
    </row>
    <row r="423" spans="3:6" x14ac:dyDescent="0.25">
      <c r="C423" s="2" t="s">
        <v>2435</v>
      </c>
      <c r="D423" s="2" t="s">
        <v>216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1101</v>
      </c>
      <c r="C425" s="2" t="s">
        <v>2436</v>
      </c>
      <c r="D425" s="2" t="s">
        <v>20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2437</v>
      </c>
      <c r="D426" s="2" t="s">
        <v>20</v>
      </c>
      <c r="E426" s="2">
        <v>156</v>
      </c>
      <c r="F426" s="2">
        <v>3032.42</v>
      </c>
    </row>
    <row r="427" spans="3:6" x14ac:dyDescent="0.25">
      <c r="C427" s="2" t="s">
        <v>2438</v>
      </c>
      <c r="D427" s="2" t="s">
        <v>20</v>
      </c>
      <c r="E427" s="2">
        <v>261</v>
      </c>
      <c r="F427" s="2">
        <v>5110.27</v>
      </c>
    </row>
    <row r="428" spans="3:6" x14ac:dyDescent="0.25">
      <c r="C428" s="2" t="s">
        <v>2439</v>
      </c>
      <c r="D428" s="2" t="s">
        <v>20</v>
      </c>
      <c r="E428" s="2">
        <v>156</v>
      </c>
      <c r="F428" s="2">
        <v>3061.91</v>
      </c>
    </row>
    <row r="429" spans="3:6" x14ac:dyDescent="0.25">
      <c r="C429" s="2" t="s">
        <v>2440</v>
      </c>
      <c r="D429" s="2" t="s">
        <v>20</v>
      </c>
      <c r="E429" s="2">
        <v>156</v>
      </c>
      <c r="F429" s="2">
        <v>3002.63</v>
      </c>
    </row>
    <row r="430" spans="3:6" x14ac:dyDescent="0.25">
      <c r="C430" s="2" t="s">
        <v>2441</v>
      </c>
      <c r="D430" s="2" t="s">
        <v>20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335</v>
      </c>
      <c r="C432" s="2" t="s">
        <v>2442</v>
      </c>
      <c r="D432" s="2" t="s">
        <v>20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2094</v>
      </c>
      <c r="C434" s="2" t="s">
        <v>2443</v>
      </c>
      <c r="D434" s="2" t="s">
        <v>2096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202</v>
      </c>
      <c r="C436" s="2" t="s">
        <v>2444</v>
      </c>
      <c r="D436" s="2" t="s">
        <v>204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2445</v>
      </c>
      <c r="D437" s="2" t="s">
        <v>204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206</v>
      </c>
      <c r="C439" s="2" t="s">
        <v>2446</v>
      </c>
      <c r="D439" s="2" t="s">
        <v>27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2447</v>
      </c>
      <c r="D440" s="2" t="s">
        <v>27</v>
      </c>
      <c r="E440" s="2">
        <v>54</v>
      </c>
      <c r="F440" s="2">
        <v>889.989</v>
      </c>
    </row>
    <row r="441" spans="3:6" x14ac:dyDescent="0.25">
      <c r="C441" s="2" t="s">
        <v>2448</v>
      </c>
      <c r="D441" s="2" t="s">
        <v>27</v>
      </c>
      <c r="E441" s="2">
        <v>81</v>
      </c>
      <c r="F441" s="2">
        <v>1673.82</v>
      </c>
    </row>
    <row r="442" spans="3:6" x14ac:dyDescent="0.25">
      <c r="C442" s="2" t="s">
        <v>2449</v>
      </c>
      <c r="D442" s="2" t="s">
        <v>27</v>
      </c>
      <c r="E442" s="2">
        <v>94</v>
      </c>
      <c r="F442" s="2">
        <v>1781.82</v>
      </c>
    </row>
    <row r="443" spans="3:6" x14ac:dyDescent="0.25">
      <c r="C443" s="2" t="s">
        <v>2450</v>
      </c>
      <c r="D443" s="2" t="s">
        <v>27</v>
      </c>
      <c r="E443" s="2">
        <v>18</v>
      </c>
      <c r="F443" s="2">
        <v>303.57</v>
      </c>
    </row>
    <row r="444" spans="3:6" x14ac:dyDescent="0.25">
      <c r="C444" s="2" t="s">
        <v>2451</v>
      </c>
      <c r="D444" s="2" t="s">
        <v>27</v>
      </c>
      <c r="E444" s="2">
        <v>45</v>
      </c>
      <c r="F444" s="2">
        <v>974.06</v>
      </c>
    </row>
    <row r="445" spans="3:6" x14ac:dyDescent="0.25">
      <c r="C445" s="2" t="s">
        <v>2452</v>
      </c>
      <c r="D445" s="2" t="s">
        <v>27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120</v>
      </c>
      <c r="C447" s="2" t="s">
        <v>2453</v>
      </c>
      <c r="D447" s="2" t="s">
        <v>122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2454</v>
      </c>
      <c r="D448" s="2" t="s">
        <v>122</v>
      </c>
      <c r="E448" s="2">
        <v>35</v>
      </c>
      <c r="F448" s="2">
        <v>697.87</v>
      </c>
    </row>
    <row r="449" spans="3:6" x14ac:dyDescent="0.25">
      <c r="C449" s="2" t="s">
        <v>2455</v>
      </c>
      <c r="D449" s="2" t="s">
        <v>122</v>
      </c>
      <c r="E449" s="2">
        <v>70</v>
      </c>
      <c r="F449" s="2">
        <v>1376.24</v>
      </c>
    </row>
    <row r="450" spans="3:6" x14ac:dyDescent="0.25">
      <c r="C450" s="2" t="s">
        <v>2456</v>
      </c>
      <c r="D450" s="2" t="s">
        <v>122</v>
      </c>
      <c r="E450" s="2">
        <v>71</v>
      </c>
      <c r="F450" s="2">
        <v>1469.82</v>
      </c>
    </row>
    <row r="451" spans="3:6" x14ac:dyDescent="0.25">
      <c r="C451" s="2" t="s">
        <v>2457</v>
      </c>
      <c r="D451" s="2" t="s">
        <v>122</v>
      </c>
      <c r="E451" s="2">
        <v>34</v>
      </c>
      <c r="F451" s="2">
        <v>150.32</v>
      </c>
    </row>
    <row r="452" spans="3:6" x14ac:dyDescent="0.25">
      <c r="C452" s="2" t="s">
        <v>2458</v>
      </c>
      <c r="D452" s="2" t="s">
        <v>122</v>
      </c>
      <c r="E452" s="2">
        <v>141</v>
      </c>
      <c r="F452" s="2">
        <v>2974.84</v>
      </c>
    </row>
    <row r="453" spans="3:6" x14ac:dyDescent="0.25">
      <c r="C453" s="2" t="s">
        <v>2459</v>
      </c>
      <c r="D453" s="2" t="s">
        <v>122</v>
      </c>
      <c r="E453" s="2">
        <v>141</v>
      </c>
      <c r="F453" s="2">
        <v>2848.41</v>
      </c>
    </row>
    <row r="454" spans="3:6" x14ac:dyDescent="0.25">
      <c r="C454" s="2" t="s">
        <v>2460</v>
      </c>
      <c r="D454" s="2" t="s">
        <v>122</v>
      </c>
      <c r="E454" s="2">
        <v>90</v>
      </c>
      <c r="F454" s="2">
        <v>1814.82</v>
      </c>
    </row>
    <row r="455" spans="3:6" x14ac:dyDescent="0.25">
      <c r="C455" s="2" t="s">
        <v>2461</v>
      </c>
      <c r="D455" s="2" t="s">
        <v>122</v>
      </c>
      <c r="E455" s="2">
        <v>44</v>
      </c>
      <c r="F455" s="2">
        <v>851.759</v>
      </c>
    </row>
    <row r="456" spans="3:6" x14ac:dyDescent="0.25">
      <c r="C456" s="2" t="s">
        <v>2462</v>
      </c>
      <c r="D456" s="2" t="s">
        <v>122</v>
      </c>
      <c r="E456" s="2">
        <v>141</v>
      </c>
      <c r="F456" s="2">
        <v>2776.24</v>
      </c>
    </row>
    <row r="457" spans="3:6" x14ac:dyDescent="0.25">
      <c r="C457" s="2" t="s">
        <v>2463</v>
      </c>
      <c r="D457" s="2" t="s">
        <v>122</v>
      </c>
      <c r="E457" s="2">
        <v>95</v>
      </c>
      <c r="F457" s="2">
        <v>1807.87</v>
      </c>
    </row>
    <row r="458" spans="3:6" x14ac:dyDescent="0.25">
      <c r="C458" s="2" t="s">
        <v>2464</v>
      </c>
      <c r="D458" s="2" t="s">
        <v>122</v>
      </c>
      <c r="E458" s="2">
        <v>46</v>
      </c>
      <c r="F458" s="2">
        <v>922.32</v>
      </c>
    </row>
    <row r="459" spans="3:6" x14ac:dyDescent="0.25">
      <c r="C459" s="2" t="s">
        <v>2465</v>
      </c>
      <c r="D459" s="2" t="s">
        <v>122</v>
      </c>
      <c r="E459" s="2">
        <v>56</v>
      </c>
      <c r="F459" s="2">
        <v>245.178</v>
      </c>
    </row>
    <row r="460" spans="3:6" x14ac:dyDescent="0.25">
      <c r="C460" s="2" t="s">
        <v>2466</v>
      </c>
      <c r="D460" s="2" t="s">
        <v>122</v>
      </c>
      <c r="E460" s="2">
        <v>60</v>
      </c>
      <c r="F460" s="2">
        <v>263.12</v>
      </c>
    </row>
    <row r="461" spans="3:6" x14ac:dyDescent="0.25">
      <c r="C461" s="2" t="s">
        <v>2467</v>
      </c>
      <c r="D461" s="2" t="s">
        <v>122</v>
      </c>
      <c r="E461" s="2">
        <v>108</v>
      </c>
      <c r="F461" s="2">
        <v>1988.958</v>
      </c>
    </row>
    <row r="462" spans="3:6" x14ac:dyDescent="0.25">
      <c r="C462" s="2" t="s">
        <v>2468</v>
      </c>
      <c r="D462" s="2" t="s">
        <v>122</v>
      </c>
      <c r="E462" s="2">
        <v>49</v>
      </c>
      <c r="F462" s="2">
        <v>820.229</v>
      </c>
    </row>
    <row r="463" spans="3:6" x14ac:dyDescent="0.25">
      <c r="C463" s="2" t="s">
        <v>2469</v>
      </c>
      <c r="D463" s="2" t="s">
        <v>122</v>
      </c>
      <c r="E463" s="2">
        <v>48</v>
      </c>
      <c r="F463" s="2">
        <v>982.99</v>
      </c>
    </row>
    <row r="464" spans="3:6" x14ac:dyDescent="0.25">
      <c r="C464" s="2" t="s">
        <v>2470</v>
      </c>
      <c r="D464" s="2" t="s">
        <v>122</v>
      </c>
      <c r="E464" s="2">
        <v>24</v>
      </c>
      <c r="F464" s="2">
        <v>477.799</v>
      </c>
    </row>
    <row r="465" spans="3:6" x14ac:dyDescent="0.25">
      <c r="C465" s="2" t="s">
        <v>2471</v>
      </c>
      <c r="D465" s="2" t="s">
        <v>122</v>
      </c>
      <c r="E465" s="2">
        <v>32</v>
      </c>
      <c r="F465" s="2">
        <v>612.46</v>
      </c>
    </row>
    <row r="466" spans="3:6" x14ac:dyDescent="0.25">
      <c r="C466" s="2" t="s">
        <v>2472</v>
      </c>
      <c r="D466" s="2" t="s">
        <v>122</v>
      </c>
      <c r="E466" s="2">
        <v>30</v>
      </c>
      <c r="F466" s="2">
        <v>591.49</v>
      </c>
    </row>
    <row r="467" spans="3:6" x14ac:dyDescent="0.25">
      <c r="C467" s="2" t="s">
        <v>2473</v>
      </c>
      <c r="D467" s="2" t="s">
        <v>122</v>
      </c>
      <c r="E467" s="2">
        <v>30</v>
      </c>
      <c r="F467" s="2">
        <v>617.23</v>
      </c>
    </row>
    <row r="468" spans="3:6" x14ac:dyDescent="0.25">
      <c r="C468" s="2" t="s">
        <v>2474</v>
      </c>
      <c r="D468" s="2" t="s">
        <v>122</v>
      </c>
      <c r="E468" s="2">
        <v>29</v>
      </c>
      <c r="F468" s="2">
        <v>560.56</v>
      </c>
    </row>
    <row r="469" spans="3:6" x14ac:dyDescent="0.25">
      <c r="C469" s="2" t="s">
        <v>2475</v>
      </c>
      <c r="D469" s="2" t="s">
        <v>122</v>
      </c>
      <c r="E469" s="2">
        <v>62</v>
      </c>
      <c r="F469" s="2">
        <v>1164.78</v>
      </c>
    </row>
    <row r="470" spans="3:6" x14ac:dyDescent="0.25">
      <c r="C470" s="2" t="s">
        <v>2476</v>
      </c>
      <c r="D470" s="2" t="s">
        <v>122</v>
      </c>
      <c r="E470" s="2">
        <v>59</v>
      </c>
      <c r="F470" s="2">
        <v>1227.3</v>
      </c>
    </row>
    <row r="471" spans="3:6" x14ac:dyDescent="0.25">
      <c r="C471" s="2" t="s">
        <v>2477</v>
      </c>
      <c r="D471" s="2" t="s">
        <v>122</v>
      </c>
      <c r="E471" s="2">
        <v>129</v>
      </c>
      <c r="F471" s="2">
        <v>2632.759</v>
      </c>
    </row>
    <row r="472" spans="3:6" x14ac:dyDescent="0.25">
      <c r="C472" s="2" t="s">
        <v>2478</v>
      </c>
      <c r="D472" s="2" t="s">
        <v>122</v>
      </c>
      <c r="E472" s="2">
        <v>12</v>
      </c>
      <c r="F472" s="2">
        <v>230.7</v>
      </c>
    </row>
    <row r="473" spans="3:6" x14ac:dyDescent="0.25">
      <c r="C473" s="2" t="s">
        <v>2479</v>
      </c>
      <c r="D473" s="2" t="s">
        <v>122</v>
      </c>
      <c r="E473" s="2">
        <v>84</v>
      </c>
      <c r="F473" s="2">
        <v>1748.659</v>
      </c>
    </row>
    <row r="474" spans="3:6" x14ac:dyDescent="0.25">
      <c r="C474" s="2" t="s">
        <v>2480</v>
      </c>
      <c r="D474" s="2" t="s">
        <v>122</v>
      </c>
      <c r="E474" s="2">
        <v>57</v>
      </c>
      <c r="F474" s="2">
        <v>1135.4</v>
      </c>
    </row>
    <row r="475" spans="3:6" x14ac:dyDescent="0.25">
      <c r="C475" s="2" t="s">
        <v>2481</v>
      </c>
      <c r="D475" s="2" t="s">
        <v>122</v>
      </c>
      <c r="E475" s="2">
        <v>23</v>
      </c>
      <c r="F475" s="2">
        <v>453.81</v>
      </c>
    </row>
    <row r="476" spans="3:6" x14ac:dyDescent="0.25">
      <c r="C476" s="2" t="s">
        <v>2482</v>
      </c>
      <c r="D476" s="2" t="s">
        <v>122</v>
      </c>
      <c r="E476" s="2">
        <v>25</v>
      </c>
      <c r="F476" s="2">
        <v>488.379</v>
      </c>
    </row>
    <row r="477" spans="3:6" x14ac:dyDescent="0.25">
      <c r="C477" s="2" t="s">
        <v>2483</v>
      </c>
      <c r="D477" s="2" t="s">
        <v>122</v>
      </c>
      <c r="E477" s="2">
        <v>54</v>
      </c>
      <c r="F477" s="2">
        <v>1149.54</v>
      </c>
    </row>
    <row r="478" spans="3:6" x14ac:dyDescent="0.25">
      <c r="C478" s="2" t="s">
        <v>2484</v>
      </c>
      <c r="D478" s="2" t="s">
        <v>122</v>
      </c>
      <c r="E478" s="2">
        <v>15</v>
      </c>
      <c r="F478" s="2">
        <v>322.9</v>
      </c>
    </row>
    <row r="479" spans="3:6" x14ac:dyDescent="0.25">
      <c r="C479" s="2" t="s">
        <v>2485</v>
      </c>
      <c r="D479" s="2" t="s">
        <v>122</v>
      </c>
      <c r="E479" s="2">
        <v>87</v>
      </c>
      <c r="F479" s="2">
        <v>1838.7</v>
      </c>
    </row>
    <row r="480" spans="3:6" x14ac:dyDescent="0.25">
      <c r="C480" s="2" t="s">
        <v>2486</v>
      </c>
      <c r="D480" s="2" t="s">
        <v>122</v>
      </c>
      <c r="E480" s="2">
        <v>6</v>
      </c>
      <c r="F480" s="2">
        <v>129.55</v>
      </c>
    </row>
    <row r="481" spans="3:6" x14ac:dyDescent="0.25">
      <c r="C481" s="2" t="s">
        <v>2487</v>
      </c>
      <c r="D481" s="2" t="s">
        <v>122</v>
      </c>
      <c r="E481" s="2">
        <v>40</v>
      </c>
      <c r="F481" s="2">
        <v>789.849</v>
      </c>
    </row>
    <row r="482" spans="3:6" x14ac:dyDescent="0.25">
      <c r="C482" s="2" t="s">
        <v>2488</v>
      </c>
      <c r="D482" s="2" t="s">
        <v>122</v>
      </c>
      <c r="E482" s="2">
        <v>30</v>
      </c>
      <c r="F482" s="2">
        <v>621.78</v>
      </c>
    </row>
    <row r="483" spans="3:6" x14ac:dyDescent="0.25">
      <c r="C483" s="2" t="s">
        <v>2489</v>
      </c>
      <c r="D483" s="2" t="s">
        <v>122</v>
      </c>
      <c r="E483" s="2">
        <v>26</v>
      </c>
      <c r="F483" s="2">
        <v>545.79</v>
      </c>
    </row>
    <row r="484" spans="3:6" x14ac:dyDescent="0.25">
      <c r="C484" s="2" t="s">
        <v>2490</v>
      </c>
      <c r="D484" s="2" t="s">
        <v>122</v>
      </c>
      <c r="E484" s="2">
        <v>141</v>
      </c>
      <c r="F484" s="2">
        <v>2898.28</v>
      </c>
    </row>
    <row r="485" spans="3:6" x14ac:dyDescent="0.25">
      <c r="C485" s="2" t="s">
        <v>2491</v>
      </c>
      <c r="D485" s="2" t="s">
        <v>122</v>
      </c>
      <c r="E485" s="2">
        <v>141</v>
      </c>
      <c r="F485" s="2">
        <v>2896.76</v>
      </c>
    </row>
    <row r="486" spans="3:6" x14ac:dyDescent="0.25">
      <c r="C486" s="2" t="s">
        <v>2492</v>
      </c>
      <c r="D486" s="2" t="s">
        <v>122</v>
      </c>
      <c r="E486" s="2">
        <v>48</v>
      </c>
      <c r="F486" s="2">
        <v>954.01</v>
      </c>
    </row>
    <row r="487" spans="3:6" x14ac:dyDescent="0.25">
      <c r="C487" s="2" t="s">
        <v>2493</v>
      </c>
      <c r="D487" s="2" t="s">
        <v>122</v>
      </c>
      <c r="E487" s="2">
        <v>93</v>
      </c>
      <c r="F487" s="2">
        <v>1932.62</v>
      </c>
    </row>
    <row r="488" spans="3:6" x14ac:dyDescent="0.25">
      <c r="C488" s="2" t="s">
        <v>2494</v>
      </c>
      <c r="D488" s="2" t="s">
        <v>122</v>
      </c>
      <c r="E488" s="2">
        <v>51</v>
      </c>
      <c r="F488" s="2">
        <v>959.739</v>
      </c>
    </row>
    <row r="489" spans="3:6" x14ac:dyDescent="0.25">
      <c r="C489" s="2" t="s">
        <v>2495</v>
      </c>
      <c r="D489" s="2" t="s">
        <v>122</v>
      </c>
      <c r="E489" s="2">
        <v>51</v>
      </c>
      <c r="F489" s="2">
        <v>1021.739</v>
      </c>
    </row>
    <row r="490" spans="3:6" x14ac:dyDescent="0.25">
      <c r="C490" s="2" t="s">
        <v>2496</v>
      </c>
      <c r="D490" s="2" t="s">
        <v>122</v>
      </c>
      <c r="E490" s="2">
        <v>42</v>
      </c>
      <c r="F490" s="2">
        <v>800.74</v>
      </c>
    </row>
    <row r="491" spans="3:6" x14ac:dyDescent="0.25">
      <c r="C491" s="2" t="s">
        <v>2497</v>
      </c>
      <c r="D491" s="2" t="s">
        <v>122</v>
      </c>
      <c r="E491" s="2">
        <v>22</v>
      </c>
      <c r="F491" s="2">
        <v>228.848</v>
      </c>
    </row>
    <row r="492" spans="3:6" x14ac:dyDescent="0.25">
      <c r="C492" s="2" t="s">
        <v>2498</v>
      </c>
      <c r="D492" s="2" t="s">
        <v>122</v>
      </c>
      <c r="E492" s="2">
        <v>6</v>
      </c>
      <c r="F492" s="2">
        <v>109.2</v>
      </c>
    </row>
    <row r="493" spans="3:6" x14ac:dyDescent="0.25">
      <c r="C493" s="2" t="s">
        <v>2499</v>
      </c>
      <c r="D493" s="2" t="s">
        <v>122</v>
      </c>
      <c r="E493" s="2">
        <v>12</v>
      </c>
      <c r="F493" s="2">
        <v>258.32</v>
      </c>
    </row>
    <row r="494" spans="3:6" x14ac:dyDescent="0.25">
      <c r="C494" s="2" t="s">
        <v>2500</v>
      </c>
      <c r="D494" s="2" t="s">
        <v>122</v>
      </c>
      <c r="E494" s="2">
        <v>10</v>
      </c>
      <c r="F494" s="2">
        <v>201.34</v>
      </c>
    </row>
    <row r="495" spans="3:6" x14ac:dyDescent="0.25">
      <c r="C495" s="2" t="s">
        <v>2501</v>
      </c>
      <c r="D495" s="2" t="s">
        <v>122</v>
      </c>
      <c r="E495" s="2">
        <v>70</v>
      </c>
      <c r="F495" s="2">
        <v>1344.29</v>
      </c>
    </row>
    <row r="496" spans="3:6" x14ac:dyDescent="0.25">
      <c r="C496" s="2" t="s">
        <v>2502</v>
      </c>
      <c r="D496" s="2" t="s">
        <v>122</v>
      </c>
      <c r="E496" s="2">
        <v>71</v>
      </c>
      <c r="F496" s="2">
        <v>1268.149</v>
      </c>
    </row>
    <row r="497" spans="3:6" x14ac:dyDescent="0.25">
      <c r="C497" s="2" t="s">
        <v>2503</v>
      </c>
      <c r="D497" s="2" t="s">
        <v>122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2504</v>
      </c>
      <c r="C499" s="2" t="s">
        <v>2505</v>
      </c>
      <c r="D499" s="2" t="s">
        <v>204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2506</v>
      </c>
      <c r="D500" s="2" t="s">
        <v>204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172</v>
      </c>
      <c r="C502" s="2" t="s">
        <v>2507</v>
      </c>
      <c r="D502" s="2" t="s">
        <v>122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2508</v>
      </c>
      <c r="D503" s="2" t="s">
        <v>122</v>
      </c>
      <c r="E503" s="2">
        <v>141</v>
      </c>
      <c r="F503" s="2">
        <v>2771.25</v>
      </c>
    </row>
    <row r="504" spans="3:6" x14ac:dyDescent="0.25">
      <c r="C504" s="2" t="s">
        <v>2509</v>
      </c>
      <c r="D504" s="2" t="s">
        <v>122</v>
      </c>
      <c r="E504" s="2">
        <v>141</v>
      </c>
      <c r="F504" s="2">
        <v>2892.899</v>
      </c>
    </row>
    <row r="505" spans="3:6" x14ac:dyDescent="0.25">
      <c r="C505" s="2" t="s">
        <v>2510</v>
      </c>
      <c r="D505" s="2" t="s">
        <v>122</v>
      </c>
      <c r="E505" s="2">
        <v>141</v>
      </c>
      <c r="F505" s="2">
        <v>2872.28</v>
      </c>
    </row>
    <row r="506" spans="3:6" x14ac:dyDescent="0.25">
      <c r="C506" s="2" t="s">
        <v>2511</v>
      </c>
      <c r="D506" s="2" t="s">
        <v>122</v>
      </c>
      <c r="E506" s="2">
        <v>141</v>
      </c>
      <c r="F506" s="2">
        <v>2798.12</v>
      </c>
    </row>
    <row r="507" spans="3:6" x14ac:dyDescent="0.25">
      <c r="C507" s="2" t="s">
        <v>2512</v>
      </c>
      <c r="D507" s="2" t="s">
        <v>122</v>
      </c>
      <c r="E507" s="2">
        <v>134</v>
      </c>
      <c r="F507" s="2">
        <v>2645.4</v>
      </c>
    </row>
    <row r="508" spans="3:6" x14ac:dyDescent="0.25">
      <c r="C508" s="2" t="s">
        <v>2513</v>
      </c>
      <c r="D508" s="2" t="s">
        <v>122</v>
      </c>
      <c r="E508" s="2">
        <v>103</v>
      </c>
      <c r="F508" s="2">
        <v>1896.7</v>
      </c>
    </row>
    <row r="509" spans="3:6" x14ac:dyDescent="0.25">
      <c r="C509" s="2" t="s">
        <v>2514</v>
      </c>
      <c r="D509" s="2" t="s">
        <v>122</v>
      </c>
      <c r="E509" s="2">
        <v>15</v>
      </c>
      <c r="F509" s="2">
        <v>301.41</v>
      </c>
    </row>
    <row r="510" spans="3:6" x14ac:dyDescent="0.25">
      <c r="C510" s="2" t="s">
        <v>2515</v>
      </c>
      <c r="D510" s="2" t="s">
        <v>122</v>
      </c>
      <c r="E510" s="2">
        <v>60</v>
      </c>
      <c r="F510" s="2">
        <v>1589.422</v>
      </c>
    </row>
    <row r="511" spans="3:6" x14ac:dyDescent="0.25">
      <c r="C511" s="2" t="s">
        <v>2516</v>
      </c>
      <c r="D511" s="2" t="s">
        <v>122</v>
      </c>
      <c r="E511" s="2">
        <v>23</v>
      </c>
      <c r="F511" s="2">
        <v>731.82</v>
      </c>
    </row>
    <row r="512" spans="3:6" x14ac:dyDescent="0.25">
      <c r="C512" s="2" t="s">
        <v>2517</v>
      </c>
      <c r="D512" s="2" t="s">
        <v>122</v>
      </c>
      <c r="E512" s="2">
        <v>26</v>
      </c>
      <c r="F512" s="2">
        <v>376.415</v>
      </c>
    </row>
    <row r="513" spans="3:6" x14ac:dyDescent="0.25">
      <c r="C513" s="2" t="s">
        <v>2518</v>
      </c>
      <c r="D513" s="2" t="s">
        <v>122</v>
      </c>
      <c r="E513" s="2">
        <v>13</v>
      </c>
      <c r="F513" s="2">
        <v>252.57</v>
      </c>
    </row>
    <row r="514" spans="3:6" x14ac:dyDescent="0.25">
      <c r="C514" s="2" t="s">
        <v>2519</v>
      </c>
      <c r="D514" s="2" t="s">
        <v>122</v>
      </c>
      <c r="E514" s="2">
        <v>102</v>
      </c>
      <c r="F514" s="2">
        <v>2051.66</v>
      </c>
    </row>
    <row r="515" spans="3:6" x14ac:dyDescent="0.25">
      <c r="C515" s="2" t="s">
        <v>2520</v>
      </c>
      <c r="D515" s="2" t="s">
        <v>122</v>
      </c>
      <c r="E515" s="2">
        <v>102</v>
      </c>
      <c r="F515" s="2">
        <v>2017.88</v>
      </c>
    </row>
    <row r="516" spans="3:6" x14ac:dyDescent="0.25">
      <c r="C516" s="2" t="s">
        <v>2521</v>
      </c>
      <c r="D516" s="2" t="s">
        <v>122</v>
      </c>
      <c r="E516" s="2">
        <v>75</v>
      </c>
      <c r="F516" s="2">
        <v>1494.85</v>
      </c>
    </row>
    <row r="517" spans="3:6" x14ac:dyDescent="0.25">
      <c r="C517" s="2" t="s">
        <v>2522</v>
      </c>
      <c r="D517" s="2" t="s">
        <v>122</v>
      </c>
      <c r="E517" s="2">
        <v>45</v>
      </c>
      <c r="F517" s="2">
        <v>208.18</v>
      </c>
    </row>
    <row r="518" spans="3:4" x14ac:dyDescent="0.25">
      <c r="C518" s="2" t="s">
        <v>2267</v>
      </c>
      <c r="D518" s="2" t="s">
        <v>122</v>
      </c>
    </row>
    <row r="519" spans="3:6" x14ac:dyDescent="0.25">
      <c r="C519" s="2" t="s">
        <v>2523</v>
      </c>
      <c r="D519" s="2" t="s">
        <v>122</v>
      </c>
      <c r="E519" s="2">
        <v>40</v>
      </c>
      <c r="F519" s="2">
        <v>175.17</v>
      </c>
    </row>
    <row r="520" spans="3:6" x14ac:dyDescent="0.25">
      <c r="C520" s="2" t="s">
        <v>2524</v>
      </c>
      <c r="D520" s="2" t="s">
        <v>122</v>
      </c>
      <c r="E520" s="2">
        <v>60</v>
      </c>
      <c r="F520" s="2">
        <v>256.549</v>
      </c>
    </row>
    <row r="521" spans="3:6" x14ac:dyDescent="0.25">
      <c r="C521" s="2" t="s">
        <v>2525</v>
      </c>
      <c r="D521" s="2" t="s">
        <v>122</v>
      </c>
      <c r="E521" s="2">
        <v>121</v>
      </c>
      <c r="F521" s="2">
        <v>2459.929</v>
      </c>
    </row>
    <row r="522" spans="3:6" x14ac:dyDescent="0.25">
      <c r="C522" s="2" t="s">
        <v>2526</v>
      </c>
      <c r="D522" s="2" t="s">
        <v>122</v>
      </c>
      <c r="E522" s="2">
        <v>90</v>
      </c>
      <c r="F522" s="2">
        <v>1815.97</v>
      </c>
    </row>
    <row r="523" spans="3:6" x14ac:dyDescent="0.25">
      <c r="C523" s="2" t="s">
        <v>2527</v>
      </c>
      <c r="D523" s="2" t="s">
        <v>122</v>
      </c>
      <c r="E523" s="2">
        <v>31</v>
      </c>
      <c r="F523" s="2">
        <v>599.28</v>
      </c>
    </row>
    <row r="524" spans="3:6" x14ac:dyDescent="0.25">
      <c r="C524" s="2" t="s">
        <v>2528</v>
      </c>
      <c r="D524" s="2" t="s">
        <v>122</v>
      </c>
      <c r="E524" s="2">
        <v>93</v>
      </c>
      <c r="F524" s="2">
        <v>1686.988</v>
      </c>
    </row>
    <row r="525" spans="3:6" x14ac:dyDescent="0.25">
      <c r="C525" s="2" t="s">
        <v>2529</v>
      </c>
      <c r="D525" s="2" t="s">
        <v>122</v>
      </c>
      <c r="E525" s="2">
        <v>29</v>
      </c>
      <c r="F525" s="2">
        <v>537.36</v>
      </c>
    </row>
    <row r="526" spans="3:6" x14ac:dyDescent="0.25">
      <c r="C526" s="2" t="s">
        <v>2530</v>
      </c>
      <c r="D526" s="2" t="s">
        <v>122</v>
      </c>
      <c r="E526" s="2">
        <v>21</v>
      </c>
      <c r="F526" s="2">
        <v>412.17</v>
      </c>
    </row>
    <row r="527" spans="3:6" x14ac:dyDescent="0.25">
      <c r="C527" s="2" t="s">
        <v>2531</v>
      </c>
      <c r="D527" s="2" t="s">
        <v>122</v>
      </c>
      <c r="E527" s="2">
        <v>24</v>
      </c>
      <c r="F527" s="2">
        <v>444.25</v>
      </c>
    </row>
    <row r="528" spans="3:6" x14ac:dyDescent="0.25">
      <c r="C528" s="2" t="s">
        <v>2532</v>
      </c>
      <c r="D528" s="2" t="s">
        <v>122</v>
      </c>
      <c r="E528" s="2">
        <v>76</v>
      </c>
      <c r="F528" s="2">
        <v>1566.28</v>
      </c>
    </row>
    <row r="529" spans="3:6" x14ac:dyDescent="0.25">
      <c r="C529" s="2" t="s">
        <v>2533</v>
      </c>
      <c r="D529" s="2" t="s">
        <v>122</v>
      </c>
      <c r="E529" s="2">
        <v>58</v>
      </c>
      <c r="F529" s="2">
        <v>1141.73</v>
      </c>
    </row>
    <row r="530" spans="3:6" x14ac:dyDescent="0.25">
      <c r="C530" s="2" t="s">
        <v>2534</v>
      </c>
      <c r="D530" s="2" t="s">
        <v>122</v>
      </c>
      <c r="E530" s="2">
        <v>38</v>
      </c>
      <c r="F530" s="2">
        <v>739.41</v>
      </c>
    </row>
    <row r="531" spans="3:6" x14ac:dyDescent="0.25">
      <c r="C531" s="2" t="s">
        <v>2535</v>
      </c>
      <c r="D531" s="2" t="s">
        <v>122</v>
      </c>
      <c r="E531" s="2">
        <v>29</v>
      </c>
      <c r="F531" s="2">
        <v>528.129</v>
      </c>
    </row>
    <row r="532" spans="3:6" x14ac:dyDescent="0.25">
      <c r="C532" s="2" t="s">
        <v>2536</v>
      </c>
      <c r="D532" s="2" t="s">
        <v>122</v>
      </c>
      <c r="E532" s="2">
        <v>16</v>
      </c>
      <c r="F532" s="2">
        <v>320.04</v>
      </c>
    </row>
    <row r="533" spans="3:6" x14ac:dyDescent="0.25">
      <c r="C533" s="2" t="s">
        <v>2537</v>
      </c>
      <c r="D533" s="2" t="s">
        <v>122</v>
      </c>
      <c r="E533" s="2">
        <v>12</v>
      </c>
      <c r="F533" s="2">
        <v>201.689</v>
      </c>
    </row>
    <row r="534" spans="3:6" x14ac:dyDescent="0.25">
      <c r="C534" s="2" t="s">
        <v>2538</v>
      </c>
      <c r="D534" s="2" t="s">
        <v>122</v>
      </c>
      <c r="E534" s="2">
        <v>66</v>
      </c>
      <c r="F534" s="2">
        <v>2381.31</v>
      </c>
    </row>
    <row r="535" spans="3:6" x14ac:dyDescent="0.25">
      <c r="C535" s="2" t="s">
        <v>2539</v>
      </c>
      <c r="D535" s="2" t="s">
        <v>122</v>
      </c>
      <c r="E535" s="2">
        <v>79</v>
      </c>
      <c r="F535" s="2">
        <v>1564.28</v>
      </c>
    </row>
    <row r="536" spans="3:6" x14ac:dyDescent="0.25">
      <c r="C536" s="2" t="s">
        <v>2540</v>
      </c>
      <c r="D536" s="2" t="s">
        <v>122</v>
      </c>
      <c r="E536" s="2">
        <v>62</v>
      </c>
      <c r="F536" s="2">
        <v>1215.88</v>
      </c>
    </row>
    <row r="537" spans="3:6" x14ac:dyDescent="0.25">
      <c r="C537" s="2" t="s">
        <v>2541</v>
      </c>
      <c r="D537" s="2" t="s">
        <v>122</v>
      </c>
      <c r="E537" s="2">
        <v>74</v>
      </c>
      <c r="F537" s="2">
        <v>1499.14</v>
      </c>
    </row>
    <row r="538" spans="3:6" x14ac:dyDescent="0.25">
      <c r="C538" s="2" t="s">
        <v>2542</v>
      </c>
      <c r="D538" s="2" t="s">
        <v>122</v>
      </c>
      <c r="E538" s="2">
        <v>41</v>
      </c>
      <c r="F538" s="2">
        <v>793.759</v>
      </c>
    </row>
    <row r="539" spans="3:6" x14ac:dyDescent="0.25">
      <c r="C539" s="2" t="s">
        <v>2543</v>
      </c>
      <c r="D539" s="2" t="s">
        <v>122</v>
      </c>
      <c r="E539" s="2">
        <v>20</v>
      </c>
      <c r="F539" s="2">
        <v>408.6</v>
      </c>
    </row>
    <row r="540" spans="3:6" x14ac:dyDescent="0.25">
      <c r="C540" s="2" t="s">
        <v>2544</v>
      </c>
      <c r="D540" s="2" t="s">
        <v>122</v>
      </c>
      <c r="E540" s="2">
        <v>18</v>
      </c>
      <c r="F540" s="2">
        <v>362.87</v>
      </c>
    </row>
    <row r="541" spans="3:6" x14ac:dyDescent="0.25">
      <c r="C541" s="2" t="s">
        <v>2545</v>
      </c>
      <c r="D541" s="2" t="s">
        <v>122</v>
      </c>
      <c r="E541" s="2">
        <v>45</v>
      </c>
      <c r="F541" s="2">
        <v>191.188</v>
      </c>
    </row>
    <row r="542" spans="3:6" x14ac:dyDescent="0.25">
      <c r="C542" s="2" t="s">
        <v>2546</v>
      </c>
      <c r="D542" s="2" t="s">
        <v>122</v>
      </c>
      <c r="E542" s="2">
        <v>92</v>
      </c>
      <c r="F542" s="2">
        <v>2514.371</v>
      </c>
    </row>
    <row r="543" spans="3:6" x14ac:dyDescent="0.25">
      <c r="C543" s="2" t="s">
        <v>2547</v>
      </c>
      <c r="D543" s="2" t="s">
        <v>122</v>
      </c>
      <c r="E543" s="2">
        <v>20</v>
      </c>
      <c r="F543" s="2">
        <v>386.78</v>
      </c>
    </row>
    <row r="544" spans="3:6" x14ac:dyDescent="0.25">
      <c r="C544" s="2" t="s">
        <v>2548</v>
      </c>
      <c r="D544" s="2" t="s">
        <v>122</v>
      </c>
      <c r="E544" s="2">
        <v>41</v>
      </c>
      <c r="F544" s="2">
        <v>857.41</v>
      </c>
    </row>
    <row r="545" spans="3:6" x14ac:dyDescent="0.25">
      <c r="C545" s="2" t="s">
        <v>2549</v>
      </c>
      <c r="D545" s="2" t="s">
        <v>122</v>
      </c>
      <c r="E545" s="2">
        <v>19</v>
      </c>
      <c r="F545" s="2">
        <v>363.78</v>
      </c>
    </row>
    <row r="546" spans="3:6" x14ac:dyDescent="0.25">
      <c r="C546" s="2" t="s">
        <v>2550</v>
      </c>
      <c r="D546" s="2" t="s">
        <v>122</v>
      </c>
      <c r="E546" s="2">
        <v>22</v>
      </c>
      <c r="F546" s="2">
        <v>407.45</v>
      </c>
    </row>
    <row r="547" spans="3:6" x14ac:dyDescent="0.25">
      <c r="C547" s="2" t="s">
        <v>2551</v>
      </c>
      <c r="D547" s="2" t="s">
        <v>122</v>
      </c>
      <c r="E547" s="2">
        <v>19</v>
      </c>
      <c r="F547" s="2">
        <v>347.46</v>
      </c>
    </row>
    <row r="548" spans="3:6" x14ac:dyDescent="0.25">
      <c r="C548" s="2" t="s">
        <v>2552</v>
      </c>
      <c r="D548" s="2" t="s">
        <v>122</v>
      </c>
      <c r="E548" s="2">
        <v>10</v>
      </c>
      <c r="F548" s="2">
        <v>200.31</v>
      </c>
    </row>
    <row r="549" spans="3:6" x14ac:dyDescent="0.25">
      <c r="C549" s="2" t="s">
        <v>2553</v>
      </c>
      <c r="D549" s="2" t="s">
        <v>122</v>
      </c>
      <c r="E549" s="2">
        <v>10</v>
      </c>
      <c r="F549" s="2">
        <v>228.85</v>
      </c>
    </row>
    <row r="550" spans="3:6" x14ac:dyDescent="0.25">
      <c r="C550" s="2" t="s">
        <v>2554</v>
      </c>
      <c r="D550" s="2" t="s">
        <v>122</v>
      </c>
      <c r="E550" s="2">
        <v>79</v>
      </c>
      <c r="F550" s="2">
        <v>2313.169</v>
      </c>
    </row>
    <row r="551" spans="3:6" x14ac:dyDescent="0.25">
      <c r="C551" s="2" t="s">
        <v>2555</v>
      </c>
      <c r="D551" s="2" t="s">
        <v>122</v>
      </c>
      <c r="E551" s="2">
        <v>141</v>
      </c>
      <c r="F551" s="2">
        <v>2815.32</v>
      </c>
    </row>
    <row r="552" spans="3:6" x14ac:dyDescent="0.25">
      <c r="C552" s="2" t="s">
        <v>2556</v>
      </c>
      <c r="D552" s="2" t="s">
        <v>122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2557</v>
      </c>
      <c r="C554" s="2" t="s">
        <v>2558</v>
      </c>
      <c r="D554" s="2" t="s">
        <v>2096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1101</v>
      </c>
      <c r="C556" s="2" t="s">
        <v>2559</v>
      </c>
      <c r="D556" s="2" t="s">
        <v>20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2560</v>
      </c>
      <c r="D557" s="2" t="s">
        <v>20</v>
      </c>
      <c r="E557" s="2">
        <v>105</v>
      </c>
      <c r="F557" s="2">
        <v>2095.42</v>
      </c>
    </row>
    <row r="558" spans="3:6" x14ac:dyDescent="0.25">
      <c r="C558" s="2" t="s">
        <v>2561</v>
      </c>
      <c r="D558" s="2" t="s">
        <v>20</v>
      </c>
      <c r="E558" s="2">
        <v>156</v>
      </c>
      <c r="F558" s="2">
        <v>3150.25</v>
      </c>
    </row>
    <row r="559" spans="3:6" x14ac:dyDescent="0.25">
      <c r="C559" s="2" t="s">
        <v>2436</v>
      </c>
      <c r="D559" s="2" t="s">
        <v>20</v>
      </c>
      <c r="E559" s="2">
        <v>309</v>
      </c>
      <c r="F559" s="2">
        <v>6192.229</v>
      </c>
    </row>
    <row r="560" spans="3:6" x14ac:dyDescent="0.25">
      <c r="C560" s="2" t="s">
        <v>2439</v>
      </c>
      <c r="D560" s="2" t="s">
        <v>20</v>
      </c>
      <c r="E560" s="2">
        <v>156</v>
      </c>
      <c r="F560" s="2">
        <v>3061.91</v>
      </c>
    </row>
    <row r="561" spans="3:6" x14ac:dyDescent="0.25">
      <c r="C561" s="2" t="s">
        <v>2437</v>
      </c>
      <c r="D561" s="2" t="s">
        <v>20</v>
      </c>
      <c r="E561" s="2">
        <v>156</v>
      </c>
      <c r="F561" s="2">
        <v>3032.42</v>
      </c>
    </row>
    <row r="562" spans="3:6" x14ac:dyDescent="0.25">
      <c r="C562" s="2" t="s">
        <v>2440</v>
      </c>
      <c r="D562" s="2" t="s">
        <v>20</v>
      </c>
      <c r="E562" s="2">
        <v>156</v>
      </c>
      <c r="F562" s="2">
        <v>3002.63</v>
      </c>
    </row>
    <row r="563" spans="3:6" x14ac:dyDescent="0.25">
      <c r="C563" s="2" t="s">
        <v>2438</v>
      </c>
      <c r="D563" s="2" t="s">
        <v>20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2375</v>
      </c>
      <c r="C565" s="2" t="s">
        <v>2562</v>
      </c>
      <c r="D565" s="2" t="s">
        <v>342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2563</v>
      </c>
      <c r="D566" s="2" t="s">
        <v>342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1473</v>
      </c>
      <c r="C568" s="2" t="s">
        <v>2564</v>
      </c>
      <c r="D568" s="2" t="s">
        <v>214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2565</v>
      </c>
      <c r="D569" s="2" t="s">
        <v>214</v>
      </c>
      <c r="E569" s="2">
        <v>100</v>
      </c>
      <c r="F569" s="2">
        <v>1927.44</v>
      </c>
    </row>
    <row r="570" spans="3:6" x14ac:dyDescent="0.25">
      <c r="C570" s="2" t="s">
        <v>2566</v>
      </c>
      <c r="D570" s="2" t="s">
        <v>214</v>
      </c>
      <c r="E570" s="2">
        <v>56</v>
      </c>
      <c r="F570" s="2">
        <v>1024.11</v>
      </c>
    </row>
    <row r="571" spans="3:6" x14ac:dyDescent="0.25">
      <c r="C571" s="2" t="s">
        <v>2567</v>
      </c>
      <c r="D571" s="2" t="s">
        <v>214</v>
      </c>
      <c r="E571" s="2">
        <v>100</v>
      </c>
      <c r="F571" s="2">
        <v>1849.589</v>
      </c>
    </row>
    <row r="572" spans="3:6" x14ac:dyDescent="0.25">
      <c r="C572" s="2" t="s">
        <v>2568</v>
      </c>
      <c r="D572" s="2" t="s">
        <v>214</v>
      </c>
      <c r="E572" s="2">
        <v>56</v>
      </c>
      <c r="F572" s="2">
        <v>1119.88</v>
      </c>
    </row>
    <row r="573" spans="3:6" x14ac:dyDescent="0.25">
      <c r="C573" s="2" t="s">
        <v>2569</v>
      </c>
      <c r="D573" s="2" t="s">
        <v>204</v>
      </c>
      <c r="E573" s="2">
        <v>105</v>
      </c>
      <c r="F573" s="2">
        <v>2122</v>
      </c>
    </row>
    <row r="574" spans="3:6" x14ac:dyDescent="0.25">
      <c r="C574" s="2" t="s">
        <v>2570</v>
      </c>
      <c r="D574" s="2" t="s">
        <v>204</v>
      </c>
      <c r="E574" s="2">
        <v>105</v>
      </c>
      <c r="F574" s="2">
        <v>2083.129</v>
      </c>
    </row>
    <row r="575" spans="3:6" x14ac:dyDescent="0.25">
      <c r="C575" s="2" t="s">
        <v>2571</v>
      </c>
      <c r="D575" s="2" t="s">
        <v>204</v>
      </c>
      <c r="E575" s="2">
        <v>105</v>
      </c>
      <c r="F575" s="2">
        <v>2080.33</v>
      </c>
    </row>
    <row r="576" spans="3:6" x14ac:dyDescent="0.25">
      <c r="C576" s="2" t="s">
        <v>2572</v>
      </c>
      <c r="D576" s="2" t="s">
        <v>204</v>
      </c>
      <c r="E576" s="2">
        <v>105</v>
      </c>
      <c r="F576" s="2">
        <v>2027.528</v>
      </c>
    </row>
    <row r="577" spans="3:6" x14ac:dyDescent="0.25">
      <c r="C577" s="2" t="s">
        <v>2573</v>
      </c>
      <c r="D577" s="2" t="s">
        <v>216</v>
      </c>
      <c r="E577" s="2">
        <v>163</v>
      </c>
      <c r="F577" s="2">
        <v>3084.378</v>
      </c>
    </row>
    <row r="578" spans="3:6" x14ac:dyDescent="0.25">
      <c r="C578" s="2" t="s">
        <v>2574</v>
      </c>
      <c r="D578" s="2" t="s">
        <v>236</v>
      </c>
      <c r="E578" s="2">
        <v>45</v>
      </c>
      <c r="F578" s="2">
        <v>820.34</v>
      </c>
    </row>
    <row r="579" spans="3:6" x14ac:dyDescent="0.25">
      <c r="C579" s="2" t="s">
        <v>2575</v>
      </c>
      <c r="D579" s="2" t="s">
        <v>236</v>
      </c>
      <c r="E579" s="2">
        <v>60</v>
      </c>
      <c r="F579" s="2">
        <v>1027.689</v>
      </c>
    </row>
    <row r="580" spans="3:6" x14ac:dyDescent="0.25">
      <c r="C580" s="2" t="s">
        <v>2576</v>
      </c>
      <c r="D580" s="2" t="s">
        <v>236</v>
      </c>
      <c r="E580" s="2">
        <v>80</v>
      </c>
      <c r="F580" s="2">
        <v>1566.31</v>
      </c>
    </row>
    <row r="581" spans="3:6" x14ac:dyDescent="0.25">
      <c r="C581" s="2" t="s">
        <v>2577</v>
      </c>
      <c r="D581" s="2" t="s">
        <v>236</v>
      </c>
      <c r="E581" s="2">
        <v>25</v>
      </c>
      <c r="F581" s="2">
        <v>500.78</v>
      </c>
    </row>
    <row r="582" spans="3:6" x14ac:dyDescent="0.25">
      <c r="C582" s="2" t="s">
        <v>2578</v>
      </c>
      <c r="D582" s="2" t="s">
        <v>204</v>
      </c>
      <c r="E582" s="2">
        <v>163</v>
      </c>
      <c r="F582" s="2">
        <v>3129.078</v>
      </c>
    </row>
    <row r="583" spans="3:6" x14ac:dyDescent="0.25">
      <c r="C583" s="2" t="s">
        <v>2579</v>
      </c>
      <c r="D583" s="2" t="s">
        <v>204</v>
      </c>
      <c r="E583" s="2">
        <v>163</v>
      </c>
      <c r="F583" s="2">
        <v>3203.459</v>
      </c>
    </row>
    <row r="584" spans="3:6" x14ac:dyDescent="0.25">
      <c r="C584" s="2" t="s">
        <v>2580</v>
      </c>
      <c r="D584" s="2" t="s">
        <v>204</v>
      </c>
      <c r="E584" s="2">
        <v>163</v>
      </c>
      <c r="F584" s="2">
        <v>3035.78</v>
      </c>
    </row>
    <row r="585" spans="3:6" x14ac:dyDescent="0.25">
      <c r="C585" s="2" t="s">
        <v>2581</v>
      </c>
      <c r="D585" s="2" t="s">
        <v>347</v>
      </c>
      <c r="E585" s="2">
        <v>26</v>
      </c>
      <c r="F585" s="2">
        <v>509.46</v>
      </c>
    </row>
    <row r="586" spans="3:6" x14ac:dyDescent="0.25">
      <c r="C586" s="2" t="s">
        <v>2582</v>
      </c>
      <c r="D586" s="2" t="s">
        <v>347</v>
      </c>
      <c r="E586" s="2">
        <v>30</v>
      </c>
      <c r="F586" s="2">
        <v>568.229</v>
      </c>
    </row>
    <row r="587" spans="3:6" x14ac:dyDescent="0.25">
      <c r="C587" s="2" t="s">
        <v>2583</v>
      </c>
      <c r="D587" s="2" t="s">
        <v>347</v>
      </c>
      <c r="E587" s="2">
        <v>100</v>
      </c>
      <c r="F587" s="2">
        <v>1831.239</v>
      </c>
    </row>
    <row r="588" spans="3:6" x14ac:dyDescent="0.25">
      <c r="C588" s="2" t="s">
        <v>2584</v>
      </c>
      <c r="D588" s="2" t="s">
        <v>214</v>
      </c>
      <c r="E588" s="2">
        <v>100</v>
      </c>
      <c r="F588" s="2">
        <v>1983.5</v>
      </c>
    </row>
    <row r="589" spans="3:6" x14ac:dyDescent="0.25">
      <c r="C589" s="2" t="s">
        <v>2585</v>
      </c>
      <c r="D589" s="2" t="s">
        <v>214</v>
      </c>
      <c r="E589" s="2">
        <v>56</v>
      </c>
      <c r="F589" s="2">
        <v>1030.999</v>
      </c>
    </row>
    <row r="590" spans="3:6" x14ac:dyDescent="0.25">
      <c r="C590" s="2" t="s">
        <v>2586</v>
      </c>
      <c r="D590" s="2" t="s">
        <v>214</v>
      </c>
      <c r="E590" s="2">
        <v>100</v>
      </c>
      <c r="F590" s="2">
        <v>2023.06</v>
      </c>
    </row>
    <row r="591" spans="3:6" x14ac:dyDescent="0.25">
      <c r="C591" s="2" t="s">
        <v>2587</v>
      </c>
      <c r="D591" s="2" t="s">
        <v>214</v>
      </c>
      <c r="E591" s="2">
        <v>56</v>
      </c>
      <c r="F591" s="2">
        <v>1164.94</v>
      </c>
    </row>
    <row r="592" spans="3:6" x14ac:dyDescent="0.25">
      <c r="C592" s="2" t="s">
        <v>2588</v>
      </c>
      <c r="D592" s="2" t="s">
        <v>204</v>
      </c>
      <c r="E592" s="2">
        <v>134</v>
      </c>
      <c r="F592" s="2">
        <v>2632.889</v>
      </c>
    </row>
    <row r="593" spans="3:6" x14ac:dyDescent="0.25">
      <c r="C593" s="2" t="s">
        <v>2589</v>
      </c>
      <c r="D593" s="2" t="s">
        <v>204</v>
      </c>
      <c r="E593" s="2">
        <v>134</v>
      </c>
      <c r="F593" s="2">
        <v>2734.869</v>
      </c>
    </row>
    <row r="594" spans="3:6" x14ac:dyDescent="0.25">
      <c r="C594" s="2" t="s">
        <v>2590</v>
      </c>
      <c r="D594" s="2" t="s">
        <v>216</v>
      </c>
      <c r="E594" s="2">
        <v>105</v>
      </c>
      <c r="F594" s="2">
        <v>1846.309</v>
      </c>
    </row>
    <row r="595" spans="3:6" x14ac:dyDescent="0.25">
      <c r="C595" s="2" t="s">
        <v>2591</v>
      </c>
      <c r="D595" s="2" t="s">
        <v>216</v>
      </c>
      <c r="E595" s="2">
        <v>163</v>
      </c>
      <c r="F595" s="2">
        <v>3000.99</v>
      </c>
    </row>
    <row r="596" spans="3:6" x14ac:dyDescent="0.25">
      <c r="C596" s="2" t="s">
        <v>2592</v>
      </c>
      <c r="D596" s="2" t="s">
        <v>216</v>
      </c>
      <c r="E596" s="2">
        <v>163</v>
      </c>
      <c r="F596" s="2">
        <v>3281.8</v>
      </c>
    </row>
    <row r="597" spans="3:6" x14ac:dyDescent="0.25">
      <c r="C597" s="2" t="s">
        <v>2593</v>
      </c>
      <c r="D597" s="2" t="s">
        <v>204</v>
      </c>
      <c r="E597" s="2">
        <v>134</v>
      </c>
      <c r="F597" s="2">
        <v>2677.14</v>
      </c>
    </row>
    <row r="598" spans="3:6" x14ac:dyDescent="0.25">
      <c r="C598" s="2" t="s">
        <v>2594</v>
      </c>
      <c r="D598" s="2" t="s">
        <v>204</v>
      </c>
      <c r="E598" s="2">
        <v>134</v>
      </c>
      <c r="F598" s="2">
        <v>2641.649</v>
      </c>
    </row>
    <row r="599" spans="3:6" x14ac:dyDescent="0.25">
      <c r="C599" s="2" t="s">
        <v>2595</v>
      </c>
      <c r="D599" s="2" t="s">
        <v>204</v>
      </c>
      <c r="E599" s="2">
        <v>134</v>
      </c>
      <c r="F599" s="2">
        <v>2742.07</v>
      </c>
    </row>
    <row r="600" spans="3:6" x14ac:dyDescent="0.25">
      <c r="C600" s="2" t="s">
        <v>2596</v>
      </c>
      <c r="D600" s="2" t="s">
        <v>204</v>
      </c>
      <c r="E600" s="2">
        <v>134</v>
      </c>
      <c r="F600" s="2">
        <v>2698.42</v>
      </c>
    </row>
    <row r="601" spans="3:6" x14ac:dyDescent="0.25">
      <c r="C601" s="2" t="s">
        <v>2430</v>
      </c>
      <c r="D601" s="2" t="s">
        <v>204</v>
      </c>
      <c r="E601" s="2">
        <v>163</v>
      </c>
      <c r="F601" s="2">
        <v>3123.04</v>
      </c>
    </row>
    <row r="602" spans="3:6" x14ac:dyDescent="0.25">
      <c r="C602" s="2" t="s">
        <v>2405</v>
      </c>
      <c r="D602" s="2" t="s">
        <v>204</v>
      </c>
      <c r="E602" s="2">
        <v>163</v>
      </c>
      <c r="F602" s="2">
        <v>3276.987</v>
      </c>
    </row>
    <row r="603" spans="3:6" x14ac:dyDescent="0.25">
      <c r="C603" s="2" t="s">
        <v>2416</v>
      </c>
      <c r="D603" s="2" t="s">
        <v>216</v>
      </c>
      <c r="E603" s="2">
        <v>134</v>
      </c>
      <c r="F603" s="2">
        <v>2715.07</v>
      </c>
    </row>
    <row r="604" spans="3:6" x14ac:dyDescent="0.25">
      <c r="C604" s="2" t="s">
        <v>2155</v>
      </c>
      <c r="D604" s="2" t="s">
        <v>204</v>
      </c>
      <c r="E604" s="2">
        <v>70</v>
      </c>
      <c r="F604" s="2">
        <v>1030.716</v>
      </c>
    </row>
    <row r="605" spans="3:6" x14ac:dyDescent="0.25">
      <c r="C605" s="2" t="s">
        <v>2157</v>
      </c>
      <c r="D605" s="2" t="s">
        <v>342</v>
      </c>
      <c r="E605" s="2">
        <v>24</v>
      </c>
      <c r="F605" s="2">
        <v>416.55</v>
      </c>
    </row>
    <row r="607" spans="2:7" x14ac:dyDescent="0.25">
      <c r="B607" s="2" t="s">
        <v>2077</v>
      </c>
      <c r="C607" s="2" t="s">
        <v>2597</v>
      </c>
      <c r="D607" s="2" t="s">
        <v>216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2598</v>
      </c>
      <c r="D608" s="2" t="s">
        <v>297</v>
      </c>
      <c r="E608" s="2">
        <v>148</v>
      </c>
      <c r="F608" s="2">
        <v>2686</v>
      </c>
    </row>
    <row r="609" spans="3:6" x14ac:dyDescent="0.25">
      <c r="C609" s="2" t="s">
        <v>2599</v>
      </c>
      <c r="D609" s="2" t="s">
        <v>216</v>
      </c>
      <c r="E609" s="2">
        <v>156</v>
      </c>
      <c r="F609" s="2">
        <v>2783</v>
      </c>
    </row>
    <row r="610" spans="3:6" x14ac:dyDescent="0.25">
      <c r="C610" s="2" t="s">
        <v>2600</v>
      </c>
      <c r="D610" s="2" t="s">
        <v>216</v>
      </c>
      <c r="E610" s="2">
        <v>136</v>
      </c>
      <c r="F610" s="2">
        <v>2581</v>
      </c>
    </row>
    <row r="611" spans="3:6" x14ac:dyDescent="0.25">
      <c r="C611" s="2" t="s">
        <v>2601</v>
      </c>
      <c r="D611" s="2" t="s">
        <v>216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25</v>
      </c>
      <c r="C613" s="2" t="s">
        <v>2602</v>
      </c>
      <c r="D613" s="2" t="s">
        <v>27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2603</v>
      </c>
      <c r="D614" s="2" t="s">
        <v>27</v>
      </c>
      <c r="E614" s="2">
        <v>89</v>
      </c>
      <c r="F614" s="2">
        <v>1734.22</v>
      </c>
    </row>
    <row r="615" spans="3:6" x14ac:dyDescent="0.25">
      <c r="C615" s="2" t="s">
        <v>2604</v>
      </c>
      <c r="D615" s="2" t="s">
        <v>27</v>
      </c>
      <c r="E615" s="2">
        <v>32</v>
      </c>
      <c r="F615" s="2">
        <v>601.48</v>
      </c>
    </row>
    <row r="616" spans="3:6" x14ac:dyDescent="0.25">
      <c r="C616" s="2" t="s">
        <v>2605</v>
      </c>
      <c r="D616" s="2" t="s">
        <v>27</v>
      </c>
      <c r="E616" s="2">
        <v>47</v>
      </c>
      <c r="F616" s="2">
        <v>897.59</v>
      </c>
    </row>
    <row r="617" spans="3:6" x14ac:dyDescent="0.25">
      <c r="C617" s="2" t="s">
        <v>2606</v>
      </c>
      <c r="D617" s="2" t="s">
        <v>27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120</v>
      </c>
      <c r="C619" s="2" t="s">
        <v>2607</v>
      </c>
      <c r="D619" s="2" t="s">
        <v>42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2608</v>
      </c>
      <c r="D620" s="2" t="s">
        <v>42</v>
      </c>
      <c r="E620" s="2">
        <v>141</v>
      </c>
      <c r="F620" s="2">
        <v>2667.97</v>
      </c>
    </row>
    <row r="621" spans="3:6" x14ac:dyDescent="0.25">
      <c r="C621" s="2" t="s">
        <v>2609</v>
      </c>
      <c r="D621" s="2" t="s">
        <v>42</v>
      </c>
      <c r="E621" s="2">
        <v>142</v>
      </c>
      <c r="F621" s="2">
        <v>2737.3</v>
      </c>
    </row>
    <row r="622" spans="3:6" x14ac:dyDescent="0.25">
      <c r="C622" s="2" t="s">
        <v>2610</v>
      </c>
      <c r="D622" s="2" t="s">
        <v>42</v>
      </c>
      <c r="E622" s="2">
        <v>123</v>
      </c>
      <c r="F622" s="2">
        <v>2488.95</v>
      </c>
    </row>
    <row r="623" spans="3:6" x14ac:dyDescent="0.25">
      <c r="C623" s="2" t="s">
        <v>2611</v>
      </c>
      <c r="D623" s="2" t="s">
        <v>42</v>
      </c>
      <c r="E623" s="2">
        <v>141</v>
      </c>
      <c r="F623" s="2">
        <v>2994.79</v>
      </c>
    </row>
    <row r="624" spans="3:6" x14ac:dyDescent="0.25">
      <c r="C624" s="2" t="s">
        <v>2612</v>
      </c>
      <c r="D624" s="2" t="s">
        <v>42</v>
      </c>
      <c r="E624" s="2">
        <v>142</v>
      </c>
      <c r="F624" s="2">
        <v>2635.03</v>
      </c>
    </row>
    <row r="625" spans="3:6" x14ac:dyDescent="0.25">
      <c r="C625" s="2" t="s">
        <v>2613</v>
      </c>
      <c r="D625" s="2" t="s">
        <v>42</v>
      </c>
      <c r="E625" s="2">
        <v>123</v>
      </c>
      <c r="F625" s="2">
        <v>2235.94</v>
      </c>
    </row>
    <row r="626" spans="3:6" x14ac:dyDescent="0.25">
      <c r="C626" s="2" t="s">
        <v>2614</v>
      </c>
      <c r="D626" s="2" t="s">
        <v>42</v>
      </c>
      <c r="E626" s="2">
        <v>54</v>
      </c>
      <c r="F626" s="2">
        <v>989.16</v>
      </c>
    </row>
    <row r="627" spans="3:6" x14ac:dyDescent="0.25">
      <c r="C627" s="2" t="s">
        <v>2615</v>
      </c>
      <c r="D627" s="2" t="s">
        <v>42</v>
      </c>
      <c r="E627" s="2">
        <v>47</v>
      </c>
      <c r="F627" s="2">
        <v>874.55</v>
      </c>
    </row>
    <row r="628" spans="3:6" x14ac:dyDescent="0.25">
      <c r="C628" s="2" t="s">
        <v>2616</v>
      </c>
      <c r="D628" s="2" t="s">
        <v>42</v>
      </c>
      <c r="E628" s="2">
        <v>18</v>
      </c>
      <c r="F628" s="2">
        <v>338.38</v>
      </c>
    </row>
    <row r="629" spans="3:6" x14ac:dyDescent="0.25">
      <c r="C629" s="2" t="s">
        <v>2617</v>
      </c>
      <c r="D629" s="2" t="s">
        <v>42</v>
      </c>
      <c r="E629" s="2">
        <v>102</v>
      </c>
      <c r="F629" s="2">
        <v>1880.598</v>
      </c>
    </row>
    <row r="630" spans="3:6" x14ac:dyDescent="0.25">
      <c r="C630" s="2" t="s">
        <v>2618</v>
      </c>
      <c r="D630" s="2" t="s">
        <v>42</v>
      </c>
      <c r="E630" s="2">
        <v>53</v>
      </c>
      <c r="F630" s="2">
        <v>1186.12</v>
      </c>
    </row>
    <row r="631" spans="3:6" x14ac:dyDescent="0.25">
      <c r="C631" s="2" t="s">
        <v>2619</v>
      </c>
      <c r="D631" s="2" t="s">
        <v>42</v>
      </c>
      <c r="E631" s="2">
        <v>28</v>
      </c>
      <c r="F631" s="2">
        <v>601.7</v>
      </c>
    </row>
    <row r="632" spans="3:6" x14ac:dyDescent="0.25">
      <c r="C632" s="2" t="s">
        <v>2620</v>
      </c>
      <c r="D632" s="2" t="s">
        <v>42</v>
      </c>
      <c r="E632" s="2">
        <v>19</v>
      </c>
      <c r="F632" s="2">
        <v>386.97</v>
      </c>
    </row>
    <row r="633" spans="3:6" x14ac:dyDescent="0.25">
      <c r="C633" s="2" t="s">
        <v>2621</v>
      </c>
      <c r="D633" s="2" t="s">
        <v>42</v>
      </c>
      <c r="E633" s="2">
        <v>65</v>
      </c>
      <c r="F633" s="2">
        <v>1482.26</v>
      </c>
    </row>
    <row r="634" spans="3:6" x14ac:dyDescent="0.25">
      <c r="C634" s="2" t="s">
        <v>2622</v>
      </c>
      <c r="D634" s="2" t="s">
        <v>42</v>
      </c>
      <c r="E634" s="2">
        <v>10</v>
      </c>
      <c r="F634" s="2">
        <v>221.4</v>
      </c>
    </row>
    <row r="635" spans="3:6" x14ac:dyDescent="0.25">
      <c r="C635" s="2" t="s">
        <v>2623</v>
      </c>
      <c r="D635" s="2" t="s">
        <v>42</v>
      </c>
      <c r="E635" s="2">
        <v>100</v>
      </c>
      <c r="F635" s="2">
        <v>1978.28</v>
      </c>
    </row>
    <row r="636" spans="3:6" x14ac:dyDescent="0.25">
      <c r="C636" s="2" t="s">
        <v>2624</v>
      </c>
      <c r="D636" s="2" t="s">
        <v>42</v>
      </c>
      <c r="E636" s="2">
        <v>141</v>
      </c>
      <c r="F636" s="2">
        <v>2977.84</v>
      </c>
    </row>
    <row r="637" spans="3:6" x14ac:dyDescent="0.25">
      <c r="C637" s="2" t="s">
        <v>2625</v>
      </c>
      <c r="D637" s="2" t="s">
        <v>42</v>
      </c>
      <c r="E637" s="2">
        <v>42</v>
      </c>
      <c r="F637" s="2">
        <v>214.3</v>
      </c>
    </row>
    <row r="638" spans="3:6" x14ac:dyDescent="0.25">
      <c r="C638" s="2" t="s">
        <v>2626</v>
      </c>
      <c r="D638" s="2" t="s">
        <v>42</v>
      </c>
      <c r="E638" s="2">
        <v>95</v>
      </c>
      <c r="F638" s="2">
        <v>2014.07</v>
      </c>
    </row>
    <row r="639" spans="3:6" x14ac:dyDescent="0.25">
      <c r="C639" s="2" t="s">
        <v>2612</v>
      </c>
      <c r="D639" s="2" t="s">
        <v>42</v>
      </c>
      <c r="E639" s="2">
        <v>142</v>
      </c>
      <c r="F639" s="2">
        <v>2635.03</v>
      </c>
    </row>
    <row r="640" spans="3:6" x14ac:dyDescent="0.25">
      <c r="C640" s="2" t="s">
        <v>2627</v>
      </c>
      <c r="D640" s="2" t="s">
        <v>42</v>
      </c>
      <c r="E640" s="2">
        <v>33</v>
      </c>
      <c r="F640" s="2">
        <v>621.279</v>
      </c>
    </row>
    <row r="641" spans="3:6" x14ac:dyDescent="0.25">
      <c r="C641" s="2" t="s">
        <v>2628</v>
      </c>
      <c r="D641" s="2" t="s">
        <v>42</v>
      </c>
      <c r="E641" s="2">
        <v>13</v>
      </c>
      <c r="F641" s="2">
        <v>224.05</v>
      </c>
    </row>
    <row r="642" spans="3:6" x14ac:dyDescent="0.25">
      <c r="C642" s="2" t="s">
        <v>2629</v>
      </c>
      <c r="D642" s="2" t="s">
        <v>42</v>
      </c>
      <c r="E642" s="2">
        <v>32</v>
      </c>
      <c r="F642" s="2">
        <v>623.559</v>
      </c>
    </row>
    <row r="643" spans="3:6" x14ac:dyDescent="0.25">
      <c r="C643" s="2" t="s">
        <v>2630</v>
      </c>
      <c r="D643" s="2" t="s">
        <v>42</v>
      </c>
      <c r="E643" s="2">
        <v>18</v>
      </c>
      <c r="F643" s="2">
        <v>128.699</v>
      </c>
    </row>
    <row r="644" spans="3:6" x14ac:dyDescent="0.25">
      <c r="C644" s="2" t="s">
        <v>2631</v>
      </c>
      <c r="D644" s="2" t="s">
        <v>42</v>
      </c>
      <c r="E644" s="2">
        <v>18</v>
      </c>
      <c r="F644" s="2">
        <v>258.23</v>
      </c>
    </row>
    <row r="645" spans="3:6" x14ac:dyDescent="0.25">
      <c r="C645" s="2" t="s">
        <v>2632</v>
      </c>
      <c r="D645" s="2" t="s">
        <v>42</v>
      </c>
      <c r="E645" s="2">
        <v>45</v>
      </c>
      <c r="F645" s="2">
        <v>234.05</v>
      </c>
    </row>
    <row r="646" spans="3:6" x14ac:dyDescent="0.25">
      <c r="C646" s="2" t="s">
        <v>2633</v>
      </c>
      <c r="D646" s="2" t="s">
        <v>42</v>
      </c>
      <c r="E646" s="2">
        <v>96</v>
      </c>
      <c r="F646" s="2">
        <v>1835.989</v>
      </c>
    </row>
    <row r="647" spans="3:6" x14ac:dyDescent="0.25">
      <c r="C647" s="2" t="s">
        <v>2634</v>
      </c>
      <c r="D647" s="2" t="s">
        <v>42</v>
      </c>
      <c r="E647" s="2">
        <v>45</v>
      </c>
      <c r="F647" s="2">
        <v>211.18</v>
      </c>
    </row>
    <row r="648" spans="3:6" x14ac:dyDescent="0.25">
      <c r="C648" s="2" t="s">
        <v>2635</v>
      </c>
      <c r="D648" s="2" t="s">
        <v>42</v>
      </c>
      <c r="E648" s="2">
        <v>40</v>
      </c>
      <c r="F648" s="2">
        <v>847.249</v>
      </c>
    </row>
    <row r="649" spans="3:6" x14ac:dyDescent="0.25">
      <c r="C649" s="2" t="s">
        <v>2636</v>
      </c>
      <c r="D649" s="2" t="s">
        <v>42</v>
      </c>
      <c r="E649" s="2">
        <v>36</v>
      </c>
      <c r="F649" s="2">
        <v>683.359</v>
      </c>
    </row>
    <row r="650" spans="3:6" x14ac:dyDescent="0.25">
      <c r="C650" s="2" t="s">
        <v>2637</v>
      </c>
      <c r="D650" s="2" t="s">
        <v>42</v>
      </c>
      <c r="E650" s="2">
        <v>52</v>
      </c>
      <c r="F650" s="2">
        <v>945.01</v>
      </c>
    </row>
    <row r="651" spans="3:6" x14ac:dyDescent="0.25">
      <c r="C651" s="2" t="s">
        <v>2638</v>
      </c>
      <c r="D651" s="2" t="s">
        <v>42</v>
      </c>
      <c r="E651" s="2">
        <v>26</v>
      </c>
      <c r="F651" s="2">
        <v>490.924</v>
      </c>
    </row>
    <row r="652" spans="3:6" x14ac:dyDescent="0.25">
      <c r="C652" s="2" t="s">
        <v>2639</v>
      </c>
      <c r="D652" s="2" t="s">
        <v>42</v>
      </c>
      <c r="E652" s="2">
        <v>9</v>
      </c>
      <c r="F652" s="2">
        <v>169.92</v>
      </c>
    </row>
    <row r="653" spans="3:6" x14ac:dyDescent="0.25">
      <c r="C653" s="2" t="s">
        <v>2640</v>
      </c>
      <c r="D653" s="2" t="s">
        <v>42</v>
      </c>
      <c r="E653" s="2">
        <v>68</v>
      </c>
      <c r="F653" s="2">
        <v>1237.74</v>
      </c>
    </row>
    <row r="654" spans="3:6" x14ac:dyDescent="0.25">
      <c r="C654" s="2" t="s">
        <v>2641</v>
      </c>
      <c r="D654" s="2" t="s">
        <v>42</v>
      </c>
      <c r="E654" s="2">
        <v>7</v>
      </c>
      <c r="F654" s="2">
        <v>127.98</v>
      </c>
    </row>
    <row r="655" spans="3:6" x14ac:dyDescent="0.25">
      <c r="C655" s="2" t="s">
        <v>2642</v>
      </c>
      <c r="D655" s="2" t="s">
        <v>42</v>
      </c>
      <c r="E655" s="2">
        <v>10</v>
      </c>
      <c r="F655" s="2">
        <v>184.28</v>
      </c>
    </row>
    <row r="656" spans="3:6" x14ac:dyDescent="0.25">
      <c r="C656" s="2" t="s">
        <v>2643</v>
      </c>
      <c r="D656" s="2" t="s">
        <v>42</v>
      </c>
      <c r="E656" s="2">
        <v>17</v>
      </c>
      <c r="F656" s="2">
        <v>326.85</v>
      </c>
    </row>
    <row r="657" spans="3:6" x14ac:dyDescent="0.25">
      <c r="C657" s="2" t="s">
        <v>2644</v>
      </c>
      <c r="D657" s="2" t="s">
        <v>42</v>
      </c>
      <c r="E657" s="2">
        <v>45</v>
      </c>
      <c r="F657" s="2">
        <v>873.09</v>
      </c>
    </row>
    <row r="658" spans="3:6" x14ac:dyDescent="0.25">
      <c r="C658" s="2" t="s">
        <v>2645</v>
      </c>
      <c r="D658" s="2" t="s">
        <v>42</v>
      </c>
      <c r="E658" s="2">
        <v>9</v>
      </c>
      <c r="F658" s="2">
        <v>158.48</v>
      </c>
    </row>
    <row r="659" spans="3:6" x14ac:dyDescent="0.25">
      <c r="C659" s="2" t="s">
        <v>2646</v>
      </c>
      <c r="D659" s="2" t="s">
        <v>42</v>
      </c>
      <c r="E659" s="2">
        <v>28</v>
      </c>
      <c r="F659" s="2">
        <v>743.615</v>
      </c>
    </row>
    <row r="660" spans="3:6" x14ac:dyDescent="0.25">
      <c r="C660" s="2" t="s">
        <v>2647</v>
      </c>
      <c r="D660" s="2" t="s">
        <v>42</v>
      </c>
      <c r="E660" s="2">
        <v>80</v>
      </c>
      <c r="F660" s="2">
        <v>1576.6</v>
      </c>
    </row>
    <row r="661" spans="3:6" x14ac:dyDescent="0.25">
      <c r="C661" s="2" t="s">
        <v>2648</v>
      </c>
      <c r="D661" s="2" t="s">
        <v>42</v>
      </c>
      <c r="E661" s="2">
        <v>61</v>
      </c>
      <c r="F661" s="2">
        <v>1271.61</v>
      </c>
    </row>
    <row r="662" spans="3:6" x14ac:dyDescent="0.25">
      <c r="C662" s="2" t="s">
        <v>2649</v>
      </c>
      <c r="D662" s="2" t="s">
        <v>42</v>
      </c>
      <c r="E662" s="2">
        <v>36</v>
      </c>
      <c r="F662" s="2">
        <v>722.82</v>
      </c>
    </row>
    <row r="663" spans="3:6" x14ac:dyDescent="0.25">
      <c r="C663" s="2" t="s">
        <v>2650</v>
      </c>
      <c r="D663" s="2" t="s">
        <v>42</v>
      </c>
      <c r="E663" s="2">
        <v>81</v>
      </c>
      <c r="F663" s="2">
        <v>1593.97</v>
      </c>
    </row>
    <row r="664" spans="3:6" x14ac:dyDescent="0.25">
      <c r="C664" s="2" t="s">
        <v>2651</v>
      </c>
      <c r="D664" s="2" t="s">
        <v>42</v>
      </c>
      <c r="E664" s="2">
        <v>23</v>
      </c>
      <c r="F664" s="2">
        <v>458.72</v>
      </c>
    </row>
    <row r="665" spans="3:6" x14ac:dyDescent="0.25">
      <c r="C665" s="2" t="s">
        <v>2652</v>
      </c>
      <c r="D665" s="2" t="s">
        <v>42</v>
      </c>
      <c r="E665" s="2">
        <v>97</v>
      </c>
      <c r="F665" s="2">
        <v>1932.191</v>
      </c>
    </row>
    <row r="666" spans="3:6" x14ac:dyDescent="0.25">
      <c r="C666" s="2" t="s">
        <v>2653</v>
      </c>
      <c r="D666" s="2" t="s">
        <v>42</v>
      </c>
      <c r="E666" s="2">
        <v>41</v>
      </c>
      <c r="F666" s="2">
        <v>961.24</v>
      </c>
    </row>
    <row r="667" spans="3:6" x14ac:dyDescent="0.25">
      <c r="C667" s="2" t="s">
        <v>2654</v>
      </c>
      <c r="D667" s="2" t="s">
        <v>42</v>
      </c>
      <c r="E667" s="2">
        <v>141</v>
      </c>
      <c r="F667" s="2">
        <v>2617.17</v>
      </c>
    </row>
    <row r="668" spans="3:6" x14ac:dyDescent="0.25">
      <c r="C668" s="2" t="s">
        <v>2655</v>
      </c>
      <c r="D668" s="2" t="s">
        <v>42</v>
      </c>
      <c r="E668" s="2">
        <v>38</v>
      </c>
      <c r="F668" s="2">
        <v>725.51</v>
      </c>
    </row>
    <row r="669" spans="3:6" x14ac:dyDescent="0.25">
      <c r="C669" s="2" t="s">
        <v>2656</v>
      </c>
      <c r="D669" s="2" t="s">
        <v>42</v>
      </c>
      <c r="E669" s="2">
        <v>96</v>
      </c>
      <c r="F669" s="2">
        <v>1851.86</v>
      </c>
    </row>
    <row r="670" spans="3:6" x14ac:dyDescent="0.25">
      <c r="C670" s="2" t="s">
        <v>2657</v>
      </c>
      <c r="D670" s="2" t="s">
        <v>42</v>
      </c>
      <c r="E670" s="2">
        <v>60</v>
      </c>
      <c r="F670" s="2">
        <v>303.99</v>
      </c>
    </row>
    <row r="671" spans="3:6" x14ac:dyDescent="0.25">
      <c r="C671" s="2" t="s">
        <v>2658</v>
      </c>
      <c r="D671" s="2" t="s">
        <v>42</v>
      </c>
      <c r="E671" s="2">
        <v>16</v>
      </c>
      <c r="F671" s="2">
        <v>262.57</v>
      </c>
    </row>
    <row r="672" spans="3:6" x14ac:dyDescent="0.25">
      <c r="C672" s="2" t="s">
        <v>2659</v>
      </c>
      <c r="D672" s="2" t="s">
        <v>42</v>
      </c>
      <c r="E672" s="2">
        <v>124</v>
      </c>
      <c r="F672" s="2">
        <v>2798.68</v>
      </c>
    </row>
    <row r="673" spans="3:6" x14ac:dyDescent="0.25">
      <c r="C673" s="2" t="s">
        <v>2660</v>
      </c>
      <c r="D673" s="2" t="s">
        <v>42</v>
      </c>
      <c r="E673" s="2">
        <v>30</v>
      </c>
      <c r="F673" s="2">
        <v>560.528</v>
      </c>
    </row>
    <row r="674" spans="3:6" x14ac:dyDescent="0.25">
      <c r="C674" s="2" t="s">
        <v>2661</v>
      </c>
      <c r="D674" s="2" t="s">
        <v>42</v>
      </c>
      <c r="E674" s="2">
        <v>27</v>
      </c>
      <c r="F674" s="2">
        <v>543.25</v>
      </c>
    </row>
    <row r="675" spans="3:6" x14ac:dyDescent="0.25">
      <c r="C675" s="2" t="s">
        <v>2662</v>
      </c>
      <c r="D675" s="2" t="s">
        <v>42</v>
      </c>
      <c r="E675" s="2">
        <v>44</v>
      </c>
      <c r="F675" s="2">
        <v>857.429</v>
      </c>
    </row>
    <row r="676" spans="3:6" x14ac:dyDescent="0.25">
      <c r="C676" s="2" t="s">
        <v>2663</v>
      </c>
      <c r="D676" s="2" t="s">
        <v>42</v>
      </c>
      <c r="E676" s="2">
        <v>56</v>
      </c>
      <c r="F676" s="2">
        <v>1183.82</v>
      </c>
    </row>
    <row r="677" spans="3:6" x14ac:dyDescent="0.25">
      <c r="C677" s="2" t="s">
        <v>2664</v>
      </c>
      <c r="D677" s="2" t="s">
        <v>42</v>
      </c>
      <c r="E677" s="2">
        <v>91</v>
      </c>
      <c r="F677" s="2">
        <v>1710.47</v>
      </c>
    </row>
    <row r="678" spans="3:6" x14ac:dyDescent="0.25">
      <c r="C678" s="2" t="s">
        <v>2665</v>
      </c>
      <c r="D678" s="2" t="s">
        <v>42</v>
      </c>
      <c r="E678" s="2">
        <v>44</v>
      </c>
      <c r="F678" s="2">
        <v>908.179</v>
      </c>
    </row>
    <row r="679" spans="3:6" x14ac:dyDescent="0.25">
      <c r="C679" s="2" t="s">
        <v>2666</v>
      </c>
      <c r="D679" s="2" t="s">
        <v>42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90</v>
      </c>
      <c r="C681" s="2" t="s">
        <v>2667</v>
      </c>
      <c r="D681" s="2" t="s">
        <v>9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2668</v>
      </c>
      <c r="D682" s="2" t="s">
        <v>9</v>
      </c>
      <c r="E682" s="2">
        <v>123</v>
      </c>
      <c r="F682" s="2">
        <v>2480.97</v>
      </c>
    </row>
    <row r="683" spans="3:6" x14ac:dyDescent="0.25">
      <c r="C683" s="2" t="s">
        <v>2669</v>
      </c>
      <c r="D683" s="2" t="s">
        <v>9</v>
      </c>
      <c r="E683" s="2">
        <v>117</v>
      </c>
      <c r="F683" s="2">
        <v>2271.65</v>
      </c>
    </row>
    <row r="684" spans="3:6" x14ac:dyDescent="0.25">
      <c r="C684" s="2" t="s">
        <v>2670</v>
      </c>
      <c r="D684" s="2" t="s">
        <v>9</v>
      </c>
      <c r="E684" s="2">
        <v>127</v>
      </c>
      <c r="F684" s="2">
        <v>2398.46</v>
      </c>
    </row>
    <row r="685" spans="3:6" x14ac:dyDescent="0.25">
      <c r="C685" s="2" t="s">
        <v>2671</v>
      </c>
      <c r="D685" s="2" t="s">
        <v>9</v>
      </c>
      <c r="E685" s="2">
        <v>148</v>
      </c>
      <c r="F685" s="2">
        <v>2807.189</v>
      </c>
    </row>
    <row r="686" spans="3:6" x14ac:dyDescent="0.25">
      <c r="C686" s="2" t="s">
        <v>2672</v>
      </c>
      <c r="D686" s="2" t="s">
        <v>9</v>
      </c>
      <c r="E686" s="2">
        <v>141</v>
      </c>
      <c r="F686" s="2">
        <v>2906.88</v>
      </c>
    </row>
    <row r="687" spans="3:6" x14ac:dyDescent="0.25">
      <c r="C687" s="2" t="s">
        <v>2673</v>
      </c>
      <c r="D687" s="2" t="s">
        <v>9</v>
      </c>
      <c r="E687" s="2">
        <v>143</v>
      </c>
      <c r="F687" s="2">
        <v>598.057</v>
      </c>
    </row>
    <row r="688" spans="3:6" x14ac:dyDescent="0.25">
      <c r="C688" s="2" t="s">
        <v>2674</v>
      </c>
      <c r="D688" s="2" t="s">
        <v>9</v>
      </c>
      <c r="E688" s="2">
        <v>60</v>
      </c>
      <c r="F688" s="2">
        <v>1131.979</v>
      </c>
    </row>
    <row r="689" spans="3:6" x14ac:dyDescent="0.25">
      <c r="C689" s="2" t="s">
        <v>2675</v>
      </c>
      <c r="D689" s="2" t="s">
        <v>9</v>
      </c>
      <c r="E689" s="2">
        <v>55</v>
      </c>
      <c r="F689" s="2">
        <v>1038.961</v>
      </c>
    </row>
    <row r="690" spans="3:6" x14ac:dyDescent="0.25">
      <c r="C690" s="2" t="s">
        <v>2676</v>
      </c>
      <c r="D690" s="2" t="s">
        <v>9</v>
      </c>
      <c r="E690" s="2">
        <v>123</v>
      </c>
      <c r="F690" s="2">
        <v>2442.819</v>
      </c>
    </row>
    <row r="691" spans="3:6" x14ac:dyDescent="0.25">
      <c r="C691" s="2" t="s">
        <v>2677</v>
      </c>
      <c r="D691" s="2" t="s">
        <v>9</v>
      </c>
      <c r="E691" s="2">
        <v>141</v>
      </c>
      <c r="F691" s="2">
        <v>2819.388</v>
      </c>
    </row>
    <row r="692" spans="3:6" x14ac:dyDescent="0.25">
      <c r="C692" s="2" t="s">
        <v>2678</v>
      </c>
      <c r="D692" s="2" t="s">
        <v>9</v>
      </c>
      <c r="E692" s="2">
        <v>142</v>
      </c>
      <c r="F692" s="2">
        <v>2767.509</v>
      </c>
    </row>
    <row r="693" spans="3:6" x14ac:dyDescent="0.25">
      <c r="C693" s="2" t="s">
        <v>2679</v>
      </c>
      <c r="D693" s="2" t="s">
        <v>9</v>
      </c>
      <c r="E693" s="2">
        <v>102</v>
      </c>
      <c r="F693" s="2">
        <v>1980.22</v>
      </c>
    </row>
    <row r="694" spans="3:6" x14ac:dyDescent="0.25">
      <c r="C694" s="2" t="s">
        <v>2680</v>
      </c>
      <c r="D694" s="2" t="s">
        <v>9</v>
      </c>
      <c r="E694" s="2">
        <v>141</v>
      </c>
      <c r="F694" s="2">
        <v>2889.4</v>
      </c>
    </row>
    <row r="695" spans="3:6" x14ac:dyDescent="0.25">
      <c r="C695" s="2" t="s">
        <v>2681</v>
      </c>
      <c r="D695" s="2" t="s">
        <v>9</v>
      </c>
      <c r="E695" s="2">
        <v>141</v>
      </c>
      <c r="F695" s="2">
        <v>2840.5</v>
      </c>
    </row>
    <row r="696" spans="3:6" x14ac:dyDescent="0.25">
      <c r="C696" s="2" t="s">
        <v>2682</v>
      </c>
      <c r="D696" s="2" t="s">
        <v>9</v>
      </c>
      <c r="E696" s="2">
        <v>141</v>
      </c>
      <c r="F696" s="2">
        <v>2806.69</v>
      </c>
    </row>
    <row r="697" spans="3:6" x14ac:dyDescent="0.25">
      <c r="C697" s="2" t="s">
        <v>2683</v>
      </c>
      <c r="D697" s="2" t="s">
        <v>9</v>
      </c>
      <c r="E697" s="2">
        <v>142</v>
      </c>
      <c r="F697" s="2">
        <v>2697.5</v>
      </c>
    </row>
    <row r="698" spans="3:6" x14ac:dyDescent="0.25">
      <c r="C698" s="2" t="s">
        <v>2684</v>
      </c>
      <c r="D698" s="2" t="s">
        <v>9</v>
      </c>
      <c r="E698" s="2">
        <v>73</v>
      </c>
      <c r="F698" s="2">
        <v>1440.23</v>
      </c>
    </row>
    <row r="699" spans="3:6" x14ac:dyDescent="0.25">
      <c r="C699" s="2" t="s">
        <v>2685</v>
      </c>
      <c r="D699" s="2" t="s">
        <v>9</v>
      </c>
      <c r="E699" s="2">
        <v>68</v>
      </c>
      <c r="F699" s="2">
        <v>1320.53</v>
      </c>
    </row>
    <row r="700" spans="3:6" x14ac:dyDescent="0.25">
      <c r="C700" s="2" t="s">
        <v>2686</v>
      </c>
      <c r="D700" s="2" t="s">
        <v>9</v>
      </c>
      <c r="E700" s="2">
        <v>78</v>
      </c>
      <c r="F700" s="2">
        <v>1349.414</v>
      </c>
    </row>
    <row r="701" spans="3:6" x14ac:dyDescent="0.25">
      <c r="C701" s="2" t="s">
        <v>2687</v>
      </c>
      <c r="D701" s="2" t="s">
        <v>9</v>
      </c>
      <c r="E701" s="2">
        <v>63</v>
      </c>
      <c r="F701" s="2">
        <v>1096.58</v>
      </c>
    </row>
    <row r="702" spans="3:6" x14ac:dyDescent="0.25">
      <c r="C702" s="2" t="s">
        <v>2688</v>
      </c>
      <c r="D702" s="2" t="s">
        <v>9</v>
      </c>
      <c r="E702" s="2">
        <v>141</v>
      </c>
      <c r="F702" s="2">
        <v>2648.127</v>
      </c>
    </row>
    <row r="703" spans="3:6" x14ac:dyDescent="0.25">
      <c r="C703" s="2" t="s">
        <v>2689</v>
      </c>
      <c r="D703" s="2" t="s">
        <v>9</v>
      </c>
      <c r="E703" s="2">
        <v>19</v>
      </c>
      <c r="F703" s="2">
        <v>399.249</v>
      </c>
    </row>
    <row r="704" spans="3:6" x14ac:dyDescent="0.25">
      <c r="C704" s="2" t="s">
        <v>2690</v>
      </c>
      <c r="D704" s="2" t="s">
        <v>9</v>
      </c>
      <c r="E704" s="2">
        <v>18</v>
      </c>
      <c r="F704" s="2">
        <v>352.93</v>
      </c>
    </row>
    <row r="705" spans="3:6" x14ac:dyDescent="0.25">
      <c r="C705" s="2" t="s">
        <v>2691</v>
      </c>
      <c r="D705" s="2" t="s">
        <v>9</v>
      </c>
      <c r="E705" s="2">
        <v>34</v>
      </c>
      <c r="F705" s="2">
        <v>683.65</v>
      </c>
    </row>
    <row r="706" spans="3:6" x14ac:dyDescent="0.25">
      <c r="C706" s="2" t="s">
        <v>2692</v>
      </c>
      <c r="D706" s="2" t="s">
        <v>9</v>
      </c>
      <c r="E706" s="2">
        <v>31</v>
      </c>
      <c r="F706" s="2">
        <v>631.119</v>
      </c>
    </row>
    <row r="707" spans="3:6" x14ac:dyDescent="0.25">
      <c r="C707" s="2" t="s">
        <v>2693</v>
      </c>
      <c r="D707" s="2" t="s">
        <v>9</v>
      </c>
      <c r="E707" s="2">
        <v>141</v>
      </c>
      <c r="F707" s="2">
        <v>2806.9</v>
      </c>
    </row>
    <row r="708" spans="3:6" x14ac:dyDescent="0.25">
      <c r="C708" s="2" t="s">
        <v>2694</v>
      </c>
      <c r="D708" s="2" t="s">
        <v>9</v>
      </c>
      <c r="E708" s="2">
        <v>141</v>
      </c>
      <c r="F708" s="2">
        <v>2714.359</v>
      </c>
    </row>
    <row r="709" spans="3:6" x14ac:dyDescent="0.25">
      <c r="C709" s="2" t="s">
        <v>2695</v>
      </c>
      <c r="D709" s="2" t="s">
        <v>9</v>
      </c>
      <c r="E709" s="2">
        <v>141</v>
      </c>
      <c r="F709" s="2">
        <v>2807.079</v>
      </c>
    </row>
    <row r="710" spans="3:6" x14ac:dyDescent="0.25">
      <c r="C710" s="2" t="s">
        <v>2696</v>
      </c>
      <c r="D710" s="2" t="s">
        <v>9</v>
      </c>
      <c r="E710" s="2">
        <v>102</v>
      </c>
      <c r="F710" s="2">
        <v>2104.24</v>
      </c>
    </row>
    <row r="711" spans="3:6" x14ac:dyDescent="0.25">
      <c r="C711" s="2" t="s">
        <v>2697</v>
      </c>
      <c r="D711" s="2" t="s">
        <v>9</v>
      </c>
      <c r="E711" s="2">
        <v>103</v>
      </c>
      <c r="F711" s="2">
        <v>2041</v>
      </c>
    </row>
    <row r="712" spans="3:6" x14ac:dyDescent="0.25">
      <c r="C712" s="2" t="s">
        <v>2698</v>
      </c>
      <c r="D712" s="2" t="s">
        <v>9</v>
      </c>
      <c r="E712" s="2">
        <v>39</v>
      </c>
      <c r="F712" s="2">
        <v>790.74</v>
      </c>
    </row>
    <row r="713" spans="3:6" x14ac:dyDescent="0.25">
      <c r="C713" s="2" t="s">
        <v>2699</v>
      </c>
      <c r="D713" s="2" t="s">
        <v>9</v>
      </c>
      <c r="E713" s="2">
        <v>10</v>
      </c>
      <c r="F713" s="2">
        <v>221.92</v>
      </c>
    </row>
    <row r="714" spans="3:6" x14ac:dyDescent="0.25">
      <c r="C714" s="2" t="s">
        <v>2700</v>
      </c>
      <c r="D714" s="2" t="s">
        <v>9</v>
      </c>
      <c r="E714" s="2">
        <v>6</v>
      </c>
      <c r="F714" s="2">
        <v>137.85</v>
      </c>
    </row>
    <row r="715" spans="3:6" x14ac:dyDescent="0.25">
      <c r="C715" s="2" t="s">
        <v>2701</v>
      </c>
      <c r="D715" s="2" t="s">
        <v>9</v>
      </c>
      <c r="E715" s="2">
        <v>48</v>
      </c>
      <c r="F715" s="2">
        <v>845.643</v>
      </c>
    </row>
    <row r="716" spans="3:6" x14ac:dyDescent="0.25">
      <c r="C716" s="2" t="s">
        <v>2702</v>
      </c>
      <c r="D716" s="2" t="s">
        <v>9</v>
      </c>
      <c r="E716" s="2">
        <v>31</v>
      </c>
      <c r="F716" s="2">
        <v>551.33</v>
      </c>
    </row>
    <row r="717" spans="3:6" x14ac:dyDescent="0.25">
      <c r="C717" s="2" t="s">
        <v>2703</v>
      </c>
      <c r="D717" s="2" t="s">
        <v>9</v>
      </c>
      <c r="E717" s="2">
        <v>17</v>
      </c>
      <c r="F717" s="2">
        <v>275.86</v>
      </c>
    </row>
    <row r="718" spans="3:6" x14ac:dyDescent="0.25">
      <c r="C718" s="2" t="s">
        <v>2704</v>
      </c>
      <c r="D718" s="2" t="s">
        <v>9</v>
      </c>
      <c r="E718" s="2">
        <v>16</v>
      </c>
      <c r="F718" s="2">
        <v>151.06</v>
      </c>
    </row>
    <row r="719" spans="3:6" x14ac:dyDescent="0.25">
      <c r="C719" s="2" t="s">
        <v>2705</v>
      </c>
      <c r="D719" s="2" t="s">
        <v>9</v>
      </c>
      <c r="E719" s="2">
        <v>19</v>
      </c>
      <c r="F719" s="2">
        <v>360.24</v>
      </c>
    </row>
    <row r="720" spans="3:6" x14ac:dyDescent="0.25">
      <c r="C720" s="2" t="s">
        <v>2706</v>
      </c>
      <c r="D720" s="2" t="s">
        <v>9</v>
      </c>
      <c r="E720" s="2">
        <v>28</v>
      </c>
      <c r="F720" s="2">
        <v>407.809</v>
      </c>
    </row>
    <row r="721" spans="3:6" x14ac:dyDescent="0.25">
      <c r="C721" s="2" t="s">
        <v>2707</v>
      </c>
      <c r="D721" s="2" t="s">
        <v>9</v>
      </c>
      <c r="E721" s="2">
        <v>90</v>
      </c>
      <c r="F721" s="2">
        <v>1795.44</v>
      </c>
    </row>
    <row r="722" spans="3:6" x14ac:dyDescent="0.25">
      <c r="C722" s="2" t="s">
        <v>2708</v>
      </c>
      <c r="D722" s="2" t="s">
        <v>9</v>
      </c>
      <c r="E722" s="2">
        <v>51</v>
      </c>
      <c r="F722" s="2">
        <v>982.65</v>
      </c>
    </row>
    <row r="723" spans="3:6" x14ac:dyDescent="0.25">
      <c r="C723" s="2" t="s">
        <v>2709</v>
      </c>
      <c r="D723" s="2" t="s">
        <v>9</v>
      </c>
      <c r="E723" s="2">
        <v>41</v>
      </c>
      <c r="F723" s="2">
        <v>805.599</v>
      </c>
    </row>
    <row r="724" spans="3:6" x14ac:dyDescent="0.25">
      <c r="C724" s="2" t="s">
        <v>2710</v>
      </c>
      <c r="D724" s="2" t="s">
        <v>9</v>
      </c>
      <c r="E724" s="2">
        <v>61</v>
      </c>
      <c r="F724" s="2">
        <v>1180.629</v>
      </c>
    </row>
    <row r="725" spans="3:6" x14ac:dyDescent="0.25">
      <c r="C725" s="2" t="s">
        <v>2711</v>
      </c>
      <c r="D725" s="2" t="s">
        <v>9</v>
      </c>
      <c r="E725" s="2">
        <v>0</v>
      </c>
      <c r="F725" s="2">
        <v>1321.65</v>
      </c>
    </row>
    <row r="726" spans="3:6" x14ac:dyDescent="0.25">
      <c r="C726" s="2" t="s">
        <v>2712</v>
      </c>
      <c r="D726" s="2" t="s">
        <v>9</v>
      </c>
      <c r="E726" s="2">
        <v>0</v>
      </c>
      <c r="F726" s="2">
        <v>460.56</v>
      </c>
    </row>
    <row r="727" spans="3:6" x14ac:dyDescent="0.25">
      <c r="C727" s="2" t="s">
        <v>2713</v>
      </c>
      <c r="D727" s="2" t="s">
        <v>9</v>
      </c>
      <c r="E727" s="2">
        <v>0</v>
      </c>
      <c r="F727" s="2">
        <v>160.4</v>
      </c>
    </row>
    <row r="728" spans="3:6" x14ac:dyDescent="0.25">
      <c r="C728" s="2" t="s">
        <v>2714</v>
      </c>
      <c r="D728" s="2" t="s">
        <v>9</v>
      </c>
      <c r="E728" s="2">
        <v>37</v>
      </c>
      <c r="F728" s="2">
        <v>760.23</v>
      </c>
    </row>
    <row r="729" spans="3:6" x14ac:dyDescent="0.25">
      <c r="C729" s="2" t="s">
        <v>2715</v>
      </c>
      <c r="D729" s="2" t="s">
        <v>9</v>
      </c>
      <c r="E729" s="2">
        <v>0</v>
      </c>
      <c r="F729" s="2">
        <v>510</v>
      </c>
    </row>
    <row r="730" spans="3:6" x14ac:dyDescent="0.25">
      <c r="C730" s="2" t="s">
        <v>2716</v>
      </c>
      <c r="D730" s="2" t="s">
        <v>9</v>
      </c>
      <c r="E730" s="2">
        <v>31</v>
      </c>
      <c r="F730" s="2">
        <v>622.34</v>
      </c>
    </row>
    <row r="731" spans="3:6" x14ac:dyDescent="0.25">
      <c r="C731" s="2" t="s">
        <v>2717</v>
      </c>
      <c r="D731" s="2" t="s">
        <v>9</v>
      </c>
      <c r="E731" s="2">
        <v>17</v>
      </c>
      <c r="F731" s="2">
        <v>343.72</v>
      </c>
    </row>
    <row r="732" spans="3:6" x14ac:dyDescent="0.25">
      <c r="C732" s="2" t="s">
        <v>2718</v>
      </c>
      <c r="D732" s="2" t="s">
        <v>9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14</v>
      </c>
      <c r="C734" s="2" t="s">
        <v>2719</v>
      </c>
      <c r="D734" s="2" t="s">
        <v>12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2720</v>
      </c>
      <c r="D735" s="2" t="s">
        <v>12</v>
      </c>
      <c r="E735" s="2">
        <v>150</v>
      </c>
      <c r="F735" s="2">
        <v>3040.68</v>
      </c>
    </row>
    <row r="736" spans="3:6" x14ac:dyDescent="0.25">
      <c r="C736" s="2" t="s">
        <v>2721</v>
      </c>
      <c r="D736" s="2" t="s">
        <v>12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10</v>
      </c>
      <c r="C738" s="2" t="s">
        <v>2722</v>
      </c>
      <c r="D738" s="2" t="s">
        <v>12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2723</v>
      </c>
      <c r="D739" s="2" t="s">
        <v>12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1101</v>
      </c>
      <c r="C741" s="2" t="s">
        <v>2724</v>
      </c>
      <c r="D741" s="2" t="s">
        <v>20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2725</v>
      </c>
      <c r="D742" s="2" t="s">
        <v>20</v>
      </c>
      <c r="E742" s="2">
        <v>148</v>
      </c>
      <c r="F742" s="2">
        <v>2850.088</v>
      </c>
    </row>
    <row r="743" spans="3:6" x14ac:dyDescent="0.25">
      <c r="C743" s="2" t="s">
        <v>2726</v>
      </c>
      <c r="D743" s="2" t="s">
        <v>20</v>
      </c>
      <c r="E743" s="2">
        <v>156</v>
      </c>
      <c r="F743" s="2">
        <v>2985.33</v>
      </c>
    </row>
    <row r="744" spans="3:6" x14ac:dyDescent="0.25">
      <c r="C744" s="2" t="s">
        <v>2727</v>
      </c>
      <c r="D744" s="2" t="s">
        <v>20</v>
      </c>
      <c r="E744" s="2">
        <v>154</v>
      </c>
      <c r="F744" s="2">
        <v>2961.58</v>
      </c>
    </row>
    <row r="745" spans="3:6" x14ac:dyDescent="0.25">
      <c r="C745" s="2" t="s">
        <v>2728</v>
      </c>
      <c r="D745" s="2" t="s">
        <v>20</v>
      </c>
      <c r="E745" s="2">
        <v>261</v>
      </c>
      <c r="F745" s="2">
        <v>5214.29</v>
      </c>
    </row>
    <row r="746" spans="3:6" x14ac:dyDescent="0.25">
      <c r="C746" s="2" t="s">
        <v>2729</v>
      </c>
      <c r="D746" s="2" t="s">
        <v>20</v>
      </c>
      <c r="E746" s="2">
        <v>208</v>
      </c>
      <c r="F746" s="2">
        <v>3814.47</v>
      </c>
    </row>
    <row r="747" spans="3:6" x14ac:dyDescent="0.25">
      <c r="C747" s="2" t="s">
        <v>2730</v>
      </c>
      <c r="D747" s="2" t="s">
        <v>20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18</v>
      </c>
      <c r="C749" s="2" t="s">
        <v>2731</v>
      </c>
      <c r="D749" s="2" t="s">
        <v>20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2732</v>
      </c>
      <c r="D750" s="2" t="s">
        <v>20</v>
      </c>
      <c r="E750" s="2">
        <v>142</v>
      </c>
      <c r="F750" s="2">
        <v>2723.84</v>
      </c>
    </row>
    <row r="751" spans="3:6" x14ac:dyDescent="0.25">
      <c r="C751" s="2" t="s">
        <v>2733</v>
      </c>
      <c r="D751" s="2" t="s">
        <v>20</v>
      </c>
      <c r="E751" s="2">
        <v>142</v>
      </c>
      <c r="F751" s="2">
        <v>2727.51</v>
      </c>
    </row>
    <row r="752" spans="3:6" x14ac:dyDescent="0.25">
      <c r="C752" s="2" t="s">
        <v>2734</v>
      </c>
      <c r="D752" s="2" t="s">
        <v>20</v>
      </c>
      <c r="E752" s="2">
        <v>102</v>
      </c>
      <c r="F752" s="2">
        <v>1846.32</v>
      </c>
    </row>
    <row r="753" spans="3:6" x14ac:dyDescent="0.25">
      <c r="C753" s="2" t="s">
        <v>2735</v>
      </c>
      <c r="D753" s="2" t="s">
        <v>20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2736</v>
      </c>
      <c r="C755" s="2" t="s">
        <v>2737</v>
      </c>
      <c r="D755" s="2" t="s">
        <v>342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2738</v>
      </c>
      <c r="C757" s="2" t="s">
        <v>2739</v>
      </c>
      <c r="D757" s="2" t="s">
        <v>20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2740</v>
      </c>
      <c r="D758" s="2" t="s">
        <v>20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324</v>
      </c>
      <c r="C760" s="2" t="s">
        <v>2741</v>
      </c>
      <c r="D760" s="2" t="s">
        <v>27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2742</v>
      </c>
      <c r="D761" s="2" t="s">
        <v>27</v>
      </c>
      <c r="E761" s="2">
        <v>16</v>
      </c>
      <c r="F761" s="2">
        <v>271.33</v>
      </c>
    </row>
    <row r="762" spans="3:6" x14ac:dyDescent="0.25">
      <c r="C762" s="2" t="s">
        <v>2743</v>
      </c>
      <c r="D762" s="2" t="s">
        <v>27</v>
      </c>
      <c r="E762" s="2">
        <v>28</v>
      </c>
      <c r="F762" s="2">
        <v>518.72</v>
      </c>
    </row>
    <row r="763" spans="3:6" x14ac:dyDescent="0.25">
      <c r="C763" s="2" t="s">
        <v>2744</v>
      </c>
      <c r="D763" s="2" t="s">
        <v>27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2745</v>
      </c>
      <c r="C765" s="2" t="s">
        <v>2746</v>
      </c>
      <c r="D765" s="2" t="s">
        <v>204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10</v>
      </c>
      <c r="C767" s="2" t="s">
        <v>2747</v>
      </c>
      <c r="D767" s="2" t="s">
        <v>12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2748</v>
      </c>
      <c r="D768" s="2" t="s">
        <v>12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1101</v>
      </c>
      <c r="C770" s="2" t="s">
        <v>2749</v>
      </c>
      <c r="D770" s="2" t="s">
        <v>20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2750</v>
      </c>
      <c r="D771" s="2" t="s">
        <v>20</v>
      </c>
      <c r="E771" s="2">
        <v>156</v>
      </c>
      <c r="F771" s="2">
        <v>3044.047</v>
      </c>
    </row>
    <row r="772" spans="3:6" x14ac:dyDescent="0.25">
      <c r="C772" s="2" t="s">
        <v>2751</v>
      </c>
      <c r="D772" s="2" t="s">
        <v>20</v>
      </c>
      <c r="E772" s="2">
        <v>156</v>
      </c>
      <c r="F772" s="2">
        <v>2885.759</v>
      </c>
    </row>
    <row r="773" spans="3:6" x14ac:dyDescent="0.25">
      <c r="C773" s="2" t="s">
        <v>2752</v>
      </c>
      <c r="D773" s="2" t="s">
        <v>20</v>
      </c>
      <c r="E773" s="2">
        <v>156</v>
      </c>
      <c r="F773" s="2">
        <v>2990.439</v>
      </c>
    </row>
    <row r="774" spans="3:6" x14ac:dyDescent="0.25">
      <c r="C774" s="2" t="s">
        <v>2753</v>
      </c>
      <c r="D774" s="2" t="s">
        <v>20</v>
      </c>
      <c r="E774" s="2">
        <v>260</v>
      </c>
      <c r="F774" s="2">
        <v>4757.417</v>
      </c>
    </row>
    <row r="775" spans="3:6" x14ac:dyDescent="0.25">
      <c r="C775" s="2" t="s">
        <v>2754</v>
      </c>
      <c r="D775" s="2" t="s">
        <v>20</v>
      </c>
      <c r="E775" s="2">
        <v>91</v>
      </c>
      <c r="F775" s="2">
        <v>1777.79</v>
      </c>
    </row>
    <row r="776" spans="3:6" x14ac:dyDescent="0.25">
      <c r="C776" s="2" t="s">
        <v>2755</v>
      </c>
      <c r="D776" s="2" t="s">
        <v>20</v>
      </c>
      <c r="E776" s="2">
        <v>97</v>
      </c>
      <c r="F776" s="2">
        <v>1923.65</v>
      </c>
    </row>
    <row r="777" spans="3:6" x14ac:dyDescent="0.25">
      <c r="C777" s="2" t="s">
        <v>2756</v>
      </c>
      <c r="D777" s="2" t="s">
        <v>20</v>
      </c>
      <c r="E777" s="2">
        <v>145</v>
      </c>
      <c r="F777" s="2">
        <v>2797.209</v>
      </c>
    </row>
    <row r="778" spans="3:6" x14ac:dyDescent="0.25">
      <c r="C778" s="2" t="s">
        <v>2757</v>
      </c>
      <c r="D778" s="2" t="s">
        <v>20</v>
      </c>
      <c r="E778" s="2">
        <v>105</v>
      </c>
      <c r="F778" s="2">
        <v>2002.599</v>
      </c>
    </row>
    <row r="779" spans="3:6" x14ac:dyDescent="0.25">
      <c r="C779" s="2" t="s">
        <v>2758</v>
      </c>
      <c r="D779" s="2" t="s">
        <v>20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2094</v>
      </c>
      <c r="C781" s="2" t="s">
        <v>2759</v>
      </c>
      <c r="D781" s="2" t="s">
        <v>2096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2097</v>
      </c>
      <c r="C783" s="2" t="s">
        <v>2760</v>
      </c>
      <c r="D783" s="2" t="s">
        <v>27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2761</v>
      </c>
      <c r="D784" s="2" t="s">
        <v>27</v>
      </c>
      <c r="E784" s="2">
        <v>93</v>
      </c>
      <c r="F784" s="2">
        <v>1687.635</v>
      </c>
    </row>
    <row r="785" spans="3:6" x14ac:dyDescent="0.25">
      <c r="C785" s="2" t="s">
        <v>2762</v>
      </c>
      <c r="D785" s="2" t="s">
        <v>27</v>
      </c>
      <c r="E785" s="2">
        <v>37</v>
      </c>
      <c r="F785" s="2">
        <v>672.199</v>
      </c>
    </row>
    <row r="786" spans="3:6" x14ac:dyDescent="0.25">
      <c r="C786" s="2" t="s">
        <v>2763</v>
      </c>
      <c r="D786" s="2" t="s">
        <v>27</v>
      </c>
      <c r="E786" s="2">
        <v>56</v>
      </c>
      <c r="F786" s="2">
        <v>1135.23</v>
      </c>
    </row>
    <row r="787" spans="3:6" x14ac:dyDescent="0.25">
      <c r="C787" s="2" t="s">
        <v>2764</v>
      </c>
      <c r="D787" s="2" t="s">
        <v>27</v>
      </c>
      <c r="E787" s="2">
        <v>67</v>
      </c>
      <c r="F787" s="2">
        <v>1300.838</v>
      </c>
    </row>
    <row r="788" spans="3:6" x14ac:dyDescent="0.25">
      <c r="C788" s="2" t="s">
        <v>2765</v>
      </c>
      <c r="D788" s="2" t="s">
        <v>27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183</v>
      </c>
      <c r="C790" s="2" t="s">
        <v>2766</v>
      </c>
      <c r="D790" s="2" t="s">
        <v>122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2767</v>
      </c>
      <c r="D791" s="2" t="s">
        <v>122</v>
      </c>
      <c r="E791" s="2">
        <v>38</v>
      </c>
      <c r="F791" s="2">
        <v>753.09</v>
      </c>
    </row>
    <row r="792" spans="3:6" x14ac:dyDescent="0.25">
      <c r="C792" s="2" t="s">
        <v>2768</v>
      </c>
      <c r="D792" s="2" t="s">
        <v>122</v>
      </c>
      <c r="E792" s="2">
        <v>10</v>
      </c>
      <c r="F792" s="2">
        <v>200.58</v>
      </c>
    </row>
    <row r="793" spans="3:6" x14ac:dyDescent="0.25">
      <c r="C793" s="2" t="s">
        <v>2769</v>
      </c>
      <c r="D793" s="2" t="s">
        <v>122</v>
      </c>
      <c r="E793" s="2">
        <v>80</v>
      </c>
      <c r="F793" s="2">
        <v>1661.002</v>
      </c>
    </row>
    <row r="794" spans="3:6" x14ac:dyDescent="0.25">
      <c r="C794" s="2" t="s">
        <v>2770</v>
      </c>
      <c r="D794" s="2" t="s">
        <v>122</v>
      </c>
      <c r="E794" s="2">
        <v>35</v>
      </c>
      <c r="F794" s="2">
        <v>714.48</v>
      </c>
    </row>
    <row r="795" spans="3:6" x14ac:dyDescent="0.25">
      <c r="C795" s="2" t="s">
        <v>2771</v>
      </c>
      <c r="D795" s="2" t="s">
        <v>122</v>
      </c>
      <c r="E795" s="2">
        <v>141</v>
      </c>
      <c r="F795" s="2">
        <v>2842.469</v>
      </c>
    </row>
    <row r="796" spans="3:6" x14ac:dyDescent="0.25">
      <c r="C796" s="2" t="s">
        <v>2772</v>
      </c>
      <c r="D796" s="2" t="s">
        <v>122</v>
      </c>
      <c r="E796" s="2">
        <v>141</v>
      </c>
      <c r="F796" s="2">
        <v>2863.37</v>
      </c>
    </row>
    <row r="797" spans="3:6" x14ac:dyDescent="0.25">
      <c r="C797" s="2" t="s">
        <v>2773</v>
      </c>
      <c r="D797" s="2" t="s">
        <v>122</v>
      </c>
      <c r="E797" s="2">
        <v>121</v>
      </c>
      <c r="F797" s="2">
        <v>2493.289</v>
      </c>
    </row>
    <row r="798" spans="3:6" x14ac:dyDescent="0.25">
      <c r="C798" s="2" t="s">
        <v>2774</v>
      </c>
      <c r="D798" s="2" t="s">
        <v>122</v>
      </c>
      <c r="E798" s="2">
        <v>33</v>
      </c>
      <c r="F798" s="2">
        <v>651.17</v>
      </c>
    </row>
    <row r="799" spans="3:6" x14ac:dyDescent="0.25">
      <c r="C799" s="2" t="s">
        <v>2775</v>
      </c>
      <c r="D799" s="2" t="s">
        <v>122</v>
      </c>
      <c r="E799" s="2">
        <v>16</v>
      </c>
      <c r="F799" s="2">
        <v>327.5</v>
      </c>
    </row>
    <row r="800" spans="3:6" x14ac:dyDescent="0.25">
      <c r="C800" s="2" t="s">
        <v>2776</v>
      </c>
      <c r="D800" s="2" t="s">
        <v>122</v>
      </c>
      <c r="E800" s="2">
        <v>72</v>
      </c>
      <c r="F800" s="2">
        <v>1380.91</v>
      </c>
    </row>
    <row r="801" spans="3:6" x14ac:dyDescent="0.25">
      <c r="C801" s="2" t="s">
        <v>2777</v>
      </c>
      <c r="D801" s="2" t="s">
        <v>122</v>
      </c>
      <c r="E801" s="2">
        <v>110</v>
      </c>
      <c r="F801" s="2">
        <v>503.649</v>
      </c>
    </row>
    <row r="802" spans="3:6" x14ac:dyDescent="0.25">
      <c r="C802" s="2" t="s">
        <v>2778</v>
      </c>
      <c r="D802" s="2" t="s">
        <v>122</v>
      </c>
      <c r="E802" s="2">
        <v>59</v>
      </c>
      <c r="F802" s="2">
        <v>1139.26</v>
      </c>
    </row>
    <row r="803" spans="3:6" x14ac:dyDescent="0.25">
      <c r="C803" s="2" t="s">
        <v>2779</v>
      </c>
      <c r="D803" s="2" t="s">
        <v>122</v>
      </c>
      <c r="E803" s="2">
        <v>43</v>
      </c>
      <c r="F803" s="2">
        <v>874.22</v>
      </c>
    </row>
    <row r="804" spans="3:6" x14ac:dyDescent="0.25">
      <c r="C804" s="2" t="s">
        <v>2780</v>
      </c>
      <c r="D804" s="2" t="s">
        <v>122</v>
      </c>
      <c r="E804" s="2">
        <v>66</v>
      </c>
      <c r="F804" s="2">
        <v>1221.68</v>
      </c>
    </row>
    <row r="805" spans="3:6" x14ac:dyDescent="0.25">
      <c r="C805" s="2" t="s">
        <v>2781</v>
      </c>
      <c r="D805" s="2" t="s">
        <v>122</v>
      </c>
      <c r="E805" s="2">
        <v>13</v>
      </c>
      <c r="F805" s="2">
        <v>251.429</v>
      </c>
    </row>
    <row r="806" spans="3:6" x14ac:dyDescent="0.25">
      <c r="C806" s="2" t="s">
        <v>2782</v>
      </c>
      <c r="D806" s="2" t="s">
        <v>122</v>
      </c>
      <c r="E806" s="2">
        <v>63</v>
      </c>
      <c r="F806" s="2">
        <v>1201.6</v>
      </c>
    </row>
    <row r="807" spans="3:6" x14ac:dyDescent="0.25">
      <c r="C807" s="2" t="s">
        <v>2783</v>
      </c>
      <c r="D807" s="2" t="s">
        <v>122</v>
      </c>
      <c r="E807" s="2">
        <v>65</v>
      </c>
      <c r="F807" s="2">
        <v>1234.119</v>
      </c>
    </row>
    <row r="808" spans="3:6" x14ac:dyDescent="0.25">
      <c r="C808" s="2" t="s">
        <v>2784</v>
      </c>
      <c r="D808" s="2" t="s">
        <v>122</v>
      </c>
      <c r="E808" s="2">
        <v>56</v>
      </c>
      <c r="F808" s="2">
        <v>1114.01</v>
      </c>
    </row>
    <row r="809" spans="3:6" x14ac:dyDescent="0.25">
      <c r="C809" s="2" t="s">
        <v>2785</v>
      </c>
      <c r="D809" s="2" t="s">
        <v>122</v>
      </c>
      <c r="E809" s="2">
        <v>64</v>
      </c>
      <c r="F809" s="2">
        <v>1224.91</v>
      </c>
    </row>
    <row r="810" spans="3:6" x14ac:dyDescent="0.25">
      <c r="C810" s="2" t="s">
        <v>2786</v>
      </c>
      <c r="D810" s="2" t="s">
        <v>122</v>
      </c>
      <c r="E810" s="2">
        <v>57</v>
      </c>
      <c r="F810" s="2">
        <v>1113.3</v>
      </c>
    </row>
    <row r="811" spans="3:6" x14ac:dyDescent="0.25">
      <c r="C811" s="2" t="s">
        <v>2787</v>
      </c>
      <c r="D811" s="2" t="s">
        <v>122</v>
      </c>
      <c r="E811" s="2">
        <v>33</v>
      </c>
      <c r="F811" s="2">
        <v>680.09</v>
      </c>
    </row>
    <row r="812" spans="3:6" x14ac:dyDescent="0.25">
      <c r="C812" s="2" t="s">
        <v>2788</v>
      </c>
      <c r="D812" s="2" t="s">
        <v>122</v>
      </c>
      <c r="E812" s="2">
        <v>22</v>
      </c>
      <c r="F812" s="2">
        <v>404.13</v>
      </c>
    </row>
    <row r="813" spans="3:6" x14ac:dyDescent="0.25">
      <c r="C813" s="2" t="s">
        <v>2789</v>
      </c>
      <c r="D813" s="2" t="s">
        <v>122</v>
      </c>
      <c r="E813" s="2">
        <v>79</v>
      </c>
      <c r="F813" s="2">
        <v>1527.52</v>
      </c>
    </row>
    <row r="814" spans="3:6" x14ac:dyDescent="0.25">
      <c r="C814" s="2" t="s">
        <v>2790</v>
      </c>
      <c r="D814" s="2" t="s">
        <v>122</v>
      </c>
      <c r="E814" s="2">
        <v>81</v>
      </c>
      <c r="F814" s="2">
        <v>339.729</v>
      </c>
    </row>
    <row r="815" spans="3:6" x14ac:dyDescent="0.25">
      <c r="C815" s="2" t="s">
        <v>2791</v>
      </c>
      <c r="D815" s="2" t="s">
        <v>122</v>
      </c>
      <c r="E815" s="2">
        <v>29</v>
      </c>
      <c r="F815" s="2">
        <v>126.819</v>
      </c>
    </row>
    <row r="816" spans="3:6" x14ac:dyDescent="0.25">
      <c r="C816" s="2" t="s">
        <v>2792</v>
      </c>
      <c r="D816" s="2" t="s">
        <v>122</v>
      </c>
      <c r="E816" s="2">
        <v>49</v>
      </c>
      <c r="F816" s="2">
        <v>1029.55</v>
      </c>
    </row>
    <row r="817" spans="3:6" x14ac:dyDescent="0.25">
      <c r="C817" s="2" t="s">
        <v>2793</v>
      </c>
      <c r="D817" s="2" t="s">
        <v>122</v>
      </c>
      <c r="E817" s="2">
        <v>31</v>
      </c>
      <c r="F817" s="2">
        <v>572.799</v>
      </c>
    </row>
    <row r="818" spans="3:6" x14ac:dyDescent="0.25">
      <c r="C818" s="2" t="s">
        <v>2794</v>
      </c>
      <c r="D818" s="2" t="s">
        <v>122</v>
      </c>
      <c r="E818" s="2">
        <v>46</v>
      </c>
      <c r="F818" s="2">
        <v>975.216</v>
      </c>
    </row>
    <row r="819" spans="3:6" x14ac:dyDescent="0.25">
      <c r="C819" s="2" t="s">
        <v>2795</v>
      </c>
      <c r="D819" s="2" t="s">
        <v>122</v>
      </c>
      <c r="E819" s="2">
        <v>75</v>
      </c>
      <c r="F819" s="2">
        <v>1390.37</v>
      </c>
    </row>
    <row r="820" spans="3:6" x14ac:dyDescent="0.25">
      <c r="C820" s="2" t="s">
        <v>2796</v>
      </c>
      <c r="D820" s="2" t="s">
        <v>122</v>
      </c>
      <c r="E820" s="2">
        <v>109</v>
      </c>
      <c r="F820" s="2">
        <v>2033.827</v>
      </c>
    </row>
    <row r="821" spans="3:6" x14ac:dyDescent="0.25">
      <c r="C821" s="2" t="s">
        <v>2797</v>
      </c>
      <c r="D821" s="2" t="s">
        <v>122</v>
      </c>
      <c r="E821" s="2">
        <v>12</v>
      </c>
      <c r="F821" s="2">
        <v>229.42</v>
      </c>
    </row>
    <row r="822" spans="3:6" x14ac:dyDescent="0.25">
      <c r="C822" s="2" t="s">
        <v>2798</v>
      </c>
      <c r="D822" s="2" t="s">
        <v>122</v>
      </c>
      <c r="E822" s="2">
        <v>104</v>
      </c>
      <c r="F822" s="2">
        <v>232.951</v>
      </c>
    </row>
    <row r="823" spans="3:6" x14ac:dyDescent="0.25">
      <c r="C823" s="2" t="s">
        <v>2799</v>
      </c>
      <c r="D823" s="2" t="s">
        <v>122</v>
      </c>
      <c r="E823" s="2">
        <v>30</v>
      </c>
      <c r="F823" s="2">
        <v>393.433</v>
      </c>
    </row>
    <row r="824" spans="3:6" x14ac:dyDescent="0.25">
      <c r="C824" s="2" t="s">
        <v>2800</v>
      </c>
      <c r="D824" s="2" t="s">
        <v>122</v>
      </c>
      <c r="E824" s="2">
        <v>44</v>
      </c>
      <c r="F824" s="2">
        <v>904.73</v>
      </c>
    </row>
    <row r="825" spans="3:6" x14ac:dyDescent="0.25">
      <c r="C825" s="2" t="s">
        <v>2801</v>
      </c>
      <c r="D825" s="2" t="s">
        <v>122</v>
      </c>
      <c r="E825" s="2">
        <v>31</v>
      </c>
      <c r="F825" s="2">
        <v>619.66</v>
      </c>
    </row>
    <row r="826" spans="3:6" x14ac:dyDescent="0.25">
      <c r="C826" s="2" t="s">
        <v>2802</v>
      </c>
      <c r="D826" s="2" t="s">
        <v>122</v>
      </c>
      <c r="E826" s="2">
        <v>27</v>
      </c>
      <c r="F826" s="2">
        <v>546.39</v>
      </c>
    </row>
    <row r="827" spans="3:6" x14ac:dyDescent="0.25">
      <c r="C827" s="2" t="s">
        <v>2803</v>
      </c>
      <c r="D827" s="2" t="s">
        <v>122</v>
      </c>
      <c r="E827" s="2">
        <v>49</v>
      </c>
      <c r="F827" s="2">
        <v>979.46</v>
      </c>
    </row>
    <row r="828" spans="3:6" x14ac:dyDescent="0.25">
      <c r="C828" s="2" t="s">
        <v>2804</v>
      </c>
      <c r="D828" s="2" t="s">
        <v>122</v>
      </c>
      <c r="E828" s="2">
        <v>16</v>
      </c>
      <c r="F828" s="2">
        <v>291.49</v>
      </c>
    </row>
    <row r="829" spans="3:6" x14ac:dyDescent="0.25">
      <c r="C829" s="2" t="s">
        <v>2805</v>
      </c>
      <c r="D829" s="2" t="s">
        <v>122</v>
      </c>
      <c r="E829" s="2">
        <v>14</v>
      </c>
      <c r="F829" s="2">
        <v>275.31</v>
      </c>
    </row>
    <row r="830" spans="3:6" x14ac:dyDescent="0.25">
      <c r="C830" s="2" t="s">
        <v>2806</v>
      </c>
      <c r="D830" s="2" t="s">
        <v>122</v>
      </c>
      <c r="E830" s="2">
        <v>23</v>
      </c>
      <c r="F830" s="2">
        <v>466.569</v>
      </c>
    </row>
    <row r="831" spans="3:6" x14ac:dyDescent="0.25">
      <c r="C831" s="2" t="s">
        <v>2807</v>
      </c>
      <c r="D831" s="2" t="s">
        <v>122</v>
      </c>
      <c r="E831" s="2">
        <v>141</v>
      </c>
      <c r="F831" s="2">
        <v>2895.169</v>
      </c>
    </row>
    <row r="832" spans="3:6" x14ac:dyDescent="0.25">
      <c r="C832" s="2" t="s">
        <v>2808</v>
      </c>
      <c r="D832" s="2" t="s">
        <v>122</v>
      </c>
      <c r="E832" s="2">
        <v>141</v>
      </c>
      <c r="F832" s="2">
        <v>2756.008</v>
      </c>
    </row>
    <row r="833" spans="3:6" x14ac:dyDescent="0.25">
      <c r="C833" s="2" t="s">
        <v>2809</v>
      </c>
      <c r="D833" s="2" t="s">
        <v>122</v>
      </c>
      <c r="E833" s="2">
        <v>94</v>
      </c>
      <c r="F833" s="2">
        <v>1865.35</v>
      </c>
    </row>
    <row r="834" spans="3:6" x14ac:dyDescent="0.25">
      <c r="C834" s="2" t="s">
        <v>2810</v>
      </c>
      <c r="D834" s="2" t="s">
        <v>122</v>
      </c>
      <c r="E834" s="2">
        <v>47</v>
      </c>
      <c r="F834" s="2">
        <v>955.229</v>
      </c>
    </row>
    <row r="835" spans="3:6" x14ac:dyDescent="0.25">
      <c r="C835" s="2" t="s">
        <v>2811</v>
      </c>
      <c r="D835" s="2" t="s">
        <v>122</v>
      </c>
      <c r="E835" s="2">
        <v>49</v>
      </c>
      <c r="F835" s="2">
        <v>1811.44</v>
      </c>
    </row>
    <row r="836" spans="3:6" x14ac:dyDescent="0.25">
      <c r="C836" s="2" t="s">
        <v>2812</v>
      </c>
      <c r="D836" s="2" t="s">
        <v>122</v>
      </c>
      <c r="E836" s="2">
        <v>19</v>
      </c>
      <c r="F836" s="2">
        <v>389.15</v>
      </c>
    </row>
    <row r="837" spans="3:6" x14ac:dyDescent="0.25">
      <c r="C837" s="2" t="s">
        <v>2813</v>
      </c>
      <c r="D837" s="2" t="s">
        <v>122</v>
      </c>
      <c r="E837" s="2">
        <v>14</v>
      </c>
      <c r="F837" s="2">
        <v>286.44</v>
      </c>
    </row>
    <row r="838" spans="3:6" x14ac:dyDescent="0.25">
      <c r="C838" s="2" t="s">
        <v>2814</v>
      </c>
      <c r="D838" s="2" t="s">
        <v>122</v>
      </c>
      <c r="E838" s="2">
        <v>11</v>
      </c>
      <c r="F838" s="2">
        <v>218.13</v>
      </c>
    </row>
    <row r="839" spans="3:6" x14ac:dyDescent="0.25">
      <c r="C839" s="2" t="s">
        <v>2815</v>
      </c>
      <c r="D839" s="2" t="s">
        <v>122</v>
      </c>
      <c r="E839" s="2">
        <v>65</v>
      </c>
      <c r="F839" s="2">
        <v>1237.15</v>
      </c>
    </row>
    <row r="840" spans="3:6" x14ac:dyDescent="0.25">
      <c r="C840" s="2" t="s">
        <v>2816</v>
      </c>
      <c r="D840" s="2" t="s">
        <v>122</v>
      </c>
      <c r="E840" s="2">
        <v>37</v>
      </c>
      <c r="F840" s="2">
        <v>744.19</v>
      </c>
    </row>
    <row r="841" spans="3:6" x14ac:dyDescent="0.25">
      <c r="C841" s="2" t="s">
        <v>2817</v>
      </c>
      <c r="D841" s="2" t="s">
        <v>122</v>
      </c>
      <c r="E841" s="2">
        <v>21</v>
      </c>
      <c r="F841" s="2">
        <v>393.02</v>
      </c>
    </row>
    <row r="842" spans="3:6" x14ac:dyDescent="0.25">
      <c r="C842" s="2" t="s">
        <v>2818</v>
      </c>
      <c r="D842" s="2" t="s">
        <v>122</v>
      </c>
      <c r="E842" s="2">
        <v>21</v>
      </c>
      <c r="F842" s="2">
        <v>304.77</v>
      </c>
    </row>
    <row r="843" spans="3:6" x14ac:dyDescent="0.25">
      <c r="C843" s="2" t="s">
        <v>2819</v>
      </c>
      <c r="D843" s="2" t="s">
        <v>122</v>
      </c>
      <c r="E843" s="2">
        <v>17</v>
      </c>
      <c r="F843" s="2">
        <v>335.26</v>
      </c>
    </row>
    <row r="844" spans="3:6" x14ac:dyDescent="0.25">
      <c r="C844" s="2" t="s">
        <v>2820</v>
      </c>
      <c r="D844" s="2" t="s">
        <v>122</v>
      </c>
      <c r="E844" s="2">
        <v>13</v>
      </c>
      <c r="F844" s="2">
        <v>237.41</v>
      </c>
    </row>
    <row r="845" spans="3:6" x14ac:dyDescent="0.25">
      <c r="C845" s="2" t="s">
        <v>2821</v>
      </c>
      <c r="D845" s="2" t="s">
        <v>122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398</v>
      </c>
      <c r="C847" s="2" t="s">
        <v>2822</v>
      </c>
      <c r="D847" s="2" t="s">
        <v>12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2823</v>
      </c>
      <c r="D848" s="2" t="s">
        <v>12</v>
      </c>
      <c r="E848" s="2">
        <v>150</v>
      </c>
      <c r="F848" s="2">
        <v>3133.13</v>
      </c>
    </row>
    <row r="849" spans="3:6" x14ac:dyDescent="0.25">
      <c r="C849" s="2" t="s">
        <v>2824</v>
      </c>
      <c r="D849" s="2" t="s">
        <v>12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2825</v>
      </c>
      <c r="C851" s="2" t="s">
        <v>2826</v>
      </c>
      <c r="D851" s="2" t="s">
        <v>216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2827</v>
      </c>
      <c r="D852" s="2" t="s">
        <v>216</v>
      </c>
      <c r="E852" s="2">
        <v>56</v>
      </c>
      <c r="F852" s="2">
        <v>1074.669</v>
      </c>
    </row>
    <row r="853" spans="3:6" x14ac:dyDescent="0.25">
      <c r="C853" s="2" t="s">
        <v>2828</v>
      </c>
      <c r="D853" s="2" t="s">
        <v>216</v>
      </c>
      <c r="E853" s="2">
        <v>100</v>
      </c>
      <c r="F853" s="2">
        <v>2234.42</v>
      </c>
    </row>
    <row r="855" spans="3:7" x14ac:dyDescent="0.25">
      <c r="C855" s="2" t="s">
        <v>2829</v>
      </c>
      <c r="D855" s="2" t="s">
        <v>204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1473</v>
      </c>
      <c r="C857" s="2" t="s">
        <v>2830</v>
      </c>
      <c r="D857" s="2" t="s">
        <v>204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2831</v>
      </c>
      <c r="D858" s="2" t="s">
        <v>204</v>
      </c>
      <c r="E858" s="2">
        <v>116</v>
      </c>
      <c r="F858" s="2">
        <v>2168.019</v>
      </c>
    </row>
    <row r="859" spans="3:6" x14ac:dyDescent="0.25">
      <c r="C859" s="2" t="s">
        <v>2832</v>
      </c>
      <c r="D859" s="2" t="s">
        <v>204</v>
      </c>
      <c r="E859" s="2">
        <v>163</v>
      </c>
      <c r="F859" s="2">
        <v>3152.629</v>
      </c>
    </row>
    <row r="860" spans="3:6" x14ac:dyDescent="0.25">
      <c r="C860" s="2" t="s">
        <v>2833</v>
      </c>
      <c r="D860" s="2" t="s">
        <v>204</v>
      </c>
      <c r="E860" s="2">
        <v>163</v>
      </c>
      <c r="F860" s="2">
        <v>3140.85</v>
      </c>
    </row>
    <row r="861" spans="3:6" x14ac:dyDescent="0.25">
      <c r="C861" s="2" t="s">
        <v>2834</v>
      </c>
      <c r="D861" s="2" t="s">
        <v>204</v>
      </c>
      <c r="E861" s="2">
        <v>163</v>
      </c>
      <c r="F861" s="2">
        <v>2899.66</v>
      </c>
    </row>
    <row r="862" spans="3:6" x14ac:dyDescent="0.25">
      <c r="C862" s="2" t="s">
        <v>2835</v>
      </c>
      <c r="D862" s="2" t="s">
        <v>204</v>
      </c>
      <c r="E862" s="2">
        <v>105</v>
      </c>
      <c r="F862" s="2">
        <v>2036.82</v>
      </c>
    </row>
    <row r="863" spans="3:6" x14ac:dyDescent="0.25">
      <c r="C863" s="2" t="s">
        <v>2836</v>
      </c>
      <c r="D863" s="2" t="s">
        <v>204</v>
      </c>
      <c r="E863" s="2">
        <v>105</v>
      </c>
      <c r="F863" s="2">
        <v>2058.06</v>
      </c>
    </row>
    <row r="864" spans="3:6" x14ac:dyDescent="0.25">
      <c r="C864" s="2" t="s">
        <v>2837</v>
      </c>
      <c r="D864" s="2" t="s">
        <v>216</v>
      </c>
      <c r="E864" s="2">
        <v>105</v>
      </c>
      <c r="F864" s="2">
        <v>2116.51</v>
      </c>
    </row>
    <row r="865" spans="3:6" x14ac:dyDescent="0.25">
      <c r="C865" s="2" t="s">
        <v>2838</v>
      </c>
      <c r="D865" s="2" t="s">
        <v>216</v>
      </c>
      <c r="E865" s="2">
        <v>163</v>
      </c>
      <c r="F865" s="2">
        <v>3161.08</v>
      </c>
    </row>
    <row r="866" spans="3:6" x14ac:dyDescent="0.25">
      <c r="C866" s="2" t="s">
        <v>2839</v>
      </c>
      <c r="D866" s="2" t="s">
        <v>204</v>
      </c>
      <c r="E866" s="2">
        <v>163</v>
      </c>
      <c r="F866" s="2">
        <v>3140.009</v>
      </c>
    </row>
    <row r="867" spans="3:6" x14ac:dyDescent="0.25">
      <c r="C867" s="2" t="s">
        <v>2840</v>
      </c>
      <c r="D867" s="2" t="s">
        <v>204</v>
      </c>
      <c r="E867" s="2">
        <v>105</v>
      </c>
      <c r="F867" s="2">
        <v>2128.13</v>
      </c>
    </row>
    <row r="868" spans="3:6" x14ac:dyDescent="0.25">
      <c r="C868" s="2" t="s">
        <v>2841</v>
      </c>
      <c r="D868" s="2" t="s">
        <v>204</v>
      </c>
      <c r="E868" s="2">
        <v>163</v>
      </c>
      <c r="F868" s="2">
        <v>3201.519</v>
      </c>
    </row>
    <row r="869" spans="3:6" x14ac:dyDescent="0.25">
      <c r="C869" s="2" t="s">
        <v>2842</v>
      </c>
      <c r="D869" s="2" t="s">
        <v>204</v>
      </c>
      <c r="E869" s="2">
        <v>163</v>
      </c>
      <c r="F869" s="2">
        <v>3020.18</v>
      </c>
    </row>
    <row r="870" spans="3:6" x14ac:dyDescent="0.25">
      <c r="C870" s="2" t="s">
        <v>2843</v>
      </c>
      <c r="D870" s="2" t="s">
        <v>204</v>
      </c>
      <c r="E870" s="2">
        <v>105</v>
      </c>
      <c r="F870" s="2">
        <v>1986.45</v>
      </c>
    </row>
    <row r="871" spans="3:6" x14ac:dyDescent="0.25">
      <c r="C871" s="2" t="s">
        <v>2844</v>
      </c>
      <c r="D871" s="2" t="s">
        <v>204</v>
      </c>
      <c r="E871" s="2">
        <v>105</v>
      </c>
      <c r="F871" s="2">
        <v>2033.638</v>
      </c>
    </row>
    <row r="872" spans="3:6" x14ac:dyDescent="0.25">
      <c r="C872" s="2" t="s">
        <v>2845</v>
      </c>
      <c r="D872" s="2" t="s">
        <v>216</v>
      </c>
      <c r="E872" s="2">
        <v>134</v>
      </c>
      <c r="F872" s="2">
        <v>2668.62</v>
      </c>
    </row>
    <row r="873" spans="3:6" x14ac:dyDescent="0.25">
      <c r="C873" s="2" t="s">
        <v>2846</v>
      </c>
      <c r="D873" s="2" t="s">
        <v>216</v>
      </c>
      <c r="E873" s="2">
        <v>134</v>
      </c>
      <c r="F873" s="2">
        <v>2496.829</v>
      </c>
    </row>
    <row r="874" spans="3:6" x14ac:dyDescent="0.25">
      <c r="C874" s="2" t="s">
        <v>2847</v>
      </c>
      <c r="D874" s="2" t="s">
        <v>216</v>
      </c>
      <c r="E874" s="2">
        <v>134</v>
      </c>
      <c r="F874" s="2">
        <v>2593.15</v>
      </c>
    </row>
    <row r="875" spans="3:6" x14ac:dyDescent="0.25">
      <c r="C875" s="2" t="s">
        <v>2848</v>
      </c>
      <c r="D875" s="2" t="s">
        <v>216</v>
      </c>
      <c r="E875" s="2">
        <v>134</v>
      </c>
      <c r="F875" s="2">
        <v>2653.82</v>
      </c>
    </row>
    <row r="876" spans="3:6" x14ac:dyDescent="0.25">
      <c r="C876" s="2" t="s">
        <v>2849</v>
      </c>
      <c r="D876" s="2" t="s">
        <v>216</v>
      </c>
      <c r="E876" s="2">
        <v>134</v>
      </c>
      <c r="F876" s="2">
        <v>2791.77</v>
      </c>
    </row>
    <row r="877" spans="3:6" x14ac:dyDescent="0.25">
      <c r="C877" s="2" t="s">
        <v>2850</v>
      </c>
      <c r="D877" s="2" t="s">
        <v>216</v>
      </c>
      <c r="E877" s="2">
        <v>134</v>
      </c>
      <c r="F877" s="2">
        <v>2635.83</v>
      </c>
    </row>
    <row r="878" spans="3:6" x14ac:dyDescent="0.25">
      <c r="C878" s="2" t="s">
        <v>2851</v>
      </c>
      <c r="D878" s="2" t="s">
        <v>204</v>
      </c>
      <c r="E878" s="2">
        <v>105</v>
      </c>
      <c r="F878" s="2">
        <v>2042.368</v>
      </c>
    </row>
    <row r="879" spans="3:6" x14ac:dyDescent="0.25">
      <c r="C879" s="2" t="s">
        <v>2852</v>
      </c>
      <c r="D879" s="2" t="s">
        <v>204</v>
      </c>
      <c r="E879" s="2">
        <v>163</v>
      </c>
      <c r="F879" s="2">
        <v>3089.719</v>
      </c>
    </row>
    <row r="880" spans="3:6" x14ac:dyDescent="0.25">
      <c r="C880" s="2" t="s">
        <v>2853</v>
      </c>
      <c r="D880" s="2" t="s">
        <v>204</v>
      </c>
      <c r="E880" s="2">
        <v>163</v>
      </c>
      <c r="F880" s="2">
        <v>3048.028</v>
      </c>
    </row>
    <row r="882" spans="2:7" x14ac:dyDescent="0.25">
      <c r="B882" s="2" t="s">
        <v>2077</v>
      </c>
      <c r="C882" s="2" t="s">
        <v>2854</v>
      </c>
      <c r="D882" s="2" t="s">
        <v>297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2855</v>
      </c>
      <c r="D883" s="2" t="s">
        <v>216</v>
      </c>
      <c r="E883" s="2">
        <v>156</v>
      </c>
      <c r="F883" s="2">
        <v>2841.55</v>
      </c>
    </row>
    <row r="884" spans="3:6" x14ac:dyDescent="0.25">
      <c r="C884" s="2" t="s">
        <v>2856</v>
      </c>
      <c r="D884" s="2" t="s">
        <v>216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32</v>
      </c>
      <c r="C886" s="2" t="s">
        <v>2857</v>
      </c>
      <c r="D886" s="2" t="s">
        <v>20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2858</v>
      </c>
      <c r="D887" s="2" t="s">
        <v>20</v>
      </c>
      <c r="E887" s="2">
        <v>156</v>
      </c>
      <c r="F887" s="2">
        <v>3051.59</v>
      </c>
    </row>
    <row r="888" spans="3:6" x14ac:dyDescent="0.25">
      <c r="C888" s="2" t="s">
        <v>2859</v>
      </c>
      <c r="D888" s="2" t="s">
        <v>20</v>
      </c>
      <c r="E888" s="2">
        <v>149</v>
      </c>
      <c r="F888" s="2">
        <v>2899.949</v>
      </c>
    </row>
    <row r="889" spans="3:6" x14ac:dyDescent="0.25">
      <c r="C889" s="2" t="s">
        <v>2860</v>
      </c>
      <c r="D889" s="2" t="s">
        <v>20</v>
      </c>
      <c r="E889" s="2">
        <v>105</v>
      </c>
      <c r="F889" s="2">
        <v>2018.5</v>
      </c>
    </row>
    <row r="890" spans="3:6" x14ac:dyDescent="0.25">
      <c r="C890" s="2" t="s">
        <v>2861</v>
      </c>
      <c r="D890" s="2" t="s">
        <v>20</v>
      </c>
      <c r="E890" s="2">
        <v>105</v>
      </c>
      <c r="F890" s="2">
        <v>1981.77</v>
      </c>
    </row>
    <row r="891" spans="3:6" x14ac:dyDescent="0.25">
      <c r="C891" s="2" t="s">
        <v>2862</v>
      </c>
      <c r="D891" s="2" t="s">
        <v>20</v>
      </c>
      <c r="E891" s="2">
        <v>261</v>
      </c>
      <c r="F891" s="2">
        <v>5095.309</v>
      </c>
    </row>
    <row r="892" spans="3:6" x14ac:dyDescent="0.25">
      <c r="C892" s="2" t="s">
        <v>2863</v>
      </c>
      <c r="D892" s="2" t="s">
        <v>20</v>
      </c>
      <c r="E892" s="2">
        <v>154</v>
      </c>
      <c r="F892" s="2">
        <v>2915.81</v>
      </c>
    </row>
    <row r="893" spans="3:6" x14ac:dyDescent="0.25">
      <c r="C893" s="2" t="s">
        <v>2864</v>
      </c>
      <c r="D893" s="2" t="s">
        <v>20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2094</v>
      </c>
      <c r="C895" s="2" t="s">
        <v>2865</v>
      </c>
      <c r="D895" s="2" t="s">
        <v>2096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2866</v>
      </c>
      <c r="C897" s="2" t="s">
        <v>2826</v>
      </c>
      <c r="D897" s="2" t="s">
        <v>216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2825</v>
      </c>
      <c r="C898" s="2" t="s">
        <v>2827</v>
      </c>
      <c r="D898" s="2" t="s">
        <v>216</v>
      </c>
      <c r="E898" s="2">
        <v>56</v>
      </c>
      <c r="F898" s="2">
        <v>1074.669</v>
      </c>
    </row>
    <row r="899" spans="2:6" x14ac:dyDescent="0.25">
      <c r="B899" s="2" t="s">
        <v>2825</v>
      </c>
      <c r="C899" s="2" t="s">
        <v>2828</v>
      </c>
      <c r="D899" s="2" t="s">
        <v>216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10</v>
      </c>
      <c r="C901" s="2" t="s">
        <v>2867</v>
      </c>
      <c r="D901" s="2" t="s">
        <v>12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2868</v>
      </c>
      <c r="D902" s="2" t="s">
        <v>12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324</v>
      </c>
      <c r="C904" s="2" t="s">
        <v>2869</v>
      </c>
      <c r="D904" s="2" t="s">
        <v>27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2870</v>
      </c>
      <c r="D905" s="2" t="s">
        <v>27</v>
      </c>
      <c r="E905" s="2">
        <v>16</v>
      </c>
      <c r="F905" s="2">
        <v>278.92</v>
      </c>
    </row>
    <row r="906" spans="3:6" x14ac:dyDescent="0.25">
      <c r="C906" s="2" t="s">
        <v>2871</v>
      </c>
      <c r="D906" s="2" t="s">
        <v>27</v>
      </c>
      <c r="E906" s="2">
        <v>25</v>
      </c>
      <c r="F906" s="2">
        <v>372.88</v>
      </c>
    </row>
    <row r="907" spans="3:6" x14ac:dyDescent="0.25">
      <c r="C907" s="2" t="s">
        <v>2872</v>
      </c>
      <c r="D907" s="2" t="s">
        <v>27</v>
      </c>
      <c r="E907" s="2">
        <v>26</v>
      </c>
      <c r="F907" s="2">
        <v>441.929</v>
      </c>
    </row>
    <row r="908" spans="3:4" x14ac:dyDescent="0.25">
      <c r="C908" s="2" t="s">
        <v>2873</v>
      </c>
      <c r="D908" s="2" t="s">
        <v>27</v>
      </c>
    </row>
    <row r="910" spans="1:7" x14ac:dyDescent="0.25">
      <c r="A910" s="1">
        <v>46244</v>
      </c>
      <c r="B910" s="2" t="s">
        <v>2196</v>
      </c>
      <c r="C910" s="2" t="s">
        <v>2874</v>
      </c>
      <c r="D910" s="2" t="s">
        <v>9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2875</v>
      </c>
      <c r="D911" s="2" t="s">
        <v>9</v>
      </c>
      <c r="E911" s="2">
        <v>26</v>
      </c>
      <c r="F911" s="2">
        <v>507.459</v>
      </c>
    </row>
    <row r="912" spans="3:6" x14ac:dyDescent="0.25">
      <c r="C912" s="2" t="s">
        <v>2876</v>
      </c>
      <c r="D912" s="2" t="s">
        <v>9</v>
      </c>
      <c r="E912" s="2">
        <v>86</v>
      </c>
      <c r="F912" s="2">
        <v>1631.886</v>
      </c>
    </row>
    <row r="913" spans="3:6" x14ac:dyDescent="0.25">
      <c r="C913" s="2" t="s">
        <v>2877</v>
      </c>
      <c r="D913" s="2" t="s">
        <v>9</v>
      </c>
      <c r="E913" s="2">
        <v>124</v>
      </c>
      <c r="F913" s="2">
        <v>2430.14</v>
      </c>
    </row>
    <row r="914" spans="3:6" x14ac:dyDescent="0.25">
      <c r="C914" s="2" t="s">
        <v>2878</v>
      </c>
      <c r="D914" s="2" t="s">
        <v>9</v>
      </c>
      <c r="E914" s="2">
        <v>100</v>
      </c>
      <c r="F914" s="2">
        <v>1885.7</v>
      </c>
    </row>
    <row r="915" spans="3:6" x14ac:dyDescent="0.25">
      <c r="C915" s="2" t="s">
        <v>2879</v>
      </c>
      <c r="D915" s="2" t="s">
        <v>9</v>
      </c>
      <c r="E915" s="2">
        <v>30</v>
      </c>
      <c r="F915" s="2">
        <v>587.34</v>
      </c>
    </row>
    <row r="916" spans="3:6" x14ac:dyDescent="0.25">
      <c r="C916" s="2" t="s">
        <v>2880</v>
      </c>
      <c r="D916" s="2" t="s">
        <v>9</v>
      </c>
      <c r="E916" s="2">
        <v>145</v>
      </c>
      <c r="F916" s="2">
        <v>625.379</v>
      </c>
    </row>
    <row r="917" spans="3:6" x14ac:dyDescent="0.25">
      <c r="C917" s="2" t="s">
        <v>2881</v>
      </c>
      <c r="D917" s="2" t="s">
        <v>9</v>
      </c>
      <c r="E917" s="2">
        <v>109</v>
      </c>
      <c r="F917" s="2">
        <v>1293.015</v>
      </c>
    </row>
    <row r="918" spans="3:6" x14ac:dyDescent="0.25">
      <c r="C918" s="2" t="s">
        <v>2882</v>
      </c>
      <c r="D918" s="2" t="s">
        <v>9</v>
      </c>
      <c r="E918" s="2">
        <v>91</v>
      </c>
      <c r="F918" s="2">
        <v>2233.393</v>
      </c>
    </row>
    <row r="919" spans="3:6" x14ac:dyDescent="0.25">
      <c r="C919" s="2" t="s">
        <v>2883</v>
      </c>
      <c r="D919" s="2" t="s">
        <v>9</v>
      </c>
      <c r="E919" s="2">
        <v>105</v>
      </c>
      <c r="F919" s="2">
        <v>2124.35</v>
      </c>
    </row>
    <row r="920" spans="3:6" x14ac:dyDescent="0.25">
      <c r="C920" s="2" t="s">
        <v>2884</v>
      </c>
      <c r="D920" s="2" t="s">
        <v>9</v>
      </c>
      <c r="E920" s="2">
        <v>41</v>
      </c>
      <c r="F920" s="2">
        <v>690.88</v>
      </c>
    </row>
    <row r="921" spans="3:6" x14ac:dyDescent="0.25">
      <c r="C921" s="2" t="s">
        <v>2885</v>
      </c>
      <c r="D921" s="2" t="s">
        <v>9</v>
      </c>
      <c r="E921" s="2">
        <v>141</v>
      </c>
      <c r="F921" s="2">
        <v>2805.37</v>
      </c>
    </row>
    <row r="922" spans="3:6" x14ac:dyDescent="0.25">
      <c r="C922" s="2" t="s">
        <v>2886</v>
      </c>
      <c r="D922" s="2" t="s">
        <v>9</v>
      </c>
      <c r="E922" s="2">
        <v>47</v>
      </c>
      <c r="F922" s="2">
        <v>883.91</v>
      </c>
    </row>
    <row r="923" spans="3:6" x14ac:dyDescent="0.25">
      <c r="C923" s="2" t="s">
        <v>2887</v>
      </c>
      <c r="D923" s="2" t="s">
        <v>9</v>
      </c>
      <c r="E923" s="2">
        <v>73</v>
      </c>
      <c r="F923" s="2">
        <v>1429.58</v>
      </c>
    </row>
    <row r="924" spans="3:6" x14ac:dyDescent="0.25">
      <c r="C924" s="2" t="s">
        <v>2888</v>
      </c>
      <c r="D924" s="2" t="s">
        <v>9</v>
      </c>
      <c r="E924" s="2">
        <v>93</v>
      </c>
      <c r="F924" s="2">
        <v>1883.3</v>
      </c>
    </row>
    <row r="925" spans="3:6" x14ac:dyDescent="0.25">
      <c r="C925" s="2" t="s">
        <v>2889</v>
      </c>
      <c r="D925" s="2" t="s">
        <v>9</v>
      </c>
      <c r="E925" s="2">
        <v>30</v>
      </c>
      <c r="F925" s="2">
        <v>619.21</v>
      </c>
    </row>
    <row r="926" spans="3:6" x14ac:dyDescent="0.25">
      <c r="C926" s="2" t="s">
        <v>2890</v>
      </c>
      <c r="D926" s="2" t="s">
        <v>9</v>
      </c>
      <c r="E926" s="2">
        <v>141</v>
      </c>
      <c r="F926" s="2">
        <v>2842.95</v>
      </c>
    </row>
    <row r="927" spans="3:6" x14ac:dyDescent="0.25">
      <c r="C927" s="2" t="s">
        <v>2891</v>
      </c>
      <c r="D927" s="2" t="s">
        <v>9</v>
      </c>
      <c r="E927" s="2">
        <v>141</v>
      </c>
      <c r="F927" s="2">
        <v>2663.61</v>
      </c>
    </row>
    <row r="928" spans="3:6" x14ac:dyDescent="0.25">
      <c r="C928" s="2" t="s">
        <v>2892</v>
      </c>
      <c r="D928" s="2" t="s">
        <v>9</v>
      </c>
      <c r="E928" s="2">
        <v>92</v>
      </c>
      <c r="F928" s="2">
        <v>2514.371</v>
      </c>
    </row>
    <row r="929" spans="3:6" x14ac:dyDescent="0.25">
      <c r="C929" s="2" t="s">
        <v>2893</v>
      </c>
      <c r="D929" s="2" t="s">
        <v>9</v>
      </c>
      <c r="E929" s="2">
        <v>141</v>
      </c>
      <c r="F929" s="2">
        <v>2923.57</v>
      </c>
    </row>
    <row r="930" spans="3:6" x14ac:dyDescent="0.25">
      <c r="C930" s="2" t="s">
        <v>2894</v>
      </c>
      <c r="D930" s="2" t="s">
        <v>9</v>
      </c>
      <c r="E930" s="2">
        <v>141</v>
      </c>
      <c r="F930" s="2">
        <v>2770.769</v>
      </c>
    </row>
    <row r="931" spans="3:6" x14ac:dyDescent="0.25">
      <c r="C931" s="2" t="s">
        <v>2895</v>
      </c>
      <c r="D931" s="2" t="s">
        <v>9</v>
      </c>
      <c r="E931" s="2">
        <v>110</v>
      </c>
      <c r="F931" s="2">
        <v>1398.686</v>
      </c>
    </row>
    <row r="932" spans="3:6" x14ac:dyDescent="0.25">
      <c r="C932" s="2" t="s">
        <v>2896</v>
      </c>
      <c r="D932" s="2" t="s">
        <v>9</v>
      </c>
      <c r="E932" s="2">
        <v>141</v>
      </c>
      <c r="F932" s="2">
        <v>2820.58</v>
      </c>
    </row>
    <row r="933" spans="3:6" x14ac:dyDescent="0.25">
      <c r="C933" s="2" t="s">
        <v>2897</v>
      </c>
      <c r="D933" s="2" t="s">
        <v>9</v>
      </c>
      <c r="E933" s="2">
        <v>141</v>
      </c>
      <c r="F933" s="2">
        <v>2798.5</v>
      </c>
    </row>
    <row r="934" spans="3:6" x14ac:dyDescent="0.25">
      <c r="C934" s="2" t="s">
        <v>2898</v>
      </c>
      <c r="D934" s="2" t="s">
        <v>9</v>
      </c>
      <c r="E934" s="2">
        <v>93</v>
      </c>
      <c r="F934" s="2">
        <v>1896.689</v>
      </c>
    </row>
    <row r="935" spans="3:6" x14ac:dyDescent="0.25">
      <c r="C935" s="2" t="s">
        <v>2899</v>
      </c>
      <c r="D935" s="2" t="s">
        <v>9</v>
      </c>
      <c r="E935" s="2">
        <v>48</v>
      </c>
      <c r="F935" s="2">
        <v>914.04</v>
      </c>
    </row>
    <row r="936" spans="3:6" x14ac:dyDescent="0.25">
      <c r="C936" s="2" t="s">
        <v>2900</v>
      </c>
      <c r="D936" s="2" t="s">
        <v>9</v>
      </c>
      <c r="E936" s="2">
        <v>102</v>
      </c>
      <c r="F936" s="2">
        <v>1988.29</v>
      </c>
    </row>
    <row r="937" spans="3:6" x14ac:dyDescent="0.25">
      <c r="C937" s="2" t="s">
        <v>2901</v>
      </c>
      <c r="D937" s="2" t="s">
        <v>9</v>
      </c>
      <c r="E937" s="2">
        <v>141</v>
      </c>
      <c r="F937" s="2">
        <v>2868.85</v>
      </c>
    </row>
    <row r="938" spans="3:6" x14ac:dyDescent="0.25">
      <c r="C938" s="2" t="s">
        <v>2902</v>
      </c>
      <c r="D938" s="2" t="s">
        <v>9</v>
      </c>
      <c r="E938" s="2">
        <v>141</v>
      </c>
      <c r="F938" s="2">
        <v>2683.11</v>
      </c>
    </row>
    <row r="939" spans="3:6" x14ac:dyDescent="0.25">
      <c r="C939" s="2" t="s">
        <v>2903</v>
      </c>
      <c r="D939" s="2" t="s">
        <v>9</v>
      </c>
      <c r="E939" s="2">
        <v>74</v>
      </c>
      <c r="F939" s="2">
        <v>1452.63</v>
      </c>
    </row>
    <row r="940" spans="3:6" x14ac:dyDescent="0.25">
      <c r="C940" s="2" t="s">
        <v>2904</v>
      </c>
      <c r="D940" s="2" t="s">
        <v>9</v>
      </c>
      <c r="E940" s="2">
        <v>61</v>
      </c>
      <c r="F940" s="2">
        <v>1049.671</v>
      </c>
    </row>
    <row r="941" spans="3:6" x14ac:dyDescent="0.25">
      <c r="C941" s="2" t="s">
        <v>2905</v>
      </c>
      <c r="D941" s="2" t="s">
        <v>9</v>
      </c>
      <c r="E941" s="2">
        <v>76</v>
      </c>
      <c r="F941" s="2">
        <v>1497.25</v>
      </c>
    </row>
    <row r="942" spans="3:6" x14ac:dyDescent="0.25">
      <c r="C942" s="2" t="s">
        <v>2906</v>
      </c>
      <c r="D942" s="2" t="s">
        <v>9</v>
      </c>
      <c r="E942" s="2">
        <v>27</v>
      </c>
      <c r="F942" s="2">
        <v>513.45</v>
      </c>
    </row>
    <row r="943" spans="3:6" x14ac:dyDescent="0.25">
      <c r="C943" s="2" t="s">
        <v>2907</v>
      </c>
      <c r="D943" s="2" t="s">
        <v>9</v>
      </c>
      <c r="E943" s="2">
        <v>141</v>
      </c>
      <c r="F943" s="2">
        <v>2899.57</v>
      </c>
    </row>
    <row r="944" spans="3:6" x14ac:dyDescent="0.25">
      <c r="C944" s="2" t="s">
        <v>2908</v>
      </c>
      <c r="D944" s="2" t="s">
        <v>9</v>
      </c>
      <c r="E944" s="2">
        <v>62</v>
      </c>
      <c r="F944" s="2">
        <v>1173.48</v>
      </c>
    </row>
    <row r="945" spans="3:6" x14ac:dyDescent="0.25">
      <c r="C945" s="2" t="s">
        <v>2909</v>
      </c>
      <c r="D945" s="2" t="s">
        <v>9</v>
      </c>
      <c r="E945" s="2">
        <v>40</v>
      </c>
      <c r="F945" s="2">
        <v>835.5</v>
      </c>
    </row>
    <row r="946" spans="3:6" x14ac:dyDescent="0.25">
      <c r="C946" s="2" t="s">
        <v>2910</v>
      </c>
      <c r="D946" s="2" t="s">
        <v>9</v>
      </c>
      <c r="E946" s="2">
        <v>20</v>
      </c>
      <c r="F946" s="2">
        <v>355.06</v>
      </c>
    </row>
    <row r="947" spans="3:6" x14ac:dyDescent="0.25">
      <c r="C947" s="2" t="s">
        <v>2911</v>
      </c>
      <c r="D947" s="2" t="s">
        <v>9</v>
      </c>
      <c r="E947" s="2">
        <v>10</v>
      </c>
      <c r="F947" s="2">
        <v>139.44</v>
      </c>
    </row>
    <row r="948" spans="3:6" x14ac:dyDescent="0.25">
      <c r="C948" s="2" t="s">
        <v>2912</v>
      </c>
      <c r="D948" s="2" t="s">
        <v>9</v>
      </c>
      <c r="E948" s="2">
        <v>31</v>
      </c>
      <c r="F948" s="2">
        <v>556.15</v>
      </c>
    </row>
    <row r="949" spans="3:6" x14ac:dyDescent="0.25">
      <c r="C949" s="2" t="s">
        <v>2913</v>
      </c>
      <c r="D949" s="2" t="s">
        <v>9</v>
      </c>
      <c r="E949" s="2">
        <v>16</v>
      </c>
      <c r="F949" s="2">
        <v>317.96</v>
      </c>
    </row>
    <row r="950" spans="3:6" x14ac:dyDescent="0.25">
      <c r="C950" s="2" t="s">
        <v>2914</v>
      </c>
      <c r="D950" s="2" t="s">
        <v>9</v>
      </c>
      <c r="E950" s="2">
        <v>74</v>
      </c>
      <c r="F950" s="2">
        <v>1456.78</v>
      </c>
    </row>
    <row r="951" spans="3:6" x14ac:dyDescent="0.25">
      <c r="C951" s="2" t="s">
        <v>2915</v>
      </c>
      <c r="D951" s="2" t="s">
        <v>9</v>
      </c>
      <c r="E951" s="2">
        <v>28</v>
      </c>
      <c r="F951" s="2">
        <v>568.78</v>
      </c>
    </row>
    <row r="952" spans="3:6" x14ac:dyDescent="0.25">
      <c r="C952" s="2" t="s">
        <v>2916</v>
      </c>
      <c r="D952" s="2" t="s">
        <v>9</v>
      </c>
      <c r="E952" s="2">
        <v>28</v>
      </c>
      <c r="F952" s="2">
        <v>475.65</v>
      </c>
    </row>
    <row r="953" spans="3:6" x14ac:dyDescent="0.25">
      <c r="C953" s="2" t="s">
        <v>2917</v>
      </c>
      <c r="D953" s="2" t="s">
        <v>9</v>
      </c>
      <c r="E953" s="2">
        <v>44</v>
      </c>
      <c r="F953" s="2">
        <v>880.26</v>
      </c>
    </row>
    <row r="954" spans="3:6" x14ac:dyDescent="0.25">
      <c r="C954" s="2" t="s">
        <v>2918</v>
      </c>
      <c r="D954" s="2" t="s">
        <v>9</v>
      </c>
      <c r="E954" s="2">
        <v>26</v>
      </c>
      <c r="F954" s="2">
        <v>535.24</v>
      </c>
    </row>
    <row r="955" spans="3:6" x14ac:dyDescent="0.25">
      <c r="C955" s="2" t="s">
        <v>2919</v>
      </c>
      <c r="D955" s="2" t="s">
        <v>9</v>
      </c>
      <c r="E955" s="2">
        <v>5</v>
      </c>
      <c r="F955" s="2">
        <v>27.32</v>
      </c>
    </row>
    <row r="956" spans="3:6" x14ac:dyDescent="0.25">
      <c r="C956" s="2" t="s">
        <v>2920</v>
      </c>
      <c r="D956" s="2" t="s">
        <v>9</v>
      </c>
      <c r="E956" s="2">
        <v>11</v>
      </c>
      <c r="F956" s="2">
        <v>220.74</v>
      </c>
    </row>
    <row r="957" spans="3:6" x14ac:dyDescent="0.25">
      <c r="C957" s="2" t="s">
        <v>2921</v>
      </c>
      <c r="D957" s="2" t="s">
        <v>9</v>
      </c>
      <c r="E957" s="2">
        <v>8</v>
      </c>
      <c r="F957" s="2">
        <v>166.83</v>
      </c>
    </row>
    <row r="958" spans="3:6" x14ac:dyDescent="0.25">
      <c r="C958" s="2" t="s">
        <v>2922</v>
      </c>
      <c r="D958" s="2" t="s">
        <v>9</v>
      </c>
      <c r="E958" s="2">
        <v>46</v>
      </c>
      <c r="F958" s="2">
        <v>923.929</v>
      </c>
    </row>
    <row r="959" spans="3:6" x14ac:dyDescent="0.25">
      <c r="C959" s="2" t="s">
        <v>2923</v>
      </c>
      <c r="D959" s="2" t="s">
        <v>9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120</v>
      </c>
      <c r="C961" s="2" t="s">
        <v>2924</v>
      </c>
      <c r="D961" s="2" t="s">
        <v>122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2925</v>
      </c>
      <c r="D962" s="2" t="s">
        <v>122</v>
      </c>
      <c r="E962" s="2">
        <v>35</v>
      </c>
      <c r="F962" s="2">
        <v>690.31</v>
      </c>
    </row>
    <row r="963" spans="3:6" x14ac:dyDescent="0.25">
      <c r="C963" s="2" t="s">
        <v>2926</v>
      </c>
      <c r="D963" s="2" t="s">
        <v>122</v>
      </c>
      <c r="E963" s="2">
        <v>42</v>
      </c>
      <c r="F963" s="2">
        <v>525.992</v>
      </c>
    </row>
    <row r="964" spans="3:6" x14ac:dyDescent="0.25">
      <c r="C964" s="2" t="s">
        <v>2927</v>
      </c>
      <c r="D964" s="2" t="s">
        <v>122</v>
      </c>
      <c r="E964" s="2">
        <v>52</v>
      </c>
      <c r="F964" s="2">
        <v>1843.56</v>
      </c>
    </row>
    <row r="965" spans="3:6" x14ac:dyDescent="0.25">
      <c r="C965" s="2" t="s">
        <v>2928</v>
      </c>
      <c r="D965" s="2" t="s">
        <v>122</v>
      </c>
      <c r="E965" s="2">
        <v>17</v>
      </c>
      <c r="F965" s="2">
        <v>335.169</v>
      </c>
    </row>
    <row r="966" spans="3:6" x14ac:dyDescent="0.25">
      <c r="C966" s="2" t="s">
        <v>2929</v>
      </c>
      <c r="D966" s="2" t="s">
        <v>122</v>
      </c>
      <c r="E966" s="2">
        <v>9</v>
      </c>
      <c r="F966" s="2">
        <v>134.15</v>
      </c>
    </row>
    <row r="967" spans="3:6" x14ac:dyDescent="0.25">
      <c r="C967" s="2" t="s">
        <v>2930</v>
      </c>
      <c r="D967" s="2" t="s">
        <v>122</v>
      </c>
      <c r="E967" s="2">
        <v>50</v>
      </c>
      <c r="F967" s="2">
        <v>1018.769</v>
      </c>
    </row>
    <row r="968" spans="3:6" x14ac:dyDescent="0.25">
      <c r="C968" s="2" t="s">
        <v>2931</v>
      </c>
      <c r="D968" s="2" t="s">
        <v>122</v>
      </c>
      <c r="E968" s="2">
        <v>22</v>
      </c>
      <c r="F968" s="2">
        <v>183.032</v>
      </c>
    </row>
    <row r="969" spans="3:6" x14ac:dyDescent="0.25">
      <c r="C969" s="2" t="s">
        <v>2932</v>
      </c>
      <c r="D969" s="2" t="s">
        <v>122</v>
      </c>
      <c r="E969" s="2">
        <v>22</v>
      </c>
      <c r="F969" s="2">
        <v>402.639</v>
      </c>
    </row>
    <row r="970" spans="3:6" x14ac:dyDescent="0.25">
      <c r="C970" s="2" t="s">
        <v>2933</v>
      </c>
      <c r="D970" s="2" t="s">
        <v>122</v>
      </c>
      <c r="E970" s="2">
        <v>14</v>
      </c>
      <c r="F970" s="2">
        <v>266.76</v>
      </c>
    </row>
    <row r="971" spans="3:6" x14ac:dyDescent="0.25">
      <c r="C971" s="2" t="s">
        <v>2934</v>
      </c>
      <c r="D971" s="2" t="s">
        <v>122</v>
      </c>
      <c r="E971" s="2">
        <v>13</v>
      </c>
      <c r="F971" s="2">
        <v>255.3</v>
      </c>
    </row>
    <row r="972" spans="3:6" x14ac:dyDescent="0.25">
      <c r="C972" s="2" t="s">
        <v>2935</v>
      </c>
      <c r="D972" s="2" t="s">
        <v>122</v>
      </c>
      <c r="E972" s="2">
        <v>68</v>
      </c>
      <c r="F972" s="2">
        <v>1376.58</v>
      </c>
    </row>
    <row r="973" spans="3:6" x14ac:dyDescent="0.25">
      <c r="C973" s="2" t="s">
        <v>2936</v>
      </c>
      <c r="D973" s="2" t="s">
        <v>122</v>
      </c>
      <c r="E973" s="2">
        <v>53</v>
      </c>
      <c r="F973" s="2">
        <v>1088.24</v>
      </c>
    </row>
    <row r="974" spans="3:6" x14ac:dyDescent="0.25">
      <c r="C974" s="2" t="s">
        <v>2937</v>
      </c>
      <c r="D974" s="2" t="s">
        <v>122</v>
      </c>
      <c r="E974" s="2">
        <v>80</v>
      </c>
      <c r="F974" s="2">
        <v>311.508</v>
      </c>
    </row>
    <row r="975" spans="3:6" x14ac:dyDescent="0.25">
      <c r="C975" s="2" t="s">
        <v>2938</v>
      </c>
      <c r="D975" s="2" t="s">
        <v>122</v>
      </c>
      <c r="E975" s="2">
        <v>80</v>
      </c>
      <c r="F975" s="2">
        <v>343.147</v>
      </c>
    </row>
    <row r="976" spans="3:6" x14ac:dyDescent="0.25">
      <c r="C976" s="2" t="s">
        <v>2939</v>
      </c>
      <c r="D976" s="2" t="s">
        <v>122</v>
      </c>
      <c r="E976" s="2">
        <v>22</v>
      </c>
      <c r="F976" s="2">
        <v>400.5</v>
      </c>
    </row>
    <row r="977" spans="3:6" x14ac:dyDescent="0.25">
      <c r="C977" s="2" t="s">
        <v>2940</v>
      </c>
      <c r="D977" s="2" t="s">
        <v>122</v>
      </c>
      <c r="E977" s="2">
        <v>12</v>
      </c>
      <c r="F977" s="2">
        <v>216.85</v>
      </c>
    </row>
    <row r="978" spans="3:6" x14ac:dyDescent="0.25">
      <c r="C978" s="2" t="s">
        <v>2941</v>
      </c>
      <c r="D978" s="2" t="s">
        <v>122</v>
      </c>
      <c r="E978" s="2">
        <v>12</v>
      </c>
      <c r="F978" s="2">
        <v>219.38</v>
      </c>
    </row>
    <row r="979" spans="3:6" x14ac:dyDescent="0.25">
      <c r="C979" s="2" t="s">
        <v>2942</v>
      </c>
      <c r="D979" s="2" t="s">
        <v>122</v>
      </c>
      <c r="E979" s="2">
        <v>85</v>
      </c>
      <c r="F979" s="2">
        <v>405.969</v>
      </c>
    </row>
    <row r="980" spans="3:6" x14ac:dyDescent="0.25">
      <c r="C980" s="2" t="s">
        <v>2943</v>
      </c>
      <c r="D980" s="2" t="s">
        <v>122</v>
      </c>
      <c r="E980" s="2">
        <v>10</v>
      </c>
      <c r="F980" s="2">
        <v>191.56</v>
      </c>
    </row>
    <row r="981" spans="3:6" x14ac:dyDescent="0.25">
      <c r="C981" s="2" t="s">
        <v>2944</v>
      </c>
      <c r="D981" s="2" t="s">
        <v>122</v>
      </c>
      <c r="E981" s="2">
        <v>30</v>
      </c>
      <c r="F981" s="2">
        <v>602.05</v>
      </c>
    </row>
    <row r="982" spans="3:6" x14ac:dyDescent="0.25">
      <c r="C982" s="2" t="s">
        <v>2945</v>
      </c>
      <c r="D982" s="2" t="s">
        <v>122</v>
      </c>
      <c r="E982" s="2">
        <v>19</v>
      </c>
      <c r="F982" s="2">
        <v>347.23</v>
      </c>
    </row>
    <row r="983" spans="3:6" x14ac:dyDescent="0.25">
      <c r="C983" s="2" t="s">
        <v>2946</v>
      </c>
      <c r="D983" s="2" t="s">
        <v>122</v>
      </c>
      <c r="E983" s="2">
        <v>16</v>
      </c>
      <c r="F983" s="2">
        <v>316.75</v>
      </c>
    </row>
    <row r="984" spans="3:6" x14ac:dyDescent="0.25">
      <c r="C984" s="2" t="s">
        <v>2947</v>
      </c>
      <c r="D984" s="2" t="s">
        <v>122</v>
      </c>
      <c r="E984" s="2">
        <v>5</v>
      </c>
      <c r="F984" s="2">
        <v>107.65</v>
      </c>
    </row>
    <row r="985" spans="3:6" x14ac:dyDescent="0.25">
      <c r="C985" s="2" t="s">
        <v>2948</v>
      </c>
      <c r="D985" s="2" t="s">
        <v>122</v>
      </c>
      <c r="E985" s="2">
        <v>6</v>
      </c>
      <c r="F985" s="2">
        <v>75.647</v>
      </c>
    </row>
    <row r="986" spans="3:6" x14ac:dyDescent="0.25">
      <c r="C986" s="2" t="s">
        <v>2949</v>
      </c>
      <c r="D986" s="2" t="s">
        <v>122</v>
      </c>
      <c r="E986" s="2">
        <v>5</v>
      </c>
      <c r="F986" s="2">
        <v>101.3</v>
      </c>
    </row>
    <row r="987" spans="3:6" x14ac:dyDescent="0.25">
      <c r="C987" s="2" t="s">
        <v>2950</v>
      </c>
      <c r="D987" s="2" t="s">
        <v>122</v>
      </c>
      <c r="E987" s="2">
        <v>5</v>
      </c>
      <c r="F987" s="2">
        <v>80.55</v>
      </c>
    </row>
    <row r="988" spans="3:6" x14ac:dyDescent="0.25">
      <c r="C988" s="2" t="s">
        <v>2486</v>
      </c>
      <c r="D988" s="2" t="s">
        <v>122</v>
      </c>
      <c r="E988" s="2">
        <v>6</v>
      </c>
      <c r="F988" s="2">
        <v>129.55</v>
      </c>
    </row>
    <row r="989" spans="3:6" x14ac:dyDescent="0.25">
      <c r="C989" s="2" t="s">
        <v>2951</v>
      </c>
      <c r="D989" s="2" t="s">
        <v>122</v>
      </c>
      <c r="E989" s="2">
        <v>41</v>
      </c>
      <c r="F989" s="2">
        <v>796.8</v>
      </c>
    </row>
    <row r="990" spans="3:6" x14ac:dyDescent="0.25">
      <c r="C990" s="2" t="s">
        <v>2952</v>
      </c>
      <c r="D990" s="2" t="s">
        <v>122</v>
      </c>
      <c r="E990" s="2">
        <v>27</v>
      </c>
      <c r="F990" s="2">
        <v>526.11</v>
      </c>
    </row>
    <row r="991" spans="3:6" x14ac:dyDescent="0.25">
      <c r="C991" s="2" t="s">
        <v>2953</v>
      </c>
      <c r="D991" s="2" t="s">
        <v>122</v>
      </c>
      <c r="E991" s="2">
        <v>8</v>
      </c>
      <c r="F991" s="2">
        <v>154.71</v>
      </c>
    </row>
    <row r="992" spans="3:6" x14ac:dyDescent="0.25">
      <c r="C992" s="2" t="s">
        <v>2954</v>
      </c>
      <c r="D992" s="2" t="s">
        <v>122</v>
      </c>
      <c r="E992" s="2">
        <v>81</v>
      </c>
      <c r="F992" s="2">
        <v>1658.45</v>
      </c>
    </row>
    <row r="993" spans="3:6" x14ac:dyDescent="0.25">
      <c r="C993" s="2" t="s">
        <v>2955</v>
      </c>
      <c r="D993" s="2" t="s">
        <v>122</v>
      </c>
      <c r="E993" s="2">
        <v>10</v>
      </c>
      <c r="F993" s="2">
        <v>216.4</v>
      </c>
    </row>
    <row r="994" spans="3:6" x14ac:dyDescent="0.25">
      <c r="C994" s="2" t="s">
        <v>2956</v>
      </c>
      <c r="D994" s="2" t="s">
        <v>122</v>
      </c>
      <c r="E994" s="2">
        <v>7</v>
      </c>
      <c r="F994" s="2">
        <v>162.6</v>
      </c>
    </row>
    <row r="995" spans="3:6" x14ac:dyDescent="0.25">
      <c r="C995" s="2" t="s">
        <v>2957</v>
      </c>
      <c r="D995" s="2" t="s">
        <v>122</v>
      </c>
      <c r="E995" s="2">
        <v>3</v>
      </c>
      <c r="F995" s="2">
        <v>8</v>
      </c>
    </row>
    <row r="996" spans="3:6" x14ac:dyDescent="0.25">
      <c r="C996" s="2" t="s">
        <v>2958</v>
      </c>
      <c r="D996" s="2" t="s">
        <v>122</v>
      </c>
      <c r="E996" s="2">
        <v>80</v>
      </c>
      <c r="F996" s="2">
        <v>1557.229</v>
      </c>
    </row>
    <row r="997" spans="3:6" x14ac:dyDescent="0.25">
      <c r="C997" s="2" t="s">
        <v>2959</v>
      </c>
      <c r="D997" s="2" t="s">
        <v>122</v>
      </c>
      <c r="E997" s="2">
        <v>22</v>
      </c>
      <c r="F997" s="2">
        <v>408.33</v>
      </c>
    </row>
    <row r="998" spans="3:6" x14ac:dyDescent="0.25">
      <c r="C998" s="2" t="s">
        <v>2960</v>
      </c>
      <c r="D998" s="2" t="s">
        <v>122</v>
      </c>
      <c r="E998" s="2">
        <v>26</v>
      </c>
      <c r="F998" s="2">
        <v>533.02</v>
      </c>
    </row>
    <row r="999" spans="3:6" x14ac:dyDescent="0.25">
      <c r="C999" s="2" t="s">
        <v>2961</v>
      </c>
      <c r="D999" s="2" t="s">
        <v>122</v>
      </c>
      <c r="E999" s="2">
        <v>9</v>
      </c>
      <c r="F999" s="2">
        <v>187.79</v>
      </c>
    </row>
    <row r="1000" spans="3:6" x14ac:dyDescent="0.25">
      <c r="C1000" s="2" t="s">
        <v>2962</v>
      </c>
      <c r="D1000" s="2" t="s">
        <v>122</v>
      </c>
      <c r="E1000" s="2">
        <v>67</v>
      </c>
      <c r="F1000" s="2">
        <v>1334.37</v>
      </c>
    </row>
    <row r="1001" spans="3:6" x14ac:dyDescent="0.25">
      <c r="C1001" s="2" t="s">
        <v>2963</v>
      </c>
      <c r="D1001" s="2" t="s">
        <v>122</v>
      </c>
      <c r="E1001" s="2">
        <v>55</v>
      </c>
      <c r="F1001" s="2">
        <v>1109.57</v>
      </c>
    </row>
    <row r="1002" spans="3:6" x14ac:dyDescent="0.25">
      <c r="C1002" s="2" t="s">
        <v>2964</v>
      </c>
      <c r="D1002" s="2" t="s">
        <v>122</v>
      </c>
      <c r="E1002" s="2">
        <v>24</v>
      </c>
      <c r="F1002" s="2">
        <v>408.87</v>
      </c>
    </row>
    <row r="1003" spans="3:6" x14ac:dyDescent="0.25">
      <c r="C1003" s="2" t="s">
        <v>2965</v>
      </c>
      <c r="D1003" s="2" t="s">
        <v>122</v>
      </c>
      <c r="E1003" s="2">
        <v>23</v>
      </c>
      <c r="F1003" s="2">
        <v>427.96</v>
      </c>
    </row>
    <row r="1004" spans="3:6" x14ac:dyDescent="0.25">
      <c r="C1004" s="2" t="s">
        <v>2966</v>
      </c>
      <c r="D1004" s="2" t="s">
        <v>122</v>
      </c>
      <c r="E1004" s="2">
        <v>92</v>
      </c>
      <c r="F1004" s="2">
        <v>1853.21</v>
      </c>
    </row>
    <row r="1005" spans="3:6" x14ac:dyDescent="0.25">
      <c r="C1005" s="2" t="s">
        <v>2967</v>
      </c>
      <c r="D1005" s="2" t="s">
        <v>122</v>
      </c>
      <c r="E1005" s="2">
        <v>49</v>
      </c>
      <c r="F1005" s="2">
        <v>984.79</v>
      </c>
    </row>
    <row r="1006" spans="3:6" x14ac:dyDescent="0.25">
      <c r="C1006" s="2" t="s">
        <v>2968</v>
      </c>
      <c r="D1006" s="2" t="s">
        <v>122</v>
      </c>
      <c r="E1006" s="2">
        <v>87</v>
      </c>
      <c r="F1006" s="2">
        <v>1711.189</v>
      </c>
    </row>
    <row r="1007" spans="3:6" x14ac:dyDescent="0.25">
      <c r="C1007" s="2" t="s">
        <v>2969</v>
      </c>
      <c r="D1007" s="2" t="s">
        <v>122</v>
      </c>
      <c r="E1007" s="2">
        <v>23</v>
      </c>
      <c r="F1007" s="2">
        <v>562.462</v>
      </c>
    </row>
    <row r="1008" spans="3:6" x14ac:dyDescent="0.25">
      <c r="C1008" s="2" t="s">
        <v>2970</v>
      </c>
      <c r="D1008" s="2" t="s">
        <v>122</v>
      </c>
      <c r="E1008" s="2">
        <v>10</v>
      </c>
      <c r="F1008" s="2">
        <v>196.05</v>
      </c>
    </row>
    <row r="1009" spans="3:6" x14ac:dyDescent="0.25">
      <c r="C1009" s="2" t="s">
        <v>2971</v>
      </c>
      <c r="D1009" s="2" t="s">
        <v>122</v>
      </c>
      <c r="E1009" s="2">
        <v>80</v>
      </c>
      <c r="F1009" s="2">
        <v>1592.749</v>
      </c>
    </row>
    <row r="1010" spans="3:6" x14ac:dyDescent="0.25">
      <c r="C1010" s="2" t="s">
        <v>2972</v>
      </c>
      <c r="D1010" s="2" t="s">
        <v>122</v>
      </c>
      <c r="E1010" s="2">
        <v>42</v>
      </c>
      <c r="F1010" s="2">
        <v>817.76</v>
      </c>
    </row>
    <row r="1011" spans="3:6" x14ac:dyDescent="0.25">
      <c r="C1011" s="2" t="s">
        <v>2973</v>
      </c>
      <c r="D1011" s="2" t="s">
        <v>122</v>
      </c>
      <c r="E1011" s="2">
        <v>19</v>
      </c>
      <c r="F1011" s="2">
        <v>402.2</v>
      </c>
    </row>
    <row r="1012" spans="3:6" x14ac:dyDescent="0.25">
      <c r="C1012" s="2" t="s">
        <v>2974</v>
      </c>
      <c r="D1012" s="2" t="s">
        <v>122</v>
      </c>
      <c r="E1012" s="2">
        <v>100</v>
      </c>
      <c r="F1012" s="2">
        <v>2086.079</v>
      </c>
    </row>
    <row r="1013" spans="3:6" x14ac:dyDescent="0.25">
      <c r="C1013" s="2" t="s">
        <v>2975</v>
      </c>
      <c r="D1013" s="2" t="s">
        <v>122</v>
      </c>
      <c r="E1013" s="2">
        <v>28</v>
      </c>
      <c r="F1013" s="2">
        <v>610.918</v>
      </c>
    </row>
    <row r="1014" spans="3:6" x14ac:dyDescent="0.25">
      <c r="C1014" s="2" t="s">
        <v>2976</v>
      </c>
      <c r="D1014" s="2" t="s">
        <v>122</v>
      </c>
      <c r="E1014" s="2">
        <v>39</v>
      </c>
      <c r="F1014" s="2">
        <v>722.57</v>
      </c>
    </row>
    <row r="1015" spans="3:6" x14ac:dyDescent="0.25">
      <c r="C1015" s="2" t="s">
        <v>2977</v>
      </c>
      <c r="D1015" s="2" t="s">
        <v>122</v>
      </c>
      <c r="E1015" s="2">
        <v>57</v>
      </c>
      <c r="F1015" s="2">
        <v>1022.18</v>
      </c>
    </row>
    <row r="1016" spans="3:6" x14ac:dyDescent="0.25">
      <c r="C1016" s="2" t="s">
        <v>2978</v>
      </c>
      <c r="D1016" s="2" t="s">
        <v>122</v>
      </c>
      <c r="E1016" s="2">
        <v>30</v>
      </c>
      <c r="F1016" s="2">
        <v>606.53</v>
      </c>
    </row>
    <row r="1017" spans="3:6" x14ac:dyDescent="0.25">
      <c r="C1017" s="2" t="s">
        <v>2979</v>
      </c>
      <c r="D1017" s="2" t="s">
        <v>122</v>
      </c>
      <c r="E1017" s="2">
        <v>15</v>
      </c>
      <c r="F1017" s="2">
        <v>219.77</v>
      </c>
    </row>
    <row r="1018" spans="3:6" x14ac:dyDescent="0.25">
      <c r="C1018" s="2" t="s">
        <v>2980</v>
      </c>
      <c r="D1018" s="2" t="s">
        <v>122</v>
      </c>
      <c r="E1018" s="2">
        <v>73</v>
      </c>
      <c r="F1018" s="2">
        <v>1365.14</v>
      </c>
    </row>
    <row r="1019" spans="3:6" x14ac:dyDescent="0.25">
      <c r="C1019" s="2" t="s">
        <v>2981</v>
      </c>
      <c r="D1019" s="2" t="s">
        <v>122</v>
      </c>
      <c r="E1019" s="2">
        <v>68</v>
      </c>
      <c r="F1019" s="2">
        <v>1316.849</v>
      </c>
    </row>
    <row r="1020" spans="3:6" x14ac:dyDescent="0.25">
      <c r="C1020" s="2" t="s">
        <v>2982</v>
      </c>
      <c r="D1020" s="2" t="s">
        <v>122</v>
      </c>
      <c r="E1020" s="2">
        <v>71</v>
      </c>
      <c r="F1020" s="2">
        <v>1498.08</v>
      </c>
    </row>
    <row r="1021" spans="3:6" x14ac:dyDescent="0.25">
      <c r="C1021" s="2" t="s">
        <v>2983</v>
      </c>
      <c r="D1021" s="2" t="s">
        <v>122</v>
      </c>
      <c r="E1021" s="2">
        <v>55</v>
      </c>
      <c r="F1021" s="2">
        <v>1115.33</v>
      </c>
    </row>
    <row r="1022" spans="3:6" x14ac:dyDescent="0.25">
      <c r="C1022" s="2" t="s">
        <v>2984</v>
      </c>
      <c r="D1022" s="2" t="s">
        <v>122</v>
      </c>
      <c r="E1022" s="2">
        <v>15</v>
      </c>
      <c r="F1022" s="2">
        <v>300.84</v>
      </c>
    </row>
    <row r="1023" spans="3:6" x14ac:dyDescent="0.25">
      <c r="C1023" s="2" t="s">
        <v>2985</v>
      </c>
      <c r="D1023" s="2" t="s">
        <v>122</v>
      </c>
      <c r="E1023" s="2">
        <v>46</v>
      </c>
      <c r="F1023" s="2">
        <v>956.77</v>
      </c>
    </row>
    <row r="1024" spans="3:6" x14ac:dyDescent="0.25">
      <c r="C1024" s="2" t="s">
        <v>2986</v>
      </c>
      <c r="D1024" s="2" t="s">
        <v>122</v>
      </c>
      <c r="E1024" s="2">
        <v>35</v>
      </c>
      <c r="F1024" s="2">
        <v>763.52</v>
      </c>
    </row>
    <row r="1025" spans="3:6" x14ac:dyDescent="0.25">
      <c r="C1025" s="2" t="s">
        <v>2987</v>
      </c>
      <c r="D1025" s="2" t="s">
        <v>122</v>
      </c>
      <c r="E1025" s="2">
        <v>29</v>
      </c>
      <c r="F1025" s="2">
        <v>547.32</v>
      </c>
    </row>
    <row r="1026" spans="3:6" x14ac:dyDescent="0.25">
      <c r="C1026" s="2" t="s">
        <v>2988</v>
      </c>
      <c r="D1026" s="2" t="s">
        <v>122</v>
      </c>
      <c r="E1026" s="2">
        <v>18</v>
      </c>
      <c r="F1026" s="2">
        <v>386.44</v>
      </c>
    </row>
    <row r="1027" spans="3:6" x14ac:dyDescent="0.25">
      <c r="C1027" s="2" t="s">
        <v>2989</v>
      </c>
      <c r="D1027" s="2" t="s">
        <v>122</v>
      </c>
      <c r="E1027" s="2">
        <v>13</v>
      </c>
      <c r="F1027" s="2">
        <v>259.27</v>
      </c>
    </row>
    <row r="1028" spans="3:6" x14ac:dyDescent="0.25">
      <c r="C1028" s="2" t="s">
        <v>2990</v>
      </c>
      <c r="D1028" s="2" t="s">
        <v>122</v>
      </c>
      <c r="E1028" s="2">
        <v>73</v>
      </c>
      <c r="F1028" s="2">
        <v>1974.085</v>
      </c>
    </row>
    <row r="1029" spans="3:6" x14ac:dyDescent="0.25">
      <c r="C1029" s="2" t="s">
        <v>2991</v>
      </c>
      <c r="D1029" s="2" t="s">
        <v>122</v>
      </c>
      <c r="E1029" s="2">
        <v>58</v>
      </c>
      <c r="F1029" s="2">
        <v>1120.419</v>
      </c>
    </row>
    <row r="1030" spans="3:6" x14ac:dyDescent="0.25">
      <c r="C1030" s="2" t="s">
        <v>2992</v>
      </c>
      <c r="D1030" s="2" t="s">
        <v>122</v>
      </c>
      <c r="E1030" s="2">
        <v>47</v>
      </c>
      <c r="F1030" s="2">
        <v>987.73</v>
      </c>
    </row>
    <row r="1031" spans="3:6" x14ac:dyDescent="0.25">
      <c r="C1031" s="2" t="s">
        <v>2993</v>
      </c>
      <c r="D1031" s="2" t="s">
        <v>122</v>
      </c>
      <c r="E1031" s="2">
        <v>36</v>
      </c>
      <c r="F1031" s="2">
        <v>695.768</v>
      </c>
    </row>
    <row r="1032" spans="3:6" x14ac:dyDescent="0.25">
      <c r="C1032" s="2" t="s">
        <v>2994</v>
      </c>
      <c r="D1032" s="2" t="s">
        <v>122</v>
      </c>
      <c r="E1032" s="2">
        <v>34</v>
      </c>
      <c r="F1032" s="2">
        <v>761.821</v>
      </c>
    </row>
    <row r="1033" spans="3:6" x14ac:dyDescent="0.25">
      <c r="C1033" s="2" t="s">
        <v>2995</v>
      </c>
      <c r="D1033" s="2" t="s">
        <v>122</v>
      </c>
      <c r="E1033" s="2">
        <v>42</v>
      </c>
      <c r="F1033" s="2">
        <v>860.08</v>
      </c>
    </row>
    <row r="1034" spans="3:6" x14ac:dyDescent="0.25">
      <c r="C1034" s="2" t="s">
        <v>2996</v>
      </c>
      <c r="D1034" s="2" t="s">
        <v>122</v>
      </c>
      <c r="E1034" s="2">
        <v>26</v>
      </c>
      <c r="F1034" s="2">
        <v>514.53</v>
      </c>
    </row>
    <row r="1035" spans="3:6" x14ac:dyDescent="0.25">
      <c r="C1035" s="2" t="s">
        <v>2997</v>
      </c>
      <c r="D1035" s="2" t="s">
        <v>122</v>
      </c>
      <c r="E1035" s="2">
        <v>31</v>
      </c>
      <c r="F1035" s="2">
        <v>603.38</v>
      </c>
    </row>
    <row r="1036" spans="3:6" x14ac:dyDescent="0.25">
      <c r="C1036" s="2" t="s">
        <v>2998</v>
      </c>
      <c r="D1036" s="2" t="s">
        <v>122</v>
      </c>
      <c r="E1036" s="2">
        <v>20</v>
      </c>
      <c r="F1036" s="2">
        <v>393.41</v>
      </c>
    </row>
    <row r="1037" spans="3:6" x14ac:dyDescent="0.25">
      <c r="C1037" s="2" t="s">
        <v>2999</v>
      </c>
      <c r="D1037" s="2" t="s">
        <v>122</v>
      </c>
      <c r="E1037" s="2">
        <v>27</v>
      </c>
      <c r="F1037" s="2">
        <v>501.17</v>
      </c>
    </row>
    <row r="1038" spans="3:6" x14ac:dyDescent="0.25">
      <c r="C1038" s="2" t="s">
        <v>3000</v>
      </c>
      <c r="D1038" s="2" t="s">
        <v>122</v>
      </c>
      <c r="E1038" s="2">
        <v>25</v>
      </c>
      <c r="F1038" s="2">
        <v>496.37</v>
      </c>
    </row>
    <row r="1039" spans="3:6" x14ac:dyDescent="0.25">
      <c r="C1039" s="2" t="s">
        <v>3001</v>
      </c>
      <c r="D1039" s="2" t="s">
        <v>122</v>
      </c>
      <c r="E1039" s="2">
        <v>18</v>
      </c>
      <c r="F1039" s="2">
        <v>312.77</v>
      </c>
    </row>
    <row r="1040" spans="3:6" x14ac:dyDescent="0.25">
      <c r="C1040" s="2" t="s">
        <v>3002</v>
      </c>
      <c r="D1040" s="2" t="s">
        <v>122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90</v>
      </c>
      <c r="C1042" s="2" t="s">
        <v>3003</v>
      </c>
      <c r="D1042" s="2" t="s">
        <v>42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3004</v>
      </c>
      <c r="D1043" s="2" t="s">
        <v>42</v>
      </c>
      <c r="E1043" s="2">
        <v>43</v>
      </c>
      <c r="F1043" s="2">
        <v>835.03</v>
      </c>
    </row>
    <row r="1044" spans="3:6" x14ac:dyDescent="0.25">
      <c r="C1044" s="2" t="s">
        <v>3005</v>
      </c>
      <c r="D1044" s="2" t="s">
        <v>42</v>
      </c>
      <c r="E1044" s="2">
        <v>46</v>
      </c>
      <c r="F1044" s="2">
        <v>924.58</v>
      </c>
    </row>
    <row r="1045" spans="3:6" x14ac:dyDescent="0.25">
      <c r="C1045" s="2" t="s">
        <v>3006</v>
      </c>
      <c r="D1045" s="2" t="s">
        <v>42</v>
      </c>
      <c r="E1045" s="2">
        <v>72</v>
      </c>
      <c r="F1045" s="2">
        <v>1466.82</v>
      </c>
    </row>
    <row r="1046" spans="3:6" x14ac:dyDescent="0.25">
      <c r="C1046" s="2" t="s">
        <v>3007</v>
      </c>
      <c r="D1046" s="2" t="s">
        <v>42</v>
      </c>
      <c r="E1046" s="2">
        <v>13</v>
      </c>
      <c r="F1046" s="2">
        <v>192.33</v>
      </c>
    </row>
    <row r="1047" spans="3:6" x14ac:dyDescent="0.25">
      <c r="C1047" s="2" t="s">
        <v>3008</v>
      </c>
      <c r="D1047" s="2" t="s">
        <v>42</v>
      </c>
      <c r="E1047" s="2">
        <v>38</v>
      </c>
      <c r="F1047" s="2">
        <v>738.81</v>
      </c>
    </row>
    <row r="1048" spans="3:6" x14ac:dyDescent="0.25">
      <c r="C1048" s="2" t="s">
        <v>3009</v>
      </c>
      <c r="D1048" s="2" t="s">
        <v>42</v>
      </c>
      <c r="E1048" s="2">
        <v>14</v>
      </c>
      <c r="F1048" s="2">
        <v>268.55</v>
      </c>
    </row>
    <row r="1049" spans="3:6" x14ac:dyDescent="0.25">
      <c r="C1049" s="2" t="s">
        <v>3010</v>
      </c>
      <c r="D1049" s="2" t="s">
        <v>42</v>
      </c>
      <c r="E1049" s="2">
        <v>109</v>
      </c>
      <c r="F1049" s="2">
        <v>2131.75</v>
      </c>
    </row>
    <row r="1050" spans="3:6" x14ac:dyDescent="0.25">
      <c r="C1050" s="2" t="s">
        <v>3011</v>
      </c>
      <c r="D1050" s="2" t="s">
        <v>42</v>
      </c>
      <c r="E1050" s="2">
        <v>123</v>
      </c>
      <c r="F1050" s="2">
        <v>2317.479</v>
      </c>
    </row>
    <row r="1051" spans="3:6" x14ac:dyDescent="0.25">
      <c r="C1051" s="2" t="s">
        <v>3012</v>
      </c>
      <c r="D1051" s="2" t="s">
        <v>42</v>
      </c>
      <c r="E1051" s="2">
        <v>141</v>
      </c>
      <c r="F1051" s="2">
        <v>2985.52</v>
      </c>
    </row>
    <row r="1052" spans="3:6" x14ac:dyDescent="0.25">
      <c r="C1052" s="2" t="s">
        <v>3013</v>
      </c>
      <c r="D1052" s="2" t="s">
        <v>42</v>
      </c>
      <c r="E1052" s="2">
        <v>141</v>
      </c>
      <c r="F1052" s="2">
        <v>2826.82</v>
      </c>
    </row>
    <row r="1053" spans="3:6" x14ac:dyDescent="0.25">
      <c r="C1053" s="2" t="s">
        <v>3014</v>
      </c>
      <c r="D1053" s="2" t="s">
        <v>42</v>
      </c>
      <c r="E1053" s="2">
        <v>50</v>
      </c>
      <c r="F1053" s="2">
        <v>258.336</v>
      </c>
    </row>
    <row r="1054" spans="3:6" x14ac:dyDescent="0.25">
      <c r="C1054" s="2" t="s">
        <v>3015</v>
      </c>
      <c r="D1054" s="2" t="s">
        <v>42</v>
      </c>
      <c r="E1054" s="2">
        <v>141</v>
      </c>
      <c r="F1054" s="2">
        <v>2915.96</v>
      </c>
    </row>
    <row r="1055" spans="3:6" x14ac:dyDescent="0.25">
      <c r="C1055" s="2" t="s">
        <v>3016</v>
      </c>
      <c r="D1055" s="2" t="s">
        <v>42</v>
      </c>
      <c r="E1055" s="2">
        <v>141</v>
      </c>
      <c r="F1055" s="2">
        <v>3234.929</v>
      </c>
    </row>
    <row r="1056" spans="3:6" x14ac:dyDescent="0.25">
      <c r="C1056" s="2" t="s">
        <v>3017</v>
      </c>
      <c r="D1056" s="2" t="s">
        <v>42</v>
      </c>
      <c r="E1056" s="2">
        <v>141</v>
      </c>
      <c r="F1056" s="2">
        <v>2741.469</v>
      </c>
    </row>
    <row r="1057" spans="3:6" x14ac:dyDescent="0.25">
      <c r="C1057" s="2" t="s">
        <v>3018</v>
      </c>
      <c r="D1057" s="2" t="s">
        <v>42</v>
      </c>
      <c r="E1057" s="2">
        <v>45</v>
      </c>
      <c r="F1057" s="2">
        <v>220.15</v>
      </c>
    </row>
    <row r="1058" spans="3:6" x14ac:dyDescent="0.25">
      <c r="C1058" s="2" t="s">
        <v>3019</v>
      </c>
      <c r="D1058" s="2" t="s">
        <v>42</v>
      </c>
      <c r="E1058" s="2">
        <v>136</v>
      </c>
      <c r="F1058" s="2">
        <v>2350.037</v>
      </c>
    </row>
    <row r="1059" spans="3:6" x14ac:dyDescent="0.25">
      <c r="C1059" s="2" t="s">
        <v>3020</v>
      </c>
      <c r="D1059" s="2" t="s">
        <v>42</v>
      </c>
      <c r="E1059" s="2">
        <v>40</v>
      </c>
      <c r="F1059" s="2">
        <v>858.95</v>
      </c>
    </row>
    <row r="1060" spans="3:6" x14ac:dyDescent="0.25">
      <c r="C1060" s="2" t="s">
        <v>3021</v>
      </c>
      <c r="D1060" s="2" t="s">
        <v>42</v>
      </c>
      <c r="E1060" s="2">
        <v>50</v>
      </c>
      <c r="F1060" s="2">
        <v>949.67</v>
      </c>
    </row>
    <row r="1061" spans="3:6" x14ac:dyDescent="0.25">
      <c r="C1061" s="2" t="s">
        <v>3022</v>
      </c>
      <c r="D1061" s="2" t="s">
        <v>42</v>
      </c>
      <c r="E1061" s="2">
        <v>51</v>
      </c>
      <c r="F1061" s="2">
        <v>990.46</v>
      </c>
    </row>
    <row r="1062" spans="3:6" x14ac:dyDescent="0.25">
      <c r="C1062" s="2" t="s">
        <v>3023</v>
      </c>
      <c r="D1062" s="2" t="s">
        <v>42</v>
      </c>
      <c r="E1062" s="2">
        <v>115</v>
      </c>
      <c r="F1062" s="2">
        <v>2035.841</v>
      </c>
    </row>
    <row r="1063" spans="3:6" x14ac:dyDescent="0.25">
      <c r="C1063" s="2" t="s">
        <v>3024</v>
      </c>
      <c r="D1063" s="2" t="s">
        <v>42</v>
      </c>
      <c r="E1063" s="2">
        <v>25</v>
      </c>
      <c r="F1063" s="2">
        <v>530.5</v>
      </c>
    </row>
    <row r="1064" spans="3:6" x14ac:dyDescent="0.25">
      <c r="C1064" s="2" t="s">
        <v>3025</v>
      </c>
      <c r="D1064" s="2" t="s">
        <v>42</v>
      </c>
      <c r="E1064" s="2">
        <v>45</v>
      </c>
      <c r="F1064" s="2">
        <v>225.25</v>
      </c>
    </row>
    <row r="1065" spans="3:6" x14ac:dyDescent="0.25">
      <c r="C1065" s="2" t="s">
        <v>3026</v>
      </c>
      <c r="D1065" s="2" t="s">
        <v>42</v>
      </c>
      <c r="E1065" s="2">
        <v>141</v>
      </c>
      <c r="F1065" s="2">
        <v>2755.269</v>
      </c>
    </row>
    <row r="1066" spans="3:6" x14ac:dyDescent="0.25">
      <c r="C1066" s="2" t="s">
        <v>3027</v>
      </c>
      <c r="D1066" s="2" t="s">
        <v>42</v>
      </c>
      <c r="E1066" s="2">
        <v>67</v>
      </c>
      <c r="F1066" s="2">
        <v>983.042</v>
      </c>
    </row>
    <row r="1067" spans="3:6" x14ac:dyDescent="0.25">
      <c r="C1067" s="2" t="s">
        <v>3028</v>
      </c>
      <c r="D1067" s="2" t="s">
        <v>42</v>
      </c>
      <c r="E1067" s="2">
        <v>36</v>
      </c>
      <c r="F1067" s="2">
        <v>829.57</v>
      </c>
    </row>
    <row r="1068" spans="3:6" x14ac:dyDescent="0.25">
      <c r="C1068" s="2" t="s">
        <v>3029</v>
      </c>
      <c r="D1068" s="2" t="s">
        <v>42</v>
      </c>
      <c r="E1068" s="2">
        <v>12</v>
      </c>
      <c r="F1068" s="2">
        <v>212.959</v>
      </c>
    </row>
    <row r="1069" spans="3:6" x14ac:dyDescent="0.25">
      <c r="C1069" s="2" t="s">
        <v>3030</v>
      </c>
      <c r="D1069" s="2" t="s">
        <v>42</v>
      </c>
      <c r="E1069" s="2">
        <v>19</v>
      </c>
      <c r="F1069" s="2">
        <v>342.76</v>
      </c>
    </row>
    <row r="1070" spans="3:6" x14ac:dyDescent="0.25">
      <c r="C1070" s="2" t="s">
        <v>3031</v>
      </c>
      <c r="D1070" s="2" t="s">
        <v>42</v>
      </c>
      <c r="E1070" s="2">
        <v>76</v>
      </c>
      <c r="F1070" s="2">
        <v>1536.3</v>
      </c>
    </row>
    <row r="1071" spans="3:6" x14ac:dyDescent="0.25">
      <c r="C1071" s="2" t="s">
        <v>3032</v>
      </c>
      <c r="D1071" s="2" t="s">
        <v>42</v>
      </c>
      <c r="E1071" s="2">
        <v>40</v>
      </c>
      <c r="F1071" s="2">
        <v>761.21</v>
      </c>
    </row>
    <row r="1072" spans="3:6" x14ac:dyDescent="0.25">
      <c r="C1072" s="2" t="s">
        <v>3033</v>
      </c>
      <c r="D1072" s="2" t="s">
        <v>42</v>
      </c>
      <c r="E1072" s="2">
        <v>25</v>
      </c>
      <c r="F1072" s="2">
        <v>407.94</v>
      </c>
    </row>
    <row r="1073" spans="3:6" x14ac:dyDescent="0.25">
      <c r="C1073" s="2" t="s">
        <v>3034</v>
      </c>
      <c r="D1073" s="2" t="s">
        <v>42</v>
      </c>
      <c r="E1073" s="2">
        <v>16</v>
      </c>
      <c r="F1073" s="2">
        <v>292.44</v>
      </c>
    </row>
    <row r="1074" spans="3:6" x14ac:dyDescent="0.25">
      <c r="C1074" s="2" t="s">
        <v>3035</v>
      </c>
      <c r="D1074" s="2" t="s">
        <v>42</v>
      </c>
      <c r="E1074" s="2">
        <v>123</v>
      </c>
      <c r="F1074" s="2">
        <v>2476.01</v>
      </c>
    </row>
    <row r="1075" spans="3:6" x14ac:dyDescent="0.25">
      <c r="C1075" s="2" t="s">
        <v>3036</v>
      </c>
      <c r="D1075" s="2" t="s">
        <v>42</v>
      </c>
      <c r="E1075" s="2">
        <v>60</v>
      </c>
      <c r="F1075" s="2">
        <v>310</v>
      </c>
    </row>
    <row r="1076" spans="3:6" x14ac:dyDescent="0.25">
      <c r="C1076" s="2" t="s">
        <v>3037</v>
      </c>
      <c r="D1076" s="2" t="s">
        <v>42</v>
      </c>
      <c r="E1076" s="2">
        <v>64</v>
      </c>
      <c r="F1076" s="2">
        <v>1294.64</v>
      </c>
    </row>
    <row r="1077" spans="3:6" x14ac:dyDescent="0.25">
      <c r="C1077" s="2" t="s">
        <v>3038</v>
      </c>
      <c r="D1077" s="2" t="s">
        <v>42</v>
      </c>
      <c r="E1077" s="2">
        <v>19</v>
      </c>
      <c r="F1077" s="2">
        <v>388.07</v>
      </c>
    </row>
    <row r="1078" spans="3:6" x14ac:dyDescent="0.25">
      <c r="C1078" s="2" t="s">
        <v>3039</v>
      </c>
      <c r="D1078" s="2" t="s">
        <v>42</v>
      </c>
      <c r="E1078" s="2">
        <v>18</v>
      </c>
      <c r="F1078" s="2">
        <v>363.53</v>
      </c>
    </row>
    <row r="1079" spans="3:6" x14ac:dyDescent="0.25">
      <c r="C1079" s="2" t="s">
        <v>3040</v>
      </c>
      <c r="D1079" s="2" t="s">
        <v>42</v>
      </c>
      <c r="E1079" s="2">
        <v>33</v>
      </c>
      <c r="F1079" s="2">
        <v>652.26</v>
      </c>
    </row>
    <row r="1080" spans="3:6" x14ac:dyDescent="0.25">
      <c r="C1080" s="2" t="s">
        <v>3041</v>
      </c>
      <c r="D1080" s="2" t="s">
        <v>42</v>
      </c>
      <c r="E1080" s="2">
        <v>20</v>
      </c>
      <c r="F1080" s="2">
        <v>420.82</v>
      </c>
    </row>
    <row r="1081" spans="3:6" x14ac:dyDescent="0.25">
      <c r="C1081" s="2" t="s">
        <v>3042</v>
      </c>
      <c r="D1081" s="2" t="s">
        <v>42</v>
      </c>
      <c r="E1081" s="2">
        <v>41</v>
      </c>
      <c r="F1081" s="2">
        <v>907.951</v>
      </c>
    </row>
    <row r="1082" spans="3:6" x14ac:dyDescent="0.25">
      <c r="C1082" s="2" t="s">
        <v>3043</v>
      </c>
      <c r="D1082" s="2" t="s">
        <v>42</v>
      </c>
      <c r="E1082" s="2">
        <v>28</v>
      </c>
      <c r="F1082" s="2">
        <v>506.198</v>
      </c>
    </row>
    <row r="1083" spans="3:6" x14ac:dyDescent="0.25">
      <c r="C1083" s="2" t="s">
        <v>3044</v>
      </c>
      <c r="D1083" s="2" t="s">
        <v>42</v>
      </c>
      <c r="E1083" s="2">
        <v>10</v>
      </c>
      <c r="F1083" s="2">
        <v>152.42</v>
      </c>
    </row>
    <row r="1084" spans="3:6" x14ac:dyDescent="0.25">
      <c r="C1084" s="2" t="s">
        <v>3045</v>
      </c>
      <c r="D1084" s="2" t="s">
        <v>42</v>
      </c>
      <c r="E1084" s="2">
        <v>93</v>
      </c>
      <c r="F1084" s="2">
        <v>1696.1</v>
      </c>
    </row>
    <row r="1085" spans="3:6" x14ac:dyDescent="0.25">
      <c r="C1085" s="2" t="s">
        <v>3046</v>
      </c>
      <c r="D1085" s="2" t="s">
        <v>42</v>
      </c>
      <c r="E1085" s="2">
        <v>7</v>
      </c>
      <c r="F1085" s="2">
        <v>137.96</v>
      </c>
    </row>
    <row r="1086" spans="3:6" x14ac:dyDescent="0.25">
      <c r="C1086" s="2" t="s">
        <v>3047</v>
      </c>
      <c r="D1086" s="2" t="s">
        <v>42</v>
      </c>
      <c r="E1086" s="2">
        <v>65</v>
      </c>
      <c r="F1086" s="2">
        <v>1252.38</v>
      </c>
    </row>
    <row r="1087" spans="3:6" x14ac:dyDescent="0.25">
      <c r="C1087" s="2" t="s">
        <v>3048</v>
      </c>
      <c r="D1087" s="2" t="s">
        <v>42</v>
      </c>
      <c r="E1087" s="2">
        <v>10</v>
      </c>
      <c r="F1087" s="2">
        <v>181.16</v>
      </c>
    </row>
    <row r="1088" spans="3:6" x14ac:dyDescent="0.25">
      <c r="C1088" s="2" t="s">
        <v>3049</v>
      </c>
      <c r="D1088" s="2" t="s">
        <v>42</v>
      </c>
      <c r="E1088" s="2">
        <v>14</v>
      </c>
      <c r="F1088" s="2">
        <v>242.72</v>
      </c>
    </row>
    <row r="1089" spans="3:6" x14ac:dyDescent="0.25">
      <c r="C1089" s="2" t="s">
        <v>3050</v>
      </c>
      <c r="D1089" s="2" t="s">
        <v>42</v>
      </c>
      <c r="E1089" s="2">
        <v>74</v>
      </c>
      <c r="F1089" s="2">
        <v>1258.429</v>
      </c>
    </row>
    <row r="1090" spans="3:6" x14ac:dyDescent="0.25">
      <c r="C1090" s="2" t="s">
        <v>3051</v>
      </c>
      <c r="D1090" s="2" t="s">
        <v>42</v>
      </c>
      <c r="E1090" s="2">
        <v>12</v>
      </c>
      <c r="F1090" s="2">
        <v>213.97</v>
      </c>
    </row>
    <row r="1091" spans="3:6" x14ac:dyDescent="0.25">
      <c r="C1091" s="2" t="s">
        <v>3052</v>
      </c>
      <c r="D1091" s="2" t="s">
        <v>42</v>
      </c>
      <c r="E1091" s="2">
        <v>61</v>
      </c>
      <c r="F1091" s="2">
        <v>1173.77</v>
      </c>
    </row>
    <row r="1092" spans="3:6" x14ac:dyDescent="0.25">
      <c r="C1092" s="2" t="s">
        <v>3053</v>
      </c>
      <c r="D1092" s="2" t="s">
        <v>42</v>
      </c>
      <c r="E1092" s="2">
        <v>65</v>
      </c>
      <c r="F1092" s="2">
        <v>1132.177</v>
      </c>
    </row>
    <row r="1093" spans="3:6" x14ac:dyDescent="0.25">
      <c r="C1093" s="2" t="s">
        <v>3054</v>
      </c>
      <c r="D1093" s="2" t="s">
        <v>42</v>
      </c>
      <c r="E1093" s="2">
        <v>15</v>
      </c>
      <c r="F1093" s="2">
        <v>275.91</v>
      </c>
    </row>
    <row r="1094" spans="3:6" x14ac:dyDescent="0.25">
      <c r="C1094" s="2" t="s">
        <v>3055</v>
      </c>
      <c r="D1094" s="2" t="s">
        <v>42</v>
      </c>
      <c r="E1094" s="2">
        <v>66</v>
      </c>
      <c r="F1094" s="2">
        <v>1292.794</v>
      </c>
    </row>
    <row r="1095" spans="3:6" x14ac:dyDescent="0.25">
      <c r="C1095" s="2" t="s">
        <v>3056</v>
      </c>
      <c r="D1095" s="2" t="s">
        <v>42</v>
      </c>
      <c r="E1095" s="2">
        <v>25</v>
      </c>
      <c r="F1095" s="2">
        <v>482.96</v>
      </c>
    </row>
    <row r="1096" spans="3:6" x14ac:dyDescent="0.25">
      <c r="C1096" s="2" t="s">
        <v>3057</v>
      </c>
      <c r="D1096" s="2" t="s">
        <v>42</v>
      </c>
      <c r="E1096" s="2">
        <v>50</v>
      </c>
      <c r="F1096" s="2">
        <v>1016.089</v>
      </c>
    </row>
    <row r="1097" spans="3:6" x14ac:dyDescent="0.25">
      <c r="C1097" s="2" t="s">
        <v>3058</v>
      </c>
      <c r="D1097" s="2" t="s">
        <v>42</v>
      </c>
      <c r="E1097" s="2">
        <v>42</v>
      </c>
      <c r="F1097" s="2">
        <v>935.63</v>
      </c>
    </row>
    <row r="1098" spans="3:6" x14ac:dyDescent="0.25">
      <c r="C1098" s="2" t="s">
        <v>3059</v>
      </c>
      <c r="D1098" s="2" t="s">
        <v>42</v>
      </c>
      <c r="E1098" s="2">
        <v>20</v>
      </c>
      <c r="F1098" s="2">
        <v>386.36</v>
      </c>
    </row>
    <row r="1099" spans="3:6" x14ac:dyDescent="0.25">
      <c r="C1099" s="2" t="s">
        <v>3060</v>
      </c>
      <c r="D1099" s="2" t="s">
        <v>42</v>
      </c>
      <c r="E1099" s="2">
        <v>8</v>
      </c>
      <c r="F1099" s="2">
        <v>147.17</v>
      </c>
    </row>
    <row r="1100" spans="3:6" x14ac:dyDescent="0.25">
      <c r="C1100" s="2" t="s">
        <v>3061</v>
      </c>
      <c r="D1100" s="2" t="s">
        <v>42</v>
      </c>
      <c r="E1100" s="2">
        <v>30</v>
      </c>
      <c r="F1100" s="2">
        <v>542.41</v>
      </c>
    </row>
    <row r="1101" spans="3:6" x14ac:dyDescent="0.25">
      <c r="C1101" s="2" t="s">
        <v>3062</v>
      </c>
      <c r="D1101" s="2" t="s">
        <v>42</v>
      </c>
      <c r="E1101" s="2">
        <v>45</v>
      </c>
      <c r="F1101" s="2">
        <v>807.549</v>
      </c>
    </row>
    <row r="1102" spans="3:6" x14ac:dyDescent="0.25">
      <c r="C1102" s="2" t="s">
        <v>3063</v>
      </c>
      <c r="D1102" s="2" t="s">
        <v>42</v>
      </c>
      <c r="E1102" s="2">
        <v>13</v>
      </c>
      <c r="F1102" s="2">
        <v>235.85</v>
      </c>
    </row>
    <row r="1103" spans="3:6" x14ac:dyDescent="0.25">
      <c r="C1103" s="2" t="s">
        <v>3064</v>
      </c>
      <c r="D1103" s="2" t="s">
        <v>42</v>
      </c>
      <c r="E1103" s="2">
        <v>32</v>
      </c>
      <c r="F1103" s="2">
        <v>643.294</v>
      </c>
    </row>
    <row r="1104" spans="3:6" x14ac:dyDescent="0.25">
      <c r="C1104" s="2" t="s">
        <v>3065</v>
      </c>
      <c r="D1104" s="2" t="s">
        <v>42</v>
      </c>
      <c r="E1104" s="2">
        <v>10</v>
      </c>
      <c r="F1104" s="2">
        <v>182.029</v>
      </c>
    </row>
    <row r="1105" spans="3:6" x14ac:dyDescent="0.25">
      <c r="C1105" s="2" t="s">
        <v>3066</v>
      </c>
      <c r="D1105" s="2" t="s">
        <v>42</v>
      </c>
      <c r="E1105" s="2">
        <v>31</v>
      </c>
      <c r="F1105" s="2">
        <v>583.955</v>
      </c>
    </row>
    <row r="1106" spans="3:6" x14ac:dyDescent="0.25">
      <c r="C1106" s="2" t="s">
        <v>3067</v>
      </c>
      <c r="D1106" s="2" t="s">
        <v>42</v>
      </c>
      <c r="E1106" s="2">
        <v>69</v>
      </c>
      <c r="F1106" s="2">
        <v>1281.539</v>
      </c>
    </row>
    <row r="1107" spans="3:6" x14ac:dyDescent="0.25">
      <c r="C1107" s="2" t="s">
        <v>3068</v>
      </c>
      <c r="D1107" s="2" t="s">
        <v>42</v>
      </c>
      <c r="E1107" s="2">
        <v>0</v>
      </c>
      <c r="F1107" s="2">
        <v>0</v>
      </c>
    </row>
    <row r="1108" spans="3:6" x14ac:dyDescent="0.25">
      <c r="C1108" s="2" t="s">
        <v>3069</v>
      </c>
      <c r="D1108" s="2" t="s">
        <v>42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10</v>
      </c>
      <c r="C1110" s="2" t="s">
        <v>3070</v>
      </c>
      <c r="D1110" s="2" t="s">
        <v>12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3071</v>
      </c>
      <c r="D1111" s="2" t="s">
        <v>12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834</v>
      </c>
      <c r="C1113" s="2" t="s">
        <v>3072</v>
      </c>
      <c r="D1113" s="2" t="s">
        <v>204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3073</v>
      </c>
      <c r="D1114" s="2" t="s">
        <v>204</v>
      </c>
      <c r="E1114" s="2">
        <v>141</v>
      </c>
      <c r="F1114" s="2">
        <v>2774.529</v>
      </c>
    </row>
    <row r="1115" spans="3:6" x14ac:dyDescent="0.25">
      <c r="C1115" s="2" t="s">
        <v>3074</v>
      </c>
      <c r="D1115" s="2" t="s">
        <v>204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375</v>
      </c>
      <c r="C1117" s="2" t="s">
        <v>3075</v>
      </c>
      <c r="D1117" s="2" t="s">
        <v>216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3076</v>
      </c>
      <c r="D1118" s="2" t="s">
        <v>216</v>
      </c>
      <c r="E1118" s="2">
        <v>134</v>
      </c>
      <c r="F1118" s="2">
        <v>2723.929</v>
      </c>
    </row>
    <row r="1119" spans="3:6" x14ac:dyDescent="0.25">
      <c r="C1119" s="2" t="s">
        <v>3077</v>
      </c>
      <c r="D1119" s="2" t="s">
        <v>204</v>
      </c>
      <c r="E1119" s="2">
        <v>74</v>
      </c>
      <c r="F1119" s="2">
        <v>1399.95</v>
      </c>
    </row>
    <row r="1120" spans="3:6" x14ac:dyDescent="0.25">
      <c r="C1120" s="2" t="s">
        <v>3078</v>
      </c>
      <c r="D1120" s="2" t="s">
        <v>204</v>
      </c>
      <c r="E1120" s="2">
        <v>74</v>
      </c>
      <c r="F1120" s="2">
        <v>1416.56</v>
      </c>
    </row>
    <row r="1121" spans="3:6" x14ac:dyDescent="0.25">
      <c r="C1121" s="2" t="s">
        <v>3079</v>
      </c>
      <c r="D1121" s="2" t="s">
        <v>347</v>
      </c>
      <c r="E1121" s="2">
        <v>14</v>
      </c>
      <c r="F1121" s="2">
        <v>269.06</v>
      </c>
    </row>
    <row r="1122" spans="3:6" x14ac:dyDescent="0.25">
      <c r="C1122" s="2" t="s">
        <v>3080</v>
      </c>
      <c r="D1122" s="2" t="s">
        <v>347</v>
      </c>
      <c r="E1122" s="2">
        <v>91</v>
      </c>
      <c r="F1122" s="2">
        <v>1708.02</v>
      </c>
    </row>
    <row r="1123" spans="3:6" x14ac:dyDescent="0.25">
      <c r="C1123" s="2" t="s">
        <v>3081</v>
      </c>
      <c r="D1123" s="2" t="s">
        <v>204</v>
      </c>
      <c r="E1123" s="2">
        <v>19</v>
      </c>
      <c r="F1123" s="2">
        <v>474.96</v>
      </c>
    </row>
    <row r="1124" spans="3:6" x14ac:dyDescent="0.25">
      <c r="C1124" s="2" t="s">
        <v>3082</v>
      </c>
      <c r="D1124" s="2" t="s">
        <v>204</v>
      </c>
      <c r="E1124" s="2">
        <v>90</v>
      </c>
      <c r="F1124" s="2">
        <v>376.133</v>
      </c>
    </row>
    <row r="1125" spans="3:6" x14ac:dyDescent="0.25">
      <c r="C1125" s="2" t="s">
        <v>3083</v>
      </c>
      <c r="D1125" s="2" t="s">
        <v>236</v>
      </c>
      <c r="E1125" s="2">
        <v>11</v>
      </c>
      <c r="F1125" s="2">
        <v>216.28</v>
      </c>
    </row>
    <row r="1126" spans="3:6" x14ac:dyDescent="0.25">
      <c r="C1126" s="2" t="s">
        <v>3084</v>
      </c>
      <c r="D1126" s="2" t="s">
        <v>236</v>
      </c>
      <c r="E1126" s="2">
        <v>80</v>
      </c>
      <c r="F1126" s="2">
        <v>1476.25</v>
      </c>
    </row>
    <row r="1127" spans="3:6" x14ac:dyDescent="0.25">
      <c r="C1127" s="2" t="s">
        <v>3085</v>
      </c>
      <c r="D1127" s="2" t="s">
        <v>204</v>
      </c>
      <c r="E1127" s="2">
        <v>163</v>
      </c>
      <c r="F1127" s="2">
        <v>3072.9</v>
      </c>
    </row>
    <row r="1128" spans="3:6" x14ac:dyDescent="0.25">
      <c r="C1128" s="2" t="s">
        <v>3086</v>
      </c>
      <c r="D1128" s="2" t="s">
        <v>216</v>
      </c>
      <c r="E1128" s="2">
        <v>134</v>
      </c>
      <c r="F1128" s="2">
        <v>2727.089</v>
      </c>
    </row>
    <row r="1129" spans="3:6" x14ac:dyDescent="0.25">
      <c r="C1129" s="2" t="s">
        <v>3087</v>
      </c>
      <c r="D1129" s="2" t="s">
        <v>347</v>
      </c>
      <c r="E1129" s="2">
        <v>56</v>
      </c>
      <c r="F1129" s="2">
        <v>1043.16</v>
      </c>
    </row>
    <row r="1130" spans="3:6" x14ac:dyDescent="0.25">
      <c r="C1130" s="2" t="s">
        <v>3088</v>
      </c>
      <c r="D1130" s="2" t="s">
        <v>347</v>
      </c>
      <c r="E1130" s="2">
        <v>100</v>
      </c>
      <c r="F1130" s="2">
        <v>1873.399</v>
      </c>
    </row>
    <row r="1131" spans="3:6" x14ac:dyDescent="0.25">
      <c r="C1131" s="2" t="s">
        <v>3089</v>
      </c>
      <c r="D1131" s="2" t="s">
        <v>216</v>
      </c>
      <c r="E1131" s="2">
        <v>134</v>
      </c>
      <c r="F1131" s="2">
        <v>2620.78</v>
      </c>
    </row>
    <row r="1132" spans="3:6" x14ac:dyDescent="0.25">
      <c r="C1132" s="2" t="s">
        <v>3090</v>
      </c>
      <c r="D1132" s="2" t="s">
        <v>216</v>
      </c>
      <c r="E1132" s="2">
        <v>134</v>
      </c>
      <c r="F1132" s="2">
        <v>2695.719</v>
      </c>
    </row>
    <row r="1133" spans="3:6" x14ac:dyDescent="0.25">
      <c r="C1133" s="2" t="s">
        <v>3091</v>
      </c>
      <c r="D1133" s="2" t="s">
        <v>204</v>
      </c>
      <c r="E1133" s="2">
        <v>163</v>
      </c>
      <c r="F1133" s="2">
        <v>3084.22</v>
      </c>
    </row>
    <row r="1134" spans="3:6" x14ac:dyDescent="0.25">
      <c r="C1134" s="2" t="s">
        <v>3092</v>
      </c>
      <c r="D1134" s="2" t="s">
        <v>216</v>
      </c>
      <c r="E1134" s="2">
        <v>134</v>
      </c>
      <c r="F1134" s="2">
        <v>2610.59</v>
      </c>
    </row>
    <row r="1135" spans="3:6" x14ac:dyDescent="0.25">
      <c r="C1135" s="2" t="s">
        <v>3093</v>
      </c>
      <c r="D1135" s="2" t="s">
        <v>204</v>
      </c>
      <c r="E1135" s="2">
        <v>163</v>
      </c>
      <c r="F1135" s="2">
        <v>3122.04</v>
      </c>
    </row>
    <row r="1136" spans="3:6" x14ac:dyDescent="0.25">
      <c r="C1136" s="2" t="s">
        <v>3094</v>
      </c>
      <c r="D1136" s="2" t="s">
        <v>216</v>
      </c>
      <c r="E1136" s="2">
        <v>134</v>
      </c>
      <c r="F1136" s="2">
        <v>2623.758</v>
      </c>
    </row>
    <row r="1137" spans="3:6" x14ac:dyDescent="0.25">
      <c r="C1137" s="2" t="s">
        <v>3095</v>
      </c>
      <c r="D1137" s="2" t="s">
        <v>214</v>
      </c>
      <c r="E1137" s="2">
        <v>100</v>
      </c>
      <c r="F1137" s="2">
        <v>1822.32</v>
      </c>
    </row>
    <row r="1138" spans="3:6" x14ac:dyDescent="0.25">
      <c r="C1138" s="2" t="s">
        <v>3096</v>
      </c>
      <c r="D1138" s="2" t="s">
        <v>204</v>
      </c>
      <c r="E1138" s="2">
        <v>97</v>
      </c>
      <c r="F1138" s="2">
        <v>1370.439</v>
      </c>
    </row>
    <row r="1139" spans="3:6" x14ac:dyDescent="0.25">
      <c r="C1139" s="2" t="s">
        <v>3097</v>
      </c>
      <c r="D1139" s="2" t="s">
        <v>214</v>
      </c>
      <c r="E1139" s="2">
        <v>56</v>
      </c>
      <c r="F1139" s="2">
        <v>1136.69</v>
      </c>
    </row>
    <row r="1140" spans="3:6" x14ac:dyDescent="0.25">
      <c r="C1140" s="2" t="s">
        <v>3098</v>
      </c>
      <c r="D1140" s="2" t="s">
        <v>214</v>
      </c>
      <c r="E1140" s="2">
        <v>100</v>
      </c>
      <c r="F1140" s="2">
        <v>1876.7</v>
      </c>
    </row>
    <row r="1141" spans="3:6" x14ac:dyDescent="0.25">
      <c r="C1141" s="2" t="s">
        <v>3099</v>
      </c>
      <c r="D1141" s="2" t="s">
        <v>204</v>
      </c>
      <c r="E1141" s="2">
        <v>38</v>
      </c>
      <c r="F1141" s="2">
        <v>201.92</v>
      </c>
    </row>
    <row r="1142" spans="3:6" x14ac:dyDescent="0.25">
      <c r="C1142" s="2" t="s">
        <v>3100</v>
      </c>
      <c r="D1142" s="2" t="s">
        <v>214</v>
      </c>
      <c r="E1142" s="2">
        <v>56</v>
      </c>
      <c r="F1142" s="2">
        <v>1086.12</v>
      </c>
    </row>
    <row r="1143" spans="3:6" x14ac:dyDescent="0.25">
      <c r="C1143" s="2" t="s">
        <v>3101</v>
      </c>
      <c r="D1143" s="2" t="s">
        <v>214</v>
      </c>
      <c r="E1143" s="2">
        <v>100</v>
      </c>
      <c r="F1143" s="2">
        <v>1875.72</v>
      </c>
    </row>
    <row r="1144" spans="3:6" x14ac:dyDescent="0.25">
      <c r="C1144" s="2" t="s">
        <v>3102</v>
      </c>
      <c r="D1144" s="2" t="s">
        <v>214</v>
      </c>
      <c r="E1144" s="2">
        <v>156</v>
      </c>
      <c r="F1144" s="2">
        <v>3073.49</v>
      </c>
    </row>
    <row r="1145" spans="3:6" x14ac:dyDescent="0.25">
      <c r="C1145" s="2" t="s">
        <v>3103</v>
      </c>
      <c r="D1145" s="2" t="s">
        <v>204</v>
      </c>
      <c r="E1145" s="2">
        <v>36</v>
      </c>
      <c r="F1145" s="2">
        <v>659.22</v>
      </c>
    </row>
    <row r="1146" spans="3:6" x14ac:dyDescent="0.25">
      <c r="C1146" s="2" t="s">
        <v>3104</v>
      </c>
      <c r="D1146" s="2" t="s">
        <v>214</v>
      </c>
      <c r="E1146" s="2">
        <v>156</v>
      </c>
      <c r="F1146" s="2">
        <v>3097.619</v>
      </c>
    </row>
    <row r="1147" spans="3:6" x14ac:dyDescent="0.25">
      <c r="C1147" s="2" t="s">
        <v>3105</v>
      </c>
      <c r="D1147" s="2" t="s">
        <v>214</v>
      </c>
      <c r="E1147" s="2">
        <v>56</v>
      </c>
      <c r="F1147" s="2">
        <v>997.45</v>
      </c>
    </row>
    <row r="1148" spans="3:6" x14ac:dyDescent="0.25">
      <c r="C1148" s="2" t="s">
        <v>3106</v>
      </c>
      <c r="D1148" s="2" t="s">
        <v>236</v>
      </c>
      <c r="E1148" s="2">
        <v>60</v>
      </c>
      <c r="F1148" s="2">
        <v>1110.389</v>
      </c>
    </row>
    <row r="1149" spans="3:6" x14ac:dyDescent="0.25">
      <c r="C1149" s="2" t="s">
        <v>3107</v>
      </c>
      <c r="D1149" s="2" t="s">
        <v>236</v>
      </c>
      <c r="E1149" s="2">
        <v>25</v>
      </c>
      <c r="F1149" s="2">
        <v>507.78</v>
      </c>
    </row>
    <row r="1150" spans="3:6" x14ac:dyDescent="0.25">
      <c r="C1150" s="2" t="s">
        <v>3108</v>
      </c>
      <c r="D1150" s="2" t="s">
        <v>236</v>
      </c>
      <c r="E1150" s="2">
        <v>80</v>
      </c>
      <c r="F1150" s="2">
        <v>1536.07</v>
      </c>
    </row>
    <row r="1151" spans="3:6" x14ac:dyDescent="0.25">
      <c r="C1151" s="2" t="s">
        <v>3109</v>
      </c>
      <c r="D1151" s="2" t="s">
        <v>236</v>
      </c>
      <c r="E1151" s="2">
        <v>45</v>
      </c>
      <c r="F1151" s="2">
        <v>862.639</v>
      </c>
    </row>
    <row r="1152" spans="3:6" x14ac:dyDescent="0.25">
      <c r="C1152" s="2" t="s">
        <v>2830</v>
      </c>
      <c r="D1152" s="2" t="s">
        <v>204</v>
      </c>
      <c r="E1152" s="2">
        <v>108</v>
      </c>
      <c r="F1152" s="2">
        <v>2489.772</v>
      </c>
    </row>
    <row r="1153" spans="3:6" x14ac:dyDescent="0.25">
      <c r="C1153" s="2" t="s">
        <v>2832</v>
      </c>
      <c r="D1153" s="2" t="s">
        <v>204</v>
      </c>
      <c r="E1153" s="2">
        <v>163</v>
      </c>
      <c r="F1153" s="2">
        <v>3152.629</v>
      </c>
    </row>
    <row r="1154" spans="3:6" x14ac:dyDescent="0.25">
      <c r="C1154" s="2" t="s">
        <v>2833</v>
      </c>
      <c r="D1154" s="2" t="s">
        <v>204</v>
      </c>
      <c r="E1154" s="2">
        <v>163</v>
      </c>
      <c r="F1154" s="2">
        <v>3140.85</v>
      </c>
    </row>
    <row r="1155" spans="3:6" x14ac:dyDescent="0.25">
      <c r="C1155" s="2" t="s">
        <v>2840</v>
      </c>
      <c r="D1155" s="2" t="s">
        <v>204</v>
      </c>
      <c r="E1155" s="2">
        <v>105</v>
      </c>
      <c r="F1155" s="2">
        <v>2128.13</v>
      </c>
    </row>
    <row r="1156" spans="3:6" x14ac:dyDescent="0.25">
      <c r="C1156" s="2" t="s">
        <v>3110</v>
      </c>
      <c r="D1156" s="2" t="s">
        <v>342</v>
      </c>
      <c r="E1156" s="2">
        <v>156</v>
      </c>
      <c r="F1156" s="2">
        <v>3304.79</v>
      </c>
    </row>
    <row r="1157" spans="3:6" x14ac:dyDescent="0.25">
      <c r="C1157" s="2" t="s">
        <v>3111</v>
      </c>
      <c r="D1157" s="2" t="s">
        <v>342</v>
      </c>
      <c r="E1157" s="2">
        <v>156</v>
      </c>
      <c r="F1157" s="2">
        <v>3073.847</v>
      </c>
    </row>
    <row r="1159" spans="2:6" x14ac:dyDescent="0.25">
      <c r="B1159" s="2" t="s">
        <v>2077</v>
      </c>
      <c r="C1159" s="2" t="s">
        <v>3112</v>
      </c>
      <c r="D1159" s="2" t="s">
        <v>297</v>
      </c>
      <c r="E1159" s="2">
        <v>156</v>
      </c>
      <c r="F1159" s="2">
        <v>2851.33</v>
      </c>
    </row>
    <row r="1160" spans="3:6" x14ac:dyDescent="0.25">
      <c r="C1160" s="2" t="s">
        <v>3113</v>
      </c>
      <c r="D1160" s="2" t="s">
        <v>297</v>
      </c>
      <c r="E1160" s="2">
        <v>105</v>
      </c>
      <c r="F1160" s="2">
        <v>1866.54</v>
      </c>
    </row>
    <row r="1161" spans="3:6" x14ac:dyDescent="0.25">
      <c r="C1161" s="2" t="s">
        <v>3114</v>
      </c>
      <c r="D1161" s="2" t="s">
        <v>216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32</v>
      </c>
      <c r="C1163" s="2" t="s">
        <v>3115</v>
      </c>
      <c r="D1163" s="2" t="s">
        <v>20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3116</v>
      </c>
      <c r="D1164" s="2" t="s">
        <v>20</v>
      </c>
      <c r="E1164" s="2">
        <v>312</v>
      </c>
      <c r="F1164" s="2">
        <v>6128.889</v>
      </c>
    </row>
    <row r="1165" spans="3:6" x14ac:dyDescent="0.25">
      <c r="C1165" s="2" t="s">
        <v>3117</v>
      </c>
      <c r="D1165" s="2" t="s">
        <v>20</v>
      </c>
      <c r="E1165" s="2">
        <v>250</v>
      </c>
      <c r="F1165" s="2">
        <v>4922.86</v>
      </c>
    </row>
    <row r="1166" spans="3:6" x14ac:dyDescent="0.25">
      <c r="C1166" s="2" t="s">
        <v>3118</v>
      </c>
      <c r="D1166" s="2" t="s">
        <v>20</v>
      </c>
      <c r="E1166" s="2">
        <v>261</v>
      </c>
      <c r="F1166" s="2">
        <v>5012.279</v>
      </c>
    </row>
    <row r="1167" spans="3:6" x14ac:dyDescent="0.25">
      <c r="C1167" s="2" t="s">
        <v>3119</v>
      </c>
      <c r="D1167" s="2" t="s">
        <v>20</v>
      </c>
      <c r="E1167" s="2">
        <v>210</v>
      </c>
      <c r="F1167" s="2">
        <v>3927.72</v>
      </c>
    </row>
    <row r="1168" spans="3:6" x14ac:dyDescent="0.25">
      <c r="C1168" s="2" t="s">
        <v>3120</v>
      </c>
      <c r="D1168" s="2" t="s">
        <v>20</v>
      </c>
      <c r="E1168" s="2">
        <v>156</v>
      </c>
      <c r="F1168" s="2">
        <v>2832.878</v>
      </c>
    </row>
    <row r="1169" spans="3:6" x14ac:dyDescent="0.25">
      <c r="C1169" s="2" t="s">
        <v>3121</v>
      </c>
      <c r="D1169" s="2" t="s">
        <v>20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1585</v>
      </c>
      <c r="C1171" s="2" t="s">
        <v>3122</v>
      </c>
      <c r="D1171" s="2" t="s">
        <v>297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324</v>
      </c>
      <c r="C1173" s="2" t="s">
        <v>3123</v>
      </c>
      <c r="D1173" s="2" t="s">
        <v>27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3124</v>
      </c>
      <c r="D1174" s="2" t="s">
        <v>27</v>
      </c>
      <c r="E1174" s="2">
        <v>42</v>
      </c>
      <c r="F1174" s="2">
        <v>779.86</v>
      </c>
    </row>
    <row r="1175" spans="3:6" x14ac:dyDescent="0.25">
      <c r="C1175" s="2" t="s">
        <v>3125</v>
      </c>
      <c r="D1175" s="2" t="s">
        <v>27</v>
      </c>
      <c r="E1175" s="2">
        <v>95</v>
      </c>
      <c r="F1175" s="2">
        <v>1929.44</v>
      </c>
    </row>
    <row r="1176" spans="3:6" x14ac:dyDescent="0.25">
      <c r="C1176" s="2" t="s">
        <v>3126</v>
      </c>
      <c r="D1176" s="2" t="s">
        <v>27</v>
      </c>
      <c r="E1176" s="2">
        <v>91</v>
      </c>
      <c r="F1176" s="2">
        <v>1519.459</v>
      </c>
    </row>
    <row r="1177" spans="3:6" x14ac:dyDescent="0.25">
      <c r="C1177" s="2" t="s">
        <v>3127</v>
      </c>
      <c r="D1177" s="2" t="s">
        <v>27</v>
      </c>
      <c r="E1177" s="2">
        <v>9</v>
      </c>
      <c r="F1177" s="2">
        <v>211.45</v>
      </c>
    </row>
    <row r="1178" spans="3:6" x14ac:dyDescent="0.25">
      <c r="C1178" s="2" t="s">
        <v>3128</v>
      </c>
      <c r="D1178" s="2" t="s">
        <v>27</v>
      </c>
      <c r="E1178" s="2">
        <v>33</v>
      </c>
      <c r="F1178" s="2">
        <v>561.96</v>
      </c>
    </row>
    <row r="1179" spans="3:6" x14ac:dyDescent="0.25">
      <c r="C1179" s="2" t="s">
        <v>3129</v>
      </c>
      <c r="D1179" s="2" t="s">
        <v>27</v>
      </c>
      <c r="E1179" s="2">
        <v>72</v>
      </c>
      <c r="F1179" s="2">
        <v>1291.882</v>
      </c>
    </row>
    <row r="1180" spans="3:6" x14ac:dyDescent="0.25">
      <c r="C1180" s="2" t="s">
        <v>3130</v>
      </c>
      <c r="D1180" s="2" t="s">
        <v>27</v>
      </c>
      <c r="E1180" s="2">
        <v>25</v>
      </c>
      <c r="F1180" s="2">
        <v>465.68</v>
      </c>
    </row>
    <row r="1181" spans="3:4" x14ac:dyDescent="0.25">
      <c r="C1181" s="2" t="s">
        <v>3127</v>
      </c>
      <c r="D1181" s="2" t="s">
        <v>27</v>
      </c>
    </row>
    <row r="1183" spans="1:7" x14ac:dyDescent="0.25">
      <c r="A1183" s="1">
        <v>46245</v>
      </c>
      <c r="B1183" s="2" t="s">
        <v>10</v>
      </c>
      <c r="C1183" s="2" t="s">
        <v>3131</v>
      </c>
      <c r="D1183" s="2" t="s">
        <v>12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3132</v>
      </c>
      <c r="D1184" s="2" t="s">
        <v>12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238</v>
      </c>
      <c r="C1186" s="2" t="s">
        <v>3133</v>
      </c>
      <c r="D1186" s="2" t="s">
        <v>204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3134</v>
      </c>
      <c r="D1187" s="2" t="s">
        <v>204</v>
      </c>
      <c r="E1187" s="2">
        <v>105</v>
      </c>
      <c r="F1187" s="2">
        <v>2044.87</v>
      </c>
    </row>
    <row r="1188" spans="3:6" x14ac:dyDescent="0.25">
      <c r="C1188" s="2" t="s">
        <v>3135</v>
      </c>
      <c r="D1188" s="2" t="s">
        <v>204</v>
      </c>
      <c r="E1188" s="2">
        <v>105</v>
      </c>
      <c r="F1188" s="2">
        <v>2030.39</v>
      </c>
    </row>
    <row r="1189" spans="3:6" x14ac:dyDescent="0.25">
      <c r="C1189" s="2" t="s">
        <v>3136</v>
      </c>
      <c r="D1189" s="2" t="s">
        <v>236</v>
      </c>
      <c r="E1189" s="2">
        <v>11</v>
      </c>
      <c r="F1189" s="2">
        <v>207.3</v>
      </c>
    </row>
    <row r="1190" spans="3:6" x14ac:dyDescent="0.25">
      <c r="C1190" s="2" t="s">
        <v>3137</v>
      </c>
      <c r="D1190" s="2" t="s">
        <v>236</v>
      </c>
      <c r="E1190" s="2">
        <v>80</v>
      </c>
      <c r="F1190" s="2">
        <v>1433.89</v>
      </c>
    </row>
    <row r="1191" spans="3:6" x14ac:dyDescent="0.25">
      <c r="C1191" s="2" t="s">
        <v>3138</v>
      </c>
      <c r="D1191" s="2" t="s">
        <v>347</v>
      </c>
      <c r="E1191" s="2">
        <v>88</v>
      </c>
      <c r="F1191" s="2">
        <v>1699.339</v>
      </c>
    </row>
    <row r="1192" spans="3:6" x14ac:dyDescent="0.25">
      <c r="C1192" s="2" t="s">
        <v>3139</v>
      </c>
      <c r="D1192" s="2" t="s">
        <v>347</v>
      </c>
      <c r="E1192" s="2">
        <v>68</v>
      </c>
      <c r="F1192" s="2">
        <v>1299.14</v>
      </c>
    </row>
    <row r="1193" spans="3:6" x14ac:dyDescent="0.25">
      <c r="C1193" s="2" t="s">
        <v>3140</v>
      </c>
      <c r="D1193" s="2" t="s">
        <v>236</v>
      </c>
      <c r="E1193" s="2">
        <v>60</v>
      </c>
      <c r="F1193" s="2">
        <v>1160.1</v>
      </c>
    </row>
    <row r="1194" spans="3:6" x14ac:dyDescent="0.25">
      <c r="C1194" s="2" t="s">
        <v>3141</v>
      </c>
      <c r="D1194" s="2" t="s">
        <v>236</v>
      </c>
      <c r="E1194" s="2">
        <v>45</v>
      </c>
      <c r="F1194" s="2">
        <v>811.378</v>
      </c>
    </row>
    <row r="1195" spans="3:6" x14ac:dyDescent="0.25">
      <c r="C1195" s="2" t="s">
        <v>3142</v>
      </c>
      <c r="D1195" s="2" t="s">
        <v>204</v>
      </c>
      <c r="E1195" s="2">
        <v>120</v>
      </c>
      <c r="F1195" s="2">
        <v>503.641</v>
      </c>
    </row>
    <row r="1196" spans="3:6" x14ac:dyDescent="0.25">
      <c r="C1196" s="2" t="s">
        <v>3143</v>
      </c>
      <c r="D1196" s="2" t="s">
        <v>204</v>
      </c>
      <c r="E1196" s="2">
        <v>163</v>
      </c>
      <c r="F1196" s="2">
        <v>3182.478</v>
      </c>
    </row>
    <row r="1197" spans="3:6" x14ac:dyDescent="0.25">
      <c r="C1197" s="2" t="s">
        <v>3144</v>
      </c>
      <c r="D1197" s="2" t="s">
        <v>214</v>
      </c>
      <c r="E1197" s="2">
        <v>100</v>
      </c>
      <c r="F1197" s="2">
        <v>1921.19</v>
      </c>
    </row>
    <row r="1198" spans="3:6" x14ac:dyDescent="0.25">
      <c r="C1198" s="2" t="s">
        <v>3145</v>
      </c>
      <c r="D1198" s="2" t="s">
        <v>214</v>
      </c>
      <c r="E1198" s="2">
        <v>56</v>
      </c>
      <c r="F1198" s="2">
        <v>1115.23</v>
      </c>
    </row>
    <row r="1199" spans="3:6" x14ac:dyDescent="0.25">
      <c r="C1199" s="2" t="s">
        <v>3146</v>
      </c>
      <c r="D1199" s="2" t="s">
        <v>214</v>
      </c>
      <c r="E1199" s="2">
        <v>156</v>
      </c>
      <c r="F1199" s="2">
        <v>3037.36</v>
      </c>
    </row>
    <row r="1200" spans="3:6" x14ac:dyDescent="0.25">
      <c r="C1200" s="2" t="s">
        <v>3147</v>
      </c>
      <c r="D1200" s="2" t="s">
        <v>214</v>
      </c>
      <c r="E1200" s="2">
        <v>156</v>
      </c>
      <c r="F1200" s="2">
        <v>3046.359</v>
      </c>
    </row>
    <row r="1201" spans="3:6" x14ac:dyDescent="0.25">
      <c r="C1201" s="2" t="s">
        <v>3148</v>
      </c>
      <c r="D1201" s="2" t="s">
        <v>204</v>
      </c>
      <c r="E1201" s="2">
        <v>121</v>
      </c>
      <c r="F1201" s="2">
        <v>1945.477</v>
      </c>
    </row>
    <row r="1202" spans="3:6" x14ac:dyDescent="0.25">
      <c r="C1202" s="2" t="s">
        <v>3149</v>
      </c>
      <c r="D1202" s="2" t="s">
        <v>204</v>
      </c>
      <c r="E1202" s="2">
        <v>163</v>
      </c>
      <c r="F1202" s="2">
        <v>2881.678</v>
      </c>
    </row>
    <row r="1203" spans="3:6" x14ac:dyDescent="0.25">
      <c r="C1203" s="2" t="s">
        <v>3150</v>
      </c>
      <c r="D1203" s="2" t="s">
        <v>204</v>
      </c>
      <c r="E1203" s="2">
        <v>163</v>
      </c>
      <c r="F1203" s="2">
        <v>3086.259</v>
      </c>
    </row>
    <row r="1204" spans="3:6" x14ac:dyDescent="0.25">
      <c r="C1204" s="2" t="s">
        <v>3151</v>
      </c>
      <c r="D1204" s="2" t="s">
        <v>204</v>
      </c>
      <c r="E1204" s="2">
        <v>163</v>
      </c>
      <c r="F1204" s="2">
        <v>3143.289</v>
      </c>
    </row>
    <row r="1205" spans="3:6" x14ac:dyDescent="0.25">
      <c r="C1205" s="2" t="s">
        <v>3152</v>
      </c>
      <c r="D1205" s="2" t="s">
        <v>204</v>
      </c>
      <c r="E1205" s="2">
        <v>163</v>
      </c>
      <c r="F1205" s="2">
        <v>3117.788</v>
      </c>
    </row>
    <row r="1206" spans="3:6" x14ac:dyDescent="0.25">
      <c r="C1206" s="2" t="s">
        <v>3153</v>
      </c>
      <c r="D1206" s="2" t="s">
        <v>204</v>
      </c>
      <c r="E1206" s="2">
        <v>163</v>
      </c>
      <c r="F1206" s="2">
        <v>3047.569</v>
      </c>
    </row>
    <row r="1207" spans="3:6" x14ac:dyDescent="0.25">
      <c r="C1207" s="2" t="s">
        <v>3154</v>
      </c>
      <c r="D1207" s="2" t="s">
        <v>236</v>
      </c>
      <c r="E1207" s="2">
        <v>25</v>
      </c>
      <c r="F1207" s="2">
        <v>504.15</v>
      </c>
    </row>
    <row r="1208" spans="3:6" x14ac:dyDescent="0.25">
      <c r="C1208" s="2" t="s">
        <v>3155</v>
      </c>
      <c r="D1208" s="2" t="s">
        <v>236</v>
      </c>
      <c r="E1208" s="2">
        <v>60</v>
      </c>
      <c r="F1208" s="2">
        <v>1054.358</v>
      </c>
    </row>
    <row r="1209" spans="3:6" x14ac:dyDescent="0.25">
      <c r="C1209" s="2" t="s">
        <v>3156</v>
      </c>
      <c r="D1209" s="2" t="s">
        <v>236</v>
      </c>
      <c r="E1209" s="2">
        <v>45</v>
      </c>
      <c r="F1209" s="2">
        <v>866.18</v>
      </c>
    </row>
    <row r="1210" spans="3:6" x14ac:dyDescent="0.25">
      <c r="C1210" s="2" t="s">
        <v>3157</v>
      </c>
      <c r="D1210" s="2" t="s">
        <v>236</v>
      </c>
      <c r="E1210" s="2">
        <v>80</v>
      </c>
      <c r="F1210" s="2">
        <v>1543.97</v>
      </c>
    </row>
    <row r="1211" spans="3:6" x14ac:dyDescent="0.25">
      <c r="C1211" s="2" t="s">
        <v>3158</v>
      </c>
      <c r="D1211" s="2" t="s">
        <v>204</v>
      </c>
      <c r="E1211" s="2">
        <v>134</v>
      </c>
      <c r="F1211" s="2">
        <v>2738.86</v>
      </c>
    </row>
    <row r="1212" spans="3:6" x14ac:dyDescent="0.25">
      <c r="C1212" s="2" t="s">
        <v>3159</v>
      </c>
      <c r="D1212" s="2" t="s">
        <v>204</v>
      </c>
      <c r="E1212" s="2">
        <v>134</v>
      </c>
      <c r="F1212" s="2">
        <v>2590.08</v>
      </c>
    </row>
    <row r="1213" spans="3:6" x14ac:dyDescent="0.25">
      <c r="C1213" s="2" t="s">
        <v>3160</v>
      </c>
      <c r="D1213" s="2" t="s">
        <v>204</v>
      </c>
      <c r="E1213" s="2">
        <v>134</v>
      </c>
      <c r="F1213" s="2">
        <v>2679.42</v>
      </c>
    </row>
    <row r="1214" spans="3:6" x14ac:dyDescent="0.25">
      <c r="C1214" s="2" t="s">
        <v>3161</v>
      </c>
      <c r="D1214" s="2" t="s">
        <v>204</v>
      </c>
      <c r="E1214" s="2">
        <v>134</v>
      </c>
      <c r="F1214" s="2">
        <v>2712.65</v>
      </c>
    </row>
    <row r="1215" spans="3:6" x14ac:dyDescent="0.25">
      <c r="C1215" s="2" t="s">
        <v>3162</v>
      </c>
      <c r="D1215" s="2" t="s">
        <v>204</v>
      </c>
      <c r="E1215" s="2">
        <v>134</v>
      </c>
      <c r="F1215" s="2">
        <v>2677.15</v>
      </c>
    </row>
    <row r="1216" spans="3:6" x14ac:dyDescent="0.25">
      <c r="C1216" s="2" t="s">
        <v>3163</v>
      </c>
      <c r="D1216" s="2" t="s">
        <v>214</v>
      </c>
      <c r="E1216" s="2">
        <v>100</v>
      </c>
      <c r="F1216" s="2">
        <v>1906.64</v>
      </c>
    </row>
    <row r="1217" spans="3:6" x14ac:dyDescent="0.25">
      <c r="C1217" s="2" t="s">
        <v>3164</v>
      </c>
      <c r="D1217" s="2" t="s">
        <v>214</v>
      </c>
      <c r="E1217" s="2">
        <v>56</v>
      </c>
      <c r="F1217" s="2">
        <v>1030.87</v>
      </c>
    </row>
    <row r="1218" spans="3:6" x14ac:dyDescent="0.25">
      <c r="C1218" s="2" t="s">
        <v>3165</v>
      </c>
      <c r="D1218" s="2" t="s">
        <v>214</v>
      </c>
      <c r="E1218" s="2">
        <v>100</v>
      </c>
      <c r="F1218" s="2">
        <v>1942.7</v>
      </c>
    </row>
    <row r="1219" spans="3:6" x14ac:dyDescent="0.25">
      <c r="C1219" s="2" t="s">
        <v>3166</v>
      </c>
      <c r="D1219" s="2" t="s">
        <v>214</v>
      </c>
      <c r="E1219" s="2">
        <v>56</v>
      </c>
      <c r="F1219" s="2">
        <v>1097.669</v>
      </c>
    </row>
    <row r="1220" spans="3:6" x14ac:dyDescent="0.25">
      <c r="C1220" s="2" t="s">
        <v>3167</v>
      </c>
      <c r="D1220" s="2" t="s">
        <v>204</v>
      </c>
      <c r="E1220" s="2">
        <v>163</v>
      </c>
      <c r="F1220" s="2">
        <v>2860.208</v>
      </c>
    </row>
    <row r="1221" spans="3:6" x14ac:dyDescent="0.25">
      <c r="C1221" s="2" t="s">
        <v>3168</v>
      </c>
      <c r="D1221" s="2" t="s">
        <v>204</v>
      </c>
      <c r="E1221" s="2">
        <v>105</v>
      </c>
      <c r="F1221" s="2">
        <v>2075.629</v>
      </c>
    </row>
    <row r="1222" spans="3:6" x14ac:dyDescent="0.25">
      <c r="C1222" s="2" t="s">
        <v>3169</v>
      </c>
      <c r="D1222" s="2" t="s">
        <v>204</v>
      </c>
      <c r="E1222" s="2">
        <v>163</v>
      </c>
      <c r="F1222" s="2">
        <v>3064.458</v>
      </c>
    </row>
    <row r="1223" spans="3:6" x14ac:dyDescent="0.25">
      <c r="C1223" s="2" t="s">
        <v>3085</v>
      </c>
      <c r="D1223" s="2" t="s">
        <v>204</v>
      </c>
      <c r="E1223" s="2">
        <v>163</v>
      </c>
      <c r="F1223" s="2">
        <v>3072.9</v>
      </c>
    </row>
    <row r="1224" spans="3:5" x14ac:dyDescent="0.25">
      <c r="C1224" s="2" t="s">
        <v>3170</v>
      </c>
      <c r="D1224" s="2" t="s">
        <v>204</v>
      </c>
      <c r="E1224" s="2">
        <v>42</v>
      </c>
    </row>
    <row r="1225" spans="3:5" x14ac:dyDescent="0.25">
      <c r="C1225" s="2" t="s">
        <v>3171</v>
      </c>
      <c r="D1225" s="2" t="s">
        <v>236</v>
      </c>
      <c r="E1225" s="2">
        <v>14</v>
      </c>
    </row>
    <row r="1227" spans="2:7" x14ac:dyDescent="0.25">
      <c r="B1227" s="2" t="s">
        <v>2077</v>
      </c>
      <c r="C1227" s="2" t="s">
        <v>3172</v>
      </c>
      <c r="D1227" s="2" t="s">
        <v>297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3173</v>
      </c>
      <c r="D1228" s="2" t="s">
        <v>297</v>
      </c>
      <c r="E1228" s="2">
        <v>5</v>
      </c>
      <c r="F1228" s="2">
        <v>64</v>
      </c>
    </row>
    <row r="1229" spans="3:6" x14ac:dyDescent="0.25">
      <c r="C1229" s="2" t="s">
        <v>3174</v>
      </c>
      <c r="D1229" s="2" t="s">
        <v>297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18</v>
      </c>
      <c r="C1231" s="2" t="s">
        <v>3175</v>
      </c>
      <c r="D1231" s="2" t="s">
        <v>20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3176</v>
      </c>
      <c r="D1232" s="2" t="s">
        <v>20</v>
      </c>
      <c r="E1232" s="2">
        <v>102</v>
      </c>
      <c r="F1232" s="2">
        <v>1934.48</v>
      </c>
    </row>
    <row r="1233" spans="3:6" x14ac:dyDescent="0.25">
      <c r="C1233" s="2" t="s">
        <v>3177</v>
      </c>
      <c r="D1233" s="2" t="s">
        <v>20</v>
      </c>
      <c r="E1233" s="2">
        <v>244</v>
      </c>
      <c r="F1233" s="2">
        <v>4712.39</v>
      </c>
    </row>
    <row r="1234" spans="3:6" x14ac:dyDescent="0.25">
      <c r="C1234" s="2" t="s">
        <v>3178</v>
      </c>
      <c r="D1234" s="2" t="s">
        <v>20</v>
      </c>
      <c r="E1234" s="2">
        <v>142</v>
      </c>
      <c r="F1234" s="2">
        <v>2773.05</v>
      </c>
    </row>
    <row r="1235" spans="3:6" x14ac:dyDescent="0.25">
      <c r="C1235" s="2" t="s">
        <v>3179</v>
      </c>
      <c r="D1235" s="2" t="s">
        <v>20</v>
      </c>
      <c r="E1235" s="2">
        <v>244</v>
      </c>
      <c r="F1235" s="2">
        <v>4903.21</v>
      </c>
    </row>
    <row r="1236" spans="3:6" x14ac:dyDescent="0.25">
      <c r="C1236" s="2" t="s">
        <v>3180</v>
      </c>
      <c r="D1236" s="2" t="s">
        <v>20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1434</v>
      </c>
      <c r="C1238" s="2" t="s">
        <v>3181</v>
      </c>
      <c r="D1238" s="2" t="s">
        <v>27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3182</v>
      </c>
      <c r="D1239" s="2" t="s">
        <v>27</v>
      </c>
      <c r="E1239" s="2">
        <v>99</v>
      </c>
      <c r="F1239" s="2">
        <v>1827.609</v>
      </c>
    </row>
    <row r="1240" spans="3:6" x14ac:dyDescent="0.25">
      <c r="C1240" s="2" t="s">
        <v>3183</v>
      </c>
      <c r="D1240" s="2" t="s">
        <v>27</v>
      </c>
      <c r="E1240" s="2">
        <v>97</v>
      </c>
      <c r="F1240" s="2">
        <v>1920.83</v>
      </c>
    </row>
    <row r="1241" spans="3:6" x14ac:dyDescent="0.25">
      <c r="C1241" s="2" t="s">
        <v>3184</v>
      </c>
      <c r="D1241" s="2" t="s">
        <v>27</v>
      </c>
      <c r="E1241" s="2">
        <v>5</v>
      </c>
      <c r="F1241" s="2">
        <v>111.6</v>
      </c>
    </row>
    <row r="1242" spans="3:6" x14ac:dyDescent="0.25">
      <c r="C1242" s="2" t="s">
        <v>3185</v>
      </c>
      <c r="D1242" s="2" t="s">
        <v>27</v>
      </c>
      <c r="E1242" s="2">
        <v>16</v>
      </c>
      <c r="F1242" s="2">
        <v>263.2</v>
      </c>
    </row>
    <row r="1243" spans="3:6" x14ac:dyDescent="0.25">
      <c r="C1243" s="2" t="s">
        <v>3186</v>
      </c>
      <c r="D1243" s="2" t="s">
        <v>27</v>
      </c>
      <c r="E1243" s="2">
        <v>49</v>
      </c>
      <c r="F1243" s="2">
        <v>931.28</v>
      </c>
    </row>
    <row r="1244" spans="3:6" x14ac:dyDescent="0.25">
      <c r="C1244" s="2" t="s">
        <v>3187</v>
      </c>
      <c r="D1244" s="2" t="s">
        <v>27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120</v>
      </c>
      <c r="C1246" s="2" t="s">
        <v>3188</v>
      </c>
      <c r="D1246" s="2" t="s">
        <v>42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3189</v>
      </c>
      <c r="D1247" s="2" t="s">
        <v>42</v>
      </c>
      <c r="E1247" s="2">
        <v>100</v>
      </c>
      <c r="F1247" s="2">
        <v>1981.4</v>
      </c>
    </row>
    <row r="1248" spans="3:6" x14ac:dyDescent="0.25">
      <c r="C1248" s="2" t="s">
        <v>3190</v>
      </c>
      <c r="D1248" s="2" t="s">
        <v>42</v>
      </c>
      <c r="E1248" s="2">
        <v>45</v>
      </c>
      <c r="F1248" s="2">
        <v>230.49</v>
      </c>
    </row>
    <row r="1249" spans="3:6" x14ac:dyDescent="0.25">
      <c r="C1249" s="2" t="s">
        <v>3191</v>
      </c>
      <c r="D1249" s="2" t="s">
        <v>42</v>
      </c>
      <c r="E1249" s="2">
        <v>141</v>
      </c>
      <c r="F1249" s="2">
        <v>2857.28</v>
      </c>
    </row>
    <row r="1250" spans="3:6" x14ac:dyDescent="0.25">
      <c r="C1250" s="2" t="s">
        <v>3192</v>
      </c>
      <c r="D1250" s="2" t="s">
        <v>42</v>
      </c>
      <c r="E1250" s="2">
        <v>123</v>
      </c>
      <c r="F1250" s="2">
        <v>2329.86</v>
      </c>
    </row>
    <row r="1251" spans="3:6" x14ac:dyDescent="0.25">
      <c r="C1251" s="2" t="s">
        <v>3193</v>
      </c>
      <c r="D1251" s="2" t="s">
        <v>42</v>
      </c>
      <c r="E1251" s="2">
        <v>141</v>
      </c>
      <c r="F1251" s="2">
        <v>2743.418</v>
      </c>
    </row>
    <row r="1252" spans="3:6" x14ac:dyDescent="0.25">
      <c r="C1252" s="2" t="s">
        <v>3194</v>
      </c>
      <c r="D1252" s="2" t="s">
        <v>42</v>
      </c>
      <c r="E1252" s="2">
        <v>141</v>
      </c>
      <c r="F1252" s="2">
        <v>2965.5</v>
      </c>
    </row>
    <row r="1253" spans="3:6" x14ac:dyDescent="0.25">
      <c r="C1253" s="2" t="s">
        <v>3195</v>
      </c>
      <c r="D1253" s="2" t="s">
        <v>42</v>
      </c>
      <c r="E1253" s="2">
        <v>50</v>
      </c>
      <c r="F1253" s="2">
        <v>246.88</v>
      </c>
    </row>
    <row r="1254" spans="3:6" x14ac:dyDescent="0.25">
      <c r="C1254" s="2" t="s">
        <v>3196</v>
      </c>
      <c r="D1254" s="2" t="s">
        <v>42</v>
      </c>
      <c r="E1254" s="2">
        <v>141</v>
      </c>
      <c r="F1254" s="2">
        <v>3423.06</v>
      </c>
    </row>
    <row r="1255" spans="3:6" x14ac:dyDescent="0.25">
      <c r="C1255" s="2" t="s">
        <v>3197</v>
      </c>
      <c r="D1255" s="2" t="s">
        <v>42</v>
      </c>
      <c r="E1255" s="2">
        <v>123</v>
      </c>
      <c r="F1255" s="2">
        <v>2585.24</v>
      </c>
    </row>
    <row r="1256" spans="3:6" x14ac:dyDescent="0.25">
      <c r="C1256" s="2" t="s">
        <v>3198</v>
      </c>
      <c r="D1256" s="2" t="s">
        <v>42</v>
      </c>
      <c r="E1256" s="2">
        <v>10</v>
      </c>
      <c r="F1256" s="2">
        <v>209.96</v>
      </c>
    </row>
    <row r="1257" spans="3:6" x14ac:dyDescent="0.25">
      <c r="C1257" s="2" t="s">
        <v>3199</v>
      </c>
      <c r="D1257" s="2" t="s">
        <v>42</v>
      </c>
      <c r="E1257" s="2">
        <v>59</v>
      </c>
      <c r="F1257" s="2">
        <v>1127.3</v>
      </c>
    </row>
    <row r="1258" spans="3:6" x14ac:dyDescent="0.25">
      <c r="C1258" s="2" t="s">
        <v>3200</v>
      </c>
      <c r="D1258" s="2" t="s">
        <v>42</v>
      </c>
      <c r="E1258" s="2">
        <v>44</v>
      </c>
      <c r="F1258" s="2">
        <v>868.465</v>
      </c>
    </row>
    <row r="1259" spans="3:6" x14ac:dyDescent="0.25">
      <c r="C1259" s="2" t="s">
        <v>3201</v>
      </c>
      <c r="D1259" s="2" t="s">
        <v>42</v>
      </c>
      <c r="E1259" s="2">
        <v>22</v>
      </c>
      <c r="F1259" s="2">
        <v>528.7</v>
      </c>
    </row>
    <row r="1260" spans="3:6" x14ac:dyDescent="0.25">
      <c r="C1260" s="2" t="s">
        <v>3202</v>
      </c>
      <c r="D1260" s="2" t="s">
        <v>42</v>
      </c>
      <c r="E1260" s="2">
        <v>32</v>
      </c>
      <c r="F1260" s="2">
        <v>605.219</v>
      </c>
    </row>
    <row r="1261" spans="3:6" x14ac:dyDescent="0.25">
      <c r="C1261" s="2" t="s">
        <v>3203</v>
      </c>
      <c r="D1261" s="2" t="s">
        <v>42</v>
      </c>
      <c r="E1261" s="2">
        <v>43</v>
      </c>
      <c r="F1261" s="2">
        <v>817.3</v>
      </c>
    </row>
    <row r="1262" spans="3:6" x14ac:dyDescent="0.25">
      <c r="C1262" s="2" t="s">
        <v>3204</v>
      </c>
      <c r="D1262" s="2" t="s">
        <v>42</v>
      </c>
      <c r="E1262" s="2">
        <v>13</v>
      </c>
      <c r="F1262" s="2">
        <v>241.92</v>
      </c>
    </row>
    <row r="1263" spans="3:6" x14ac:dyDescent="0.25">
      <c r="C1263" s="2" t="s">
        <v>3205</v>
      </c>
      <c r="D1263" s="2" t="s">
        <v>42</v>
      </c>
      <c r="E1263" s="2">
        <v>48</v>
      </c>
      <c r="F1263" s="2">
        <v>907.689</v>
      </c>
    </row>
    <row r="1264" spans="3:6" x14ac:dyDescent="0.25">
      <c r="C1264" s="2" t="s">
        <v>3206</v>
      </c>
      <c r="D1264" s="2" t="s">
        <v>42</v>
      </c>
      <c r="E1264" s="2">
        <v>21</v>
      </c>
      <c r="F1264" s="2">
        <v>402</v>
      </c>
    </row>
    <row r="1265" spans="3:6" x14ac:dyDescent="0.25">
      <c r="C1265" s="2" t="s">
        <v>3207</v>
      </c>
      <c r="D1265" s="2" t="s">
        <v>42</v>
      </c>
      <c r="E1265" s="2">
        <v>94</v>
      </c>
      <c r="F1265" s="2">
        <v>1774.89</v>
      </c>
    </row>
    <row r="1266" spans="3:6" x14ac:dyDescent="0.25">
      <c r="C1266" s="2" t="s">
        <v>3208</v>
      </c>
      <c r="D1266" s="2" t="s">
        <v>42</v>
      </c>
      <c r="E1266" s="2">
        <v>21</v>
      </c>
      <c r="F1266" s="2">
        <v>386.1</v>
      </c>
    </row>
    <row r="1267" spans="3:6" x14ac:dyDescent="0.25">
      <c r="C1267" s="2" t="s">
        <v>3209</v>
      </c>
      <c r="D1267" s="2" t="s">
        <v>42</v>
      </c>
      <c r="E1267" s="2">
        <v>115</v>
      </c>
      <c r="F1267" s="2">
        <v>1877.873</v>
      </c>
    </row>
    <row r="1268" spans="3:6" x14ac:dyDescent="0.25">
      <c r="C1268" s="2" t="s">
        <v>3210</v>
      </c>
      <c r="D1268" s="2" t="s">
        <v>42</v>
      </c>
      <c r="E1268" s="2">
        <v>94</v>
      </c>
      <c r="F1268" s="2">
        <v>1865.87</v>
      </c>
    </row>
    <row r="1269" spans="3:6" x14ac:dyDescent="0.25">
      <c r="C1269" s="2" t="s">
        <v>3211</v>
      </c>
      <c r="D1269" s="2" t="s">
        <v>42</v>
      </c>
      <c r="E1269" s="2">
        <v>141</v>
      </c>
      <c r="F1269" s="2">
        <v>2750.7</v>
      </c>
    </row>
    <row r="1270" spans="3:6" x14ac:dyDescent="0.25">
      <c r="C1270" s="2" t="s">
        <v>3212</v>
      </c>
      <c r="D1270" s="2" t="s">
        <v>42</v>
      </c>
      <c r="E1270" s="2">
        <v>65</v>
      </c>
      <c r="F1270" s="2">
        <v>1258.36</v>
      </c>
    </row>
    <row r="1271" spans="3:6" x14ac:dyDescent="0.25">
      <c r="C1271" s="2" t="s">
        <v>3213</v>
      </c>
      <c r="D1271" s="2" t="s">
        <v>42</v>
      </c>
      <c r="E1271" s="2">
        <v>23</v>
      </c>
      <c r="F1271" s="2">
        <v>405.17</v>
      </c>
    </row>
    <row r="1272" spans="3:6" x14ac:dyDescent="0.25">
      <c r="C1272" s="2" t="s">
        <v>3214</v>
      </c>
      <c r="D1272" s="2" t="s">
        <v>42</v>
      </c>
      <c r="E1272" s="2">
        <v>8</v>
      </c>
      <c r="F1272" s="2">
        <v>106.69</v>
      </c>
    </row>
    <row r="1273" spans="3:6" x14ac:dyDescent="0.25">
      <c r="C1273" s="2" t="s">
        <v>3215</v>
      </c>
      <c r="D1273" s="2" t="s">
        <v>42</v>
      </c>
      <c r="E1273" s="2">
        <v>34</v>
      </c>
      <c r="F1273" s="2">
        <v>619.05</v>
      </c>
    </row>
    <row r="1274" spans="3:6" x14ac:dyDescent="0.25">
      <c r="C1274" s="2" t="s">
        <v>3216</v>
      </c>
      <c r="D1274" s="2" t="s">
        <v>42</v>
      </c>
      <c r="E1274" s="2">
        <v>30</v>
      </c>
      <c r="F1274" s="2">
        <v>588.82</v>
      </c>
    </row>
    <row r="1275" spans="3:6" x14ac:dyDescent="0.25">
      <c r="C1275" s="2" t="s">
        <v>3217</v>
      </c>
      <c r="D1275" s="2" t="s">
        <v>42</v>
      </c>
      <c r="E1275" s="2">
        <v>14</v>
      </c>
      <c r="F1275" s="2">
        <v>247.98</v>
      </c>
    </row>
    <row r="1276" spans="3:6" x14ac:dyDescent="0.25">
      <c r="C1276" s="2" t="s">
        <v>3218</v>
      </c>
      <c r="D1276" s="2" t="s">
        <v>42</v>
      </c>
      <c r="E1276" s="2">
        <v>28</v>
      </c>
      <c r="F1276" s="2">
        <v>365.96</v>
      </c>
    </row>
    <row r="1277" spans="3:6" x14ac:dyDescent="0.25">
      <c r="C1277" s="2" t="s">
        <v>3219</v>
      </c>
      <c r="D1277" s="2" t="s">
        <v>42</v>
      </c>
      <c r="E1277" s="2">
        <v>9</v>
      </c>
      <c r="F1277" s="2">
        <v>173.38</v>
      </c>
    </row>
    <row r="1278" spans="3:6" x14ac:dyDescent="0.25">
      <c r="C1278" s="2" t="s">
        <v>3220</v>
      </c>
      <c r="D1278" s="2" t="s">
        <v>42</v>
      </c>
      <c r="E1278" s="2">
        <v>19</v>
      </c>
      <c r="F1278" s="2">
        <v>344.83</v>
      </c>
    </row>
    <row r="1279" spans="3:6" x14ac:dyDescent="0.25">
      <c r="C1279" s="2" t="s">
        <v>3221</v>
      </c>
      <c r="D1279" s="2" t="s">
        <v>42</v>
      </c>
      <c r="E1279" s="2">
        <v>24</v>
      </c>
      <c r="F1279" s="2">
        <v>448.42</v>
      </c>
    </row>
    <row r="1280" spans="3:6" x14ac:dyDescent="0.25">
      <c r="C1280" s="2" t="s">
        <v>3222</v>
      </c>
      <c r="D1280" s="2" t="s">
        <v>42</v>
      </c>
      <c r="E1280" s="2">
        <v>11</v>
      </c>
      <c r="F1280" s="2">
        <v>199.89</v>
      </c>
    </row>
    <row r="1281" spans="3:6" x14ac:dyDescent="0.25">
      <c r="C1281" s="2" t="s">
        <v>3223</v>
      </c>
      <c r="D1281" s="2" t="s">
        <v>42</v>
      </c>
      <c r="E1281" s="2">
        <v>40</v>
      </c>
      <c r="F1281" s="2">
        <v>828.45</v>
      </c>
    </row>
    <row r="1282" spans="3:6" x14ac:dyDescent="0.25">
      <c r="C1282" s="2" t="s">
        <v>3224</v>
      </c>
      <c r="D1282" s="2" t="s">
        <v>42</v>
      </c>
      <c r="E1282" s="2">
        <v>73</v>
      </c>
      <c r="F1282" s="2">
        <v>1769.22</v>
      </c>
    </row>
    <row r="1283" spans="3:6" x14ac:dyDescent="0.25">
      <c r="C1283" s="2" t="s">
        <v>3225</v>
      </c>
      <c r="D1283" s="2" t="s">
        <v>42</v>
      </c>
      <c r="E1283" s="2">
        <v>10</v>
      </c>
      <c r="F1283" s="2">
        <v>73.18</v>
      </c>
    </row>
    <row r="1284" spans="3:6" x14ac:dyDescent="0.25">
      <c r="C1284" s="2" t="s">
        <v>3226</v>
      </c>
      <c r="D1284" s="2" t="s">
        <v>42</v>
      </c>
      <c r="E1284" s="2">
        <v>141</v>
      </c>
      <c r="F1284" s="2">
        <v>2816.69</v>
      </c>
    </row>
    <row r="1285" spans="3:6" x14ac:dyDescent="0.25">
      <c r="C1285" s="2" t="s">
        <v>3227</v>
      </c>
      <c r="D1285" s="2" t="s">
        <v>42</v>
      </c>
      <c r="E1285" s="2">
        <v>28</v>
      </c>
      <c r="F1285" s="2">
        <v>538.6</v>
      </c>
    </row>
    <row r="1286" spans="3:6" x14ac:dyDescent="0.25">
      <c r="C1286" s="2" t="s">
        <v>3228</v>
      </c>
      <c r="D1286" s="2" t="s">
        <v>42</v>
      </c>
      <c r="E1286" s="2">
        <v>20</v>
      </c>
      <c r="F1286" s="2">
        <v>390.59</v>
      </c>
    </row>
    <row r="1287" spans="3:6" x14ac:dyDescent="0.25">
      <c r="C1287" s="2" t="s">
        <v>3229</v>
      </c>
      <c r="D1287" s="2" t="s">
        <v>42</v>
      </c>
      <c r="E1287" s="2">
        <v>120</v>
      </c>
      <c r="F1287" s="2">
        <v>2548.91</v>
      </c>
    </row>
    <row r="1288" spans="3:6" x14ac:dyDescent="0.25">
      <c r="C1288" s="2" t="s">
        <v>3230</v>
      </c>
      <c r="D1288" s="2" t="s">
        <v>42</v>
      </c>
      <c r="E1288" s="2">
        <v>45</v>
      </c>
      <c r="F1288" s="2">
        <v>232.12</v>
      </c>
    </row>
    <row r="1289" spans="3:6" x14ac:dyDescent="0.25">
      <c r="C1289" s="2" t="s">
        <v>3231</v>
      </c>
      <c r="D1289" s="2" t="s">
        <v>42</v>
      </c>
      <c r="E1289" s="2">
        <v>60</v>
      </c>
      <c r="F1289" s="2">
        <v>303.69</v>
      </c>
    </row>
    <row r="1290" spans="3:6" x14ac:dyDescent="0.25">
      <c r="C1290" s="2" t="s">
        <v>3232</v>
      </c>
      <c r="D1290" s="2" t="s">
        <v>42</v>
      </c>
      <c r="E1290" s="2">
        <v>79</v>
      </c>
      <c r="F1290" s="2">
        <v>1569.56</v>
      </c>
    </row>
    <row r="1291" spans="3:6" x14ac:dyDescent="0.25">
      <c r="C1291" s="2" t="s">
        <v>3233</v>
      </c>
      <c r="D1291" s="2" t="s">
        <v>42</v>
      </c>
      <c r="E1291" s="2">
        <v>56</v>
      </c>
      <c r="F1291" s="2">
        <v>1079.57</v>
      </c>
    </row>
    <row r="1292" spans="3:6" x14ac:dyDescent="0.25">
      <c r="C1292" s="2" t="s">
        <v>3234</v>
      </c>
      <c r="D1292" s="2" t="s">
        <v>42</v>
      </c>
      <c r="E1292" s="2">
        <v>27</v>
      </c>
      <c r="F1292" s="2">
        <v>571.19</v>
      </c>
    </row>
    <row r="1293" spans="3:6" x14ac:dyDescent="0.25">
      <c r="C1293" s="2" t="s">
        <v>3235</v>
      </c>
      <c r="D1293" s="2" t="s">
        <v>42</v>
      </c>
      <c r="E1293" s="2">
        <v>141</v>
      </c>
      <c r="F1293" s="2">
        <v>2723.629</v>
      </c>
    </row>
    <row r="1294" spans="3:6" x14ac:dyDescent="0.25">
      <c r="C1294" s="2" t="s">
        <v>3236</v>
      </c>
      <c r="D1294" s="2" t="s">
        <v>42</v>
      </c>
      <c r="E1294" s="2">
        <v>62</v>
      </c>
      <c r="F1294" s="2">
        <v>1272.04</v>
      </c>
    </row>
    <row r="1295" spans="3:6" x14ac:dyDescent="0.25">
      <c r="C1295" s="2" t="s">
        <v>3237</v>
      </c>
      <c r="D1295" s="2" t="s">
        <v>42</v>
      </c>
      <c r="E1295" s="2">
        <v>79</v>
      </c>
      <c r="F1295" s="2">
        <v>1554.419</v>
      </c>
    </row>
    <row r="1296" spans="3:6" x14ac:dyDescent="0.25">
      <c r="C1296" s="2" t="s">
        <v>3238</v>
      </c>
      <c r="D1296" s="2" t="s">
        <v>42</v>
      </c>
      <c r="E1296" s="2">
        <v>62</v>
      </c>
      <c r="F1296" s="2">
        <v>1108.8</v>
      </c>
    </row>
    <row r="1297" spans="3:6" x14ac:dyDescent="0.25">
      <c r="C1297" s="2" t="s">
        <v>3239</v>
      </c>
      <c r="D1297" s="2" t="s">
        <v>42</v>
      </c>
      <c r="E1297" s="2">
        <v>69</v>
      </c>
      <c r="F1297" s="2">
        <v>1122.48</v>
      </c>
    </row>
    <row r="1298" spans="3:6" x14ac:dyDescent="0.25">
      <c r="C1298" s="2" t="s">
        <v>3240</v>
      </c>
      <c r="D1298" s="2" t="s">
        <v>42</v>
      </c>
      <c r="E1298" s="2">
        <v>12</v>
      </c>
      <c r="F1298" s="2">
        <v>251.22</v>
      </c>
    </row>
    <row r="1299" spans="3:6" x14ac:dyDescent="0.25">
      <c r="C1299" s="2" t="s">
        <v>3241</v>
      </c>
      <c r="D1299" s="2" t="s">
        <v>42</v>
      </c>
      <c r="E1299" s="2">
        <v>15</v>
      </c>
      <c r="F1299" s="2">
        <v>299.939</v>
      </c>
    </row>
    <row r="1300" spans="3:6" x14ac:dyDescent="0.25">
      <c r="C1300" s="2" t="s">
        <v>3242</v>
      </c>
      <c r="D1300" s="2" t="s">
        <v>42</v>
      </c>
      <c r="E1300" s="2">
        <v>11</v>
      </c>
      <c r="F1300" s="2">
        <v>202.57</v>
      </c>
    </row>
    <row r="1301" spans="3:6" x14ac:dyDescent="0.25">
      <c r="C1301" s="2" t="s">
        <v>3243</v>
      </c>
      <c r="D1301" s="2" t="s">
        <v>42</v>
      </c>
      <c r="E1301" s="2">
        <v>18</v>
      </c>
      <c r="F1301" s="2">
        <v>367.62</v>
      </c>
    </row>
    <row r="1302" spans="3:6" x14ac:dyDescent="0.25">
      <c r="C1302" s="2" t="s">
        <v>3244</v>
      </c>
      <c r="D1302" s="2" t="s">
        <v>42</v>
      </c>
      <c r="E1302" s="2">
        <v>67</v>
      </c>
      <c r="F1302" s="2">
        <v>1291.08</v>
      </c>
    </row>
    <row r="1303" spans="3:6" x14ac:dyDescent="0.25">
      <c r="C1303" s="2" t="s">
        <v>3245</v>
      </c>
      <c r="D1303" s="2" t="s">
        <v>42</v>
      </c>
      <c r="E1303" s="2">
        <v>58</v>
      </c>
      <c r="F1303" s="2">
        <v>1077.24</v>
      </c>
    </row>
    <row r="1304" spans="3:6" x14ac:dyDescent="0.25">
      <c r="C1304" s="2" t="s">
        <v>3246</v>
      </c>
      <c r="D1304" s="2" t="s">
        <v>42</v>
      </c>
      <c r="E1304" s="2">
        <v>78</v>
      </c>
      <c r="F1304" s="2">
        <v>1575.51</v>
      </c>
    </row>
    <row r="1305" spans="3:6" x14ac:dyDescent="0.25">
      <c r="C1305" s="2" t="s">
        <v>3247</v>
      </c>
      <c r="D1305" s="2" t="s">
        <v>42</v>
      </c>
      <c r="E1305" s="2">
        <v>16</v>
      </c>
      <c r="F1305" s="2">
        <v>325.14</v>
      </c>
    </row>
    <row r="1306" spans="3:6" x14ac:dyDescent="0.25">
      <c r="C1306" s="2" t="s">
        <v>3248</v>
      </c>
      <c r="D1306" s="2" t="s">
        <v>42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10</v>
      </c>
      <c r="C1308" s="2" t="s">
        <v>3249</v>
      </c>
      <c r="D1308" s="2" t="s">
        <v>12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3250</v>
      </c>
      <c r="D1309" s="2" t="s">
        <v>12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202</v>
      </c>
      <c r="C1311" s="2" t="s">
        <v>3251</v>
      </c>
      <c r="D1311" s="2" t="s">
        <v>204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3252</v>
      </c>
      <c r="D1312" s="2" t="s">
        <v>204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202</v>
      </c>
      <c r="C1314" s="2" t="s">
        <v>3253</v>
      </c>
      <c r="D1314" s="2" t="s">
        <v>204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1101</v>
      </c>
      <c r="C1316" s="2" t="s">
        <v>3254</v>
      </c>
      <c r="D1316" s="2" t="s">
        <v>20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3255</v>
      </c>
      <c r="D1317" s="2" t="s">
        <v>20</v>
      </c>
      <c r="E1317" s="2">
        <v>155</v>
      </c>
      <c r="F1317" s="2">
        <v>2856.028</v>
      </c>
    </row>
    <row r="1318" spans="3:6" x14ac:dyDescent="0.25">
      <c r="C1318" s="2" t="s">
        <v>3256</v>
      </c>
      <c r="D1318" s="2" t="s">
        <v>20</v>
      </c>
      <c r="E1318" s="2">
        <v>156</v>
      </c>
      <c r="F1318" s="2">
        <v>2967.33</v>
      </c>
    </row>
    <row r="1319" spans="3:6" x14ac:dyDescent="0.25">
      <c r="C1319" s="2" t="s">
        <v>3257</v>
      </c>
      <c r="D1319" s="2" t="s">
        <v>20</v>
      </c>
      <c r="E1319" s="2">
        <v>261</v>
      </c>
      <c r="F1319" s="2">
        <v>4771.537</v>
      </c>
    </row>
    <row r="1320" spans="3:6" x14ac:dyDescent="0.25">
      <c r="C1320" s="2" t="s">
        <v>3258</v>
      </c>
      <c r="D1320" s="2" t="s">
        <v>20</v>
      </c>
      <c r="E1320" s="2">
        <v>156</v>
      </c>
      <c r="F1320" s="2">
        <v>3072.559</v>
      </c>
    </row>
    <row r="1321" spans="3:6" x14ac:dyDescent="0.25">
      <c r="C1321" s="2" t="s">
        <v>3259</v>
      </c>
      <c r="D1321" s="2" t="s">
        <v>20</v>
      </c>
      <c r="E1321" s="2">
        <v>105</v>
      </c>
      <c r="F1321" s="2">
        <v>2058.15</v>
      </c>
    </row>
    <row r="1322" spans="3:6" x14ac:dyDescent="0.25">
      <c r="C1322" s="2" t="s">
        <v>3260</v>
      </c>
      <c r="D1322" s="2" t="s">
        <v>20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335</v>
      </c>
      <c r="C1324" s="2" t="s">
        <v>3261</v>
      </c>
      <c r="D1324" s="2" t="s">
        <v>20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3262</v>
      </c>
      <c r="D1325" s="2" t="s">
        <v>20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2504</v>
      </c>
      <c r="C1327" s="2" t="s">
        <v>3263</v>
      </c>
      <c r="D1327" s="2" t="s">
        <v>204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3264</v>
      </c>
      <c r="D1328" s="2" t="s">
        <v>204</v>
      </c>
      <c r="E1328" s="2">
        <v>70</v>
      </c>
      <c r="F1328" s="2">
        <v>1394.15</v>
      </c>
    </row>
    <row r="1329" spans="3:6" x14ac:dyDescent="0.25">
      <c r="C1329" s="2" t="s">
        <v>3265</v>
      </c>
      <c r="D1329" s="2" t="s">
        <v>204</v>
      </c>
      <c r="E1329" s="2">
        <v>70</v>
      </c>
      <c r="F1329" s="2">
        <v>1401.03</v>
      </c>
    </row>
    <row r="1330" spans="3:6" x14ac:dyDescent="0.25">
      <c r="C1330" s="2" t="s">
        <v>3266</v>
      </c>
      <c r="D1330" s="2" t="s">
        <v>204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172</v>
      </c>
      <c r="C1332" s="2" t="s">
        <v>3267</v>
      </c>
      <c r="D1332" s="2" t="s">
        <v>122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3268</v>
      </c>
      <c r="D1333" s="2" t="s">
        <v>122</v>
      </c>
      <c r="E1333" s="2">
        <v>121</v>
      </c>
      <c r="F1333" s="2">
        <v>2385.739</v>
      </c>
    </row>
    <row r="1334" spans="3:6" x14ac:dyDescent="0.25">
      <c r="C1334" s="2" t="s">
        <v>3269</v>
      </c>
      <c r="D1334" s="2" t="s">
        <v>122</v>
      </c>
      <c r="E1334" s="2">
        <v>121</v>
      </c>
      <c r="F1334" s="2">
        <v>2437.999</v>
      </c>
    </row>
    <row r="1335" spans="3:6" x14ac:dyDescent="0.25">
      <c r="C1335" s="2" t="s">
        <v>3270</v>
      </c>
      <c r="D1335" s="2" t="s">
        <v>122</v>
      </c>
      <c r="E1335" s="2">
        <v>103</v>
      </c>
      <c r="F1335" s="2">
        <v>2103.63</v>
      </c>
    </row>
    <row r="1336" spans="3:6" x14ac:dyDescent="0.25">
      <c r="C1336" s="2" t="s">
        <v>3271</v>
      </c>
      <c r="D1336" s="2" t="s">
        <v>122</v>
      </c>
      <c r="E1336" s="2">
        <v>18</v>
      </c>
      <c r="F1336" s="2">
        <v>355.48</v>
      </c>
    </row>
    <row r="1337" spans="3:6" x14ac:dyDescent="0.25">
      <c r="C1337" s="2" t="s">
        <v>3272</v>
      </c>
      <c r="D1337" s="2" t="s">
        <v>122</v>
      </c>
      <c r="E1337" s="2">
        <v>60</v>
      </c>
      <c r="F1337" s="2">
        <v>1193.18</v>
      </c>
    </row>
    <row r="1338" spans="3:6" x14ac:dyDescent="0.25">
      <c r="C1338" s="2" t="s">
        <v>3273</v>
      </c>
      <c r="D1338" s="2" t="s">
        <v>122</v>
      </c>
      <c r="E1338" s="2">
        <v>62</v>
      </c>
      <c r="F1338" s="2">
        <v>1228.65</v>
      </c>
    </row>
    <row r="1339" spans="3:6" x14ac:dyDescent="0.25">
      <c r="C1339" s="2" t="s">
        <v>3274</v>
      </c>
      <c r="D1339" s="2" t="s">
        <v>122</v>
      </c>
      <c r="E1339" s="2">
        <v>12</v>
      </c>
      <c r="F1339" s="2">
        <v>235.41</v>
      </c>
    </row>
    <row r="1340" spans="3:6" x14ac:dyDescent="0.25">
      <c r="C1340" s="2" t="s">
        <v>3275</v>
      </c>
      <c r="D1340" s="2" t="s">
        <v>122</v>
      </c>
      <c r="E1340" s="2">
        <v>141</v>
      </c>
      <c r="F1340" s="2">
        <v>2862.269</v>
      </c>
    </row>
    <row r="1341" spans="3:6" x14ac:dyDescent="0.25">
      <c r="C1341" s="2" t="s">
        <v>3276</v>
      </c>
      <c r="D1341" s="2" t="s">
        <v>122</v>
      </c>
      <c r="E1341" s="2">
        <v>141</v>
      </c>
      <c r="F1341" s="2">
        <v>2953.77</v>
      </c>
    </row>
    <row r="1342" spans="3:6" x14ac:dyDescent="0.25">
      <c r="C1342" s="2" t="s">
        <v>3277</v>
      </c>
      <c r="D1342" s="2" t="s">
        <v>122</v>
      </c>
      <c r="E1342" s="2">
        <v>62</v>
      </c>
      <c r="F1342" s="2">
        <v>1285.59</v>
      </c>
    </row>
    <row r="1343" spans="3:6" x14ac:dyDescent="0.25">
      <c r="C1343" s="2" t="s">
        <v>3278</v>
      </c>
      <c r="D1343" s="2" t="s">
        <v>122</v>
      </c>
      <c r="E1343" s="2">
        <v>54</v>
      </c>
      <c r="F1343" s="2">
        <v>1095.15</v>
      </c>
    </row>
    <row r="1344" spans="3:6" x14ac:dyDescent="0.25">
      <c r="C1344" s="2" t="s">
        <v>3279</v>
      </c>
      <c r="D1344" s="2" t="s">
        <v>122</v>
      </c>
      <c r="E1344" s="2">
        <v>25</v>
      </c>
      <c r="F1344" s="2">
        <v>499.5</v>
      </c>
    </row>
    <row r="1345" spans="3:6" x14ac:dyDescent="0.25">
      <c r="C1345" s="2" t="s">
        <v>3280</v>
      </c>
      <c r="D1345" s="2" t="s">
        <v>122</v>
      </c>
      <c r="E1345" s="2">
        <v>141</v>
      </c>
      <c r="F1345" s="2">
        <v>2808.11</v>
      </c>
    </row>
    <row r="1346" spans="3:6" x14ac:dyDescent="0.25">
      <c r="C1346" s="2" t="s">
        <v>3281</v>
      </c>
      <c r="D1346" s="2" t="s">
        <v>122</v>
      </c>
      <c r="E1346" s="2">
        <v>141</v>
      </c>
      <c r="F1346" s="2">
        <v>2542.059</v>
      </c>
    </row>
    <row r="1347" spans="3:6" x14ac:dyDescent="0.25">
      <c r="C1347" s="2" t="s">
        <v>3282</v>
      </c>
      <c r="D1347" s="2" t="s">
        <v>122</v>
      </c>
      <c r="E1347" s="2">
        <v>141</v>
      </c>
      <c r="F1347" s="2">
        <v>2667.968</v>
      </c>
    </row>
    <row r="1348" spans="3:6" x14ac:dyDescent="0.25">
      <c r="C1348" s="2" t="s">
        <v>3283</v>
      </c>
      <c r="D1348" s="2" t="s">
        <v>122</v>
      </c>
      <c r="E1348" s="2">
        <v>141</v>
      </c>
      <c r="F1348" s="2">
        <v>2596.758</v>
      </c>
    </row>
    <row r="1349" spans="3:6" x14ac:dyDescent="0.25">
      <c r="C1349" s="2" t="s">
        <v>3284</v>
      </c>
      <c r="D1349" s="2" t="s">
        <v>122</v>
      </c>
      <c r="E1349" s="2">
        <v>79</v>
      </c>
      <c r="F1349" s="2">
        <v>1602.81</v>
      </c>
    </row>
    <row r="1350" spans="3:6" x14ac:dyDescent="0.25">
      <c r="C1350" s="2" t="s">
        <v>3285</v>
      </c>
      <c r="D1350" s="2" t="s">
        <v>122</v>
      </c>
      <c r="E1350" s="2">
        <v>62</v>
      </c>
      <c r="F1350" s="2">
        <v>1198.35</v>
      </c>
    </row>
    <row r="1351" spans="3:6" x14ac:dyDescent="0.25">
      <c r="C1351" s="2" t="s">
        <v>3286</v>
      </c>
      <c r="D1351" s="2" t="s">
        <v>122</v>
      </c>
      <c r="E1351" s="2">
        <v>59</v>
      </c>
      <c r="F1351" s="2">
        <v>1133.66</v>
      </c>
    </row>
    <row r="1352" spans="3:6" x14ac:dyDescent="0.25">
      <c r="C1352" s="2" t="s">
        <v>3287</v>
      </c>
      <c r="D1352" s="2" t="s">
        <v>122</v>
      </c>
      <c r="E1352" s="2">
        <v>43</v>
      </c>
      <c r="F1352" s="2">
        <v>820.86</v>
      </c>
    </row>
    <row r="1353" spans="3:6" x14ac:dyDescent="0.25">
      <c r="C1353" s="2" t="s">
        <v>3288</v>
      </c>
      <c r="D1353" s="2" t="s">
        <v>122</v>
      </c>
      <c r="E1353" s="2">
        <v>63</v>
      </c>
      <c r="F1353" s="2">
        <v>1170.07</v>
      </c>
    </row>
    <row r="1354" spans="3:6" x14ac:dyDescent="0.25">
      <c r="C1354" s="2" t="s">
        <v>3289</v>
      </c>
      <c r="D1354" s="2" t="s">
        <v>122</v>
      </c>
      <c r="E1354" s="2">
        <v>100</v>
      </c>
      <c r="F1354" s="2">
        <v>387.47</v>
      </c>
    </row>
    <row r="1355" spans="3:6" x14ac:dyDescent="0.25">
      <c r="C1355" s="2" t="s">
        <v>3290</v>
      </c>
      <c r="D1355" s="2" t="s">
        <v>122</v>
      </c>
      <c r="E1355" s="2">
        <v>120</v>
      </c>
      <c r="F1355" s="2">
        <v>512.97</v>
      </c>
    </row>
    <row r="1356" spans="3:6" x14ac:dyDescent="0.25">
      <c r="C1356" s="2" t="s">
        <v>3291</v>
      </c>
      <c r="D1356" s="2" t="s">
        <v>122</v>
      </c>
      <c r="E1356" s="2">
        <v>43</v>
      </c>
      <c r="F1356" s="2">
        <v>1230.989</v>
      </c>
    </row>
    <row r="1357" spans="3:6" x14ac:dyDescent="0.25">
      <c r="C1357" s="2" t="s">
        <v>3292</v>
      </c>
      <c r="D1357" s="2" t="s">
        <v>122</v>
      </c>
      <c r="E1357" s="2">
        <v>30</v>
      </c>
      <c r="F1357" s="2">
        <v>745.69</v>
      </c>
    </row>
    <row r="1358" spans="3:6" x14ac:dyDescent="0.25">
      <c r="C1358" s="2" t="s">
        <v>3293</v>
      </c>
      <c r="D1358" s="2" t="s">
        <v>122</v>
      </c>
      <c r="E1358" s="2">
        <v>52</v>
      </c>
      <c r="F1358" s="2">
        <v>997.099</v>
      </c>
    </row>
    <row r="1359" spans="3:6" x14ac:dyDescent="0.25">
      <c r="C1359" s="2" t="s">
        <v>3294</v>
      </c>
      <c r="D1359" s="2" t="s">
        <v>122</v>
      </c>
      <c r="E1359" s="2">
        <v>50</v>
      </c>
      <c r="F1359" s="2">
        <v>958.189</v>
      </c>
    </row>
    <row r="1360" spans="3:6" x14ac:dyDescent="0.25">
      <c r="C1360" s="2" t="s">
        <v>3295</v>
      </c>
      <c r="D1360" s="2" t="s">
        <v>122</v>
      </c>
      <c r="E1360" s="2">
        <v>33</v>
      </c>
      <c r="F1360" s="2">
        <v>656.7</v>
      </c>
    </row>
    <row r="1361" spans="3:6" x14ac:dyDescent="0.25">
      <c r="C1361" s="2" t="s">
        <v>3296</v>
      </c>
      <c r="D1361" s="2" t="s">
        <v>122</v>
      </c>
      <c r="E1361" s="2">
        <v>68</v>
      </c>
      <c r="F1361" s="2">
        <v>1369.16</v>
      </c>
    </row>
    <row r="1362" spans="3:6" x14ac:dyDescent="0.25">
      <c r="C1362" s="2" t="s">
        <v>3297</v>
      </c>
      <c r="D1362" s="2" t="s">
        <v>122</v>
      </c>
      <c r="E1362" s="2">
        <v>73</v>
      </c>
      <c r="F1362" s="2">
        <v>1461.46</v>
      </c>
    </row>
    <row r="1363" spans="3:6" x14ac:dyDescent="0.25">
      <c r="C1363" s="2" t="s">
        <v>3298</v>
      </c>
      <c r="D1363" s="2" t="s">
        <v>122</v>
      </c>
      <c r="E1363" s="2">
        <v>121</v>
      </c>
      <c r="F1363" s="2">
        <v>2404.409</v>
      </c>
    </row>
    <row r="1364" spans="3:6" x14ac:dyDescent="0.25">
      <c r="C1364" s="2" t="s">
        <v>3299</v>
      </c>
      <c r="D1364" s="2" t="s">
        <v>122</v>
      </c>
      <c r="E1364" s="2">
        <v>20</v>
      </c>
      <c r="F1364" s="2">
        <v>420.71</v>
      </c>
    </row>
    <row r="1365" spans="3:6" x14ac:dyDescent="0.25">
      <c r="C1365" s="2" t="s">
        <v>3300</v>
      </c>
      <c r="D1365" s="2" t="s">
        <v>122</v>
      </c>
      <c r="E1365" s="2">
        <v>57</v>
      </c>
      <c r="F1365" s="2">
        <v>1048.11</v>
      </c>
    </row>
    <row r="1366" spans="3:6" x14ac:dyDescent="0.25">
      <c r="C1366" s="2" t="s">
        <v>3301</v>
      </c>
      <c r="D1366" s="2" t="s">
        <v>122</v>
      </c>
      <c r="E1366" s="2">
        <v>27</v>
      </c>
      <c r="F1366" s="2">
        <v>485.43</v>
      </c>
    </row>
    <row r="1367" spans="3:6" x14ac:dyDescent="0.25">
      <c r="C1367" s="2" t="s">
        <v>3302</v>
      </c>
      <c r="D1367" s="2" t="s">
        <v>122</v>
      </c>
      <c r="E1367" s="2">
        <v>18</v>
      </c>
      <c r="F1367" s="2">
        <v>327.99</v>
      </c>
    </row>
    <row r="1368" spans="3:6" x14ac:dyDescent="0.25">
      <c r="C1368" s="2" t="s">
        <v>3303</v>
      </c>
      <c r="D1368" s="2" t="s">
        <v>122</v>
      </c>
      <c r="E1368" s="2">
        <v>51</v>
      </c>
      <c r="F1368" s="2">
        <v>974.41</v>
      </c>
    </row>
    <row r="1369" spans="3:6" x14ac:dyDescent="0.25">
      <c r="C1369" s="2" t="s">
        <v>3304</v>
      </c>
      <c r="D1369" s="2" t="s">
        <v>122</v>
      </c>
      <c r="E1369" s="2">
        <v>31</v>
      </c>
      <c r="F1369" s="2">
        <v>612.93</v>
      </c>
    </row>
    <row r="1370" spans="3:6" x14ac:dyDescent="0.25">
      <c r="C1370" s="2" t="s">
        <v>3305</v>
      </c>
      <c r="D1370" s="2" t="s">
        <v>122</v>
      </c>
      <c r="E1370" s="2">
        <v>20</v>
      </c>
      <c r="F1370" s="2">
        <v>409.52</v>
      </c>
    </row>
    <row r="1371" spans="3:6" x14ac:dyDescent="0.25">
      <c r="C1371" s="2" t="s">
        <v>3306</v>
      </c>
      <c r="D1371" s="2" t="s">
        <v>122</v>
      </c>
      <c r="E1371" s="2">
        <v>13</v>
      </c>
      <c r="F1371" s="2">
        <v>252.32</v>
      </c>
    </row>
    <row r="1372" spans="3:6" x14ac:dyDescent="0.25">
      <c r="C1372" s="2" t="s">
        <v>3307</v>
      </c>
      <c r="D1372" s="2" t="s">
        <v>122</v>
      </c>
      <c r="E1372" s="2">
        <v>35</v>
      </c>
      <c r="F1372" s="2">
        <v>672.009</v>
      </c>
    </row>
    <row r="1373" spans="3:6" x14ac:dyDescent="0.25">
      <c r="C1373" s="2" t="s">
        <v>3308</v>
      </c>
      <c r="D1373" s="2" t="s">
        <v>122</v>
      </c>
      <c r="E1373" s="2">
        <v>54</v>
      </c>
      <c r="F1373" s="2">
        <v>1015.899</v>
      </c>
    </row>
    <row r="1374" spans="3:6" x14ac:dyDescent="0.25">
      <c r="C1374" s="2" t="s">
        <v>3309</v>
      </c>
      <c r="D1374" s="2" t="s">
        <v>122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10</v>
      </c>
      <c r="C1376" s="2" t="s">
        <v>3310</v>
      </c>
      <c r="D1376" s="2" t="s">
        <v>12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3311</v>
      </c>
      <c r="D1377" s="2" t="s">
        <v>12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1101</v>
      </c>
      <c r="C1379" s="2" t="s">
        <v>3312</v>
      </c>
      <c r="D1379" s="2" t="s">
        <v>20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3313</v>
      </c>
      <c r="D1380" s="2" t="s">
        <v>20</v>
      </c>
      <c r="E1380" s="2">
        <v>105</v>
      </c>
      <c r="F1380" s="2">
        <v>2011.28</v>
      </c>
    </row>
    <row r="1381" spans="3:6" x14ac:dyDescent="0.25">
      <c r="C1381" s="2" t="s">
        <v>3314</v>
      </c>
      <c r="D1381" s="2" t="s">
        <v>20</v>
      </c>
      <c r="E1381" s="2">
        <v>312</v>
      </c>
      <c r="F1381" s="2">
        <v>6182.509</v>
      </c>
    </row>
    <row r="1382" spans="3:6" x14ac:dyDescent="0.25">
      <c r="C1382" s="2" t="s">
        <v>3315</v>
      </c>
      <c r="D1382" s="2" t="s">
        <v>20</v>
      </c>
      <c r="E1382" s="2">
        <v>261</v>
      </c>
      <c r="F1382" s="2">
        <v>4925.84</v>
      </c>
    </row>
    <row r="1383" spans="3:6" x14ac:dyDescent="0.25">
      <c r="C1383" s="2" t="s">
        <v>3316</v>
      </c>
      <c r="D1383" s="2" t="s">
        <v>20</v>
      </c>
      <c r="E1383" s="2">
        <v>261</v>
      </c>
      <c r="F1383" s="2">
        <v>5034.369</v>
      </c>
    </row>
    <row r="1384" spans="3:6" x14ac:dyDescent="0.25">
      <c r="C1384" s="2" t="s">
        <v>3317</v>
      </c>
      <c r="D1384" s="2" t="s">
        <v>20</v>
      </c>
      <c r="E1384" s="2">
        <v>255</v>
      </c>
      <c r="F1384" s="2">
        <v>4739.127</v>
      </c>
    </row>
    <row r="1385" spans="3:6" x14ac:dyDescent="0.25">
      <c r="C1385" s="2" t="s">
        <v>3318</v>
      </c>
      <c r="D1385" s="2" t="s">
        <v>20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25</v>
      </c>
      <c r="C1387" s="2" t="s">
        <v>3319</v>
      </c>
      <c r="D1387" s="2" t="s">
        <v>27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3320</v>
      </c>
      <c r="D1388" s="2" t="s">
        <v>27</v>
      </c>
      <c r="E1388" s="2">
        <v>93</v>
      </c>
      <c r="F1388" s="2">
        <v>1519.029</v>
      </c>
    </row>
    <row r="1389" spans="3:6" x14ac:dyDescent="0.25">
      <c r="C1389" s="2" t="s">
        <v>3321</v>
      </c>
      <c r="D1389" s="2" t="s">
        <v>27</v>
      </c>
      <c r="E1389" s="2">
        <v>7</v>
      </c>
      <c r="F1389" s="2">
        <v>157.2</v>
      </c>
    </row>
    <row r="1390" spans="3:6" x14ac:dyDescent="0.25">
      <c r="C1390" s="2" t="s">
        <v>3322</v>
      </c>
      <c r="D1390" s="2" t="s">
        <v>27</v>
      </c>
      <c r="E1390" s="2">
        <v>16</v>
      </c>
      <c r="F1390" s="2">
        <v>265.26</v>
      </c>
    </row>
    <row r="1391" spans="3:6" x14ac:dyDescent="0.25">
      <c r="C1391" s="2" t="s">
        <v>3323</v>
      </c>
      <c r="D1391" s="2" t="s">
        <v>27</v>
      </c>
      <c r="E1391" s="2">
        <v>21</v>
      </c>
      <c r="F1391" s="2">
        <v>416.63</v>
      </c>
    </row>
    <row r="1392" spans="3:6" x14ac:dyDescent="0.25">
      <c r="C1392" s="2" t="s">
        <v>3324</v>
      </c>
      <c r="D1392" s="2" t="s">
        <v>27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40</v>
      </c>
      <c r="C1394" s="2" t="s">
        <v>3325</v>
      </c>
      <c r="D1394" s="2" t="s">
        <v>42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3326</v>
      </c>
      <c r="D1395" s="2" t="s">
        <v>42</v>
      </c>
      <c r="E1395" s="2">
        <v>141</v>
      </c>
      <c r="F1395" s="2">
        <v>2877.139</v>
      </c>
    </row>
    <row r="1396" spans="3:6" x14ac:dyDescent="0.25">
      <c r="C1396" s="2" t="s">
        <v>3327</v>
      </c>
      <c r="D1396" s="2" t="s">
        <v>42</v>
      </c>
      <c r="E1396" s="2">
        <v>141</v>
      </c>
      <c r="F1396" s="2">
        <v>3051.61</v>
      </c>
    </row>
    <row r="1397" spans="3:6" x14ac:dyDescent="0.25">
      <c r="C1397" s="2" t="s">
        <v>3328</v>
      </c>
      <c r="D1397" s="2" t="s">
        <v>42</v>
      </c>
      <c r="E1397" s="2">
        <v>123</v>
      </c>
      <c r="F1397" s="2">
        <v>2448.54</v>
      </c>
    </row>
    <row r="1398" spans="3:6" x14ac:dyDescent="0.25">
      <c r="C1398" s="2" t="s">
        <v>3329</v>
      </c>
      <c r="D1398" s="2" t="s">
        <v>42</v>
      </c>
      <c r="E1398" s="2">
        <v>141</v>
      </c>
      <c r="F1398" s="2">
        <v>2744.819</v>
      </c>
    </row>
    <row r="1399" spans="3:6" x14ac:dyDescent="0.25">
      <c r="C1399" s="2" t="s">
        <v>3330</v>
      </c>
      <c r="D1399" s="2" t="s">
        <v>42</v>
      </c>
      <c r="E1399" s="2">
        <v>141</v>
      </c>
      <c r="F1399" s="2">
        <v>3421.14</v>
      </c>
    </row>
    <row r="1400" spans="3:6" x14ac:dyDescent="0.25">
      <c r="C1400" s="2" t="s">
        <v>3331</v>
      </c>
      <c r="D1400" s="2" t="s">
        <v>42</v>
      </c>
      <c r="E1400" s="2">
        <v>123</v>
      </c>
      <c r="F1400" s="2">
        <v>2288.819</v>
      </c>
    </row>
    <row r="1401" spans="3:6" x14ac:dyDescent="0.25">
      <c r="C1401" s="2" t="s">
        <v>3332</v>
      </c>
      <c r="D1401" s="2" t="s">
        <v>42</v>
      </c>
      <c r="E1401" s="2">
        <v>100</v>
      </c>
      <c r="F1401" s="2">
        <v>1990.169</v>
      </c>
    </row>
    <row r="1402" spans="3:6" x14ac:dyDescent="0.25">
      <c r="C1402" s="2" t="s">
        <v>3333</v>
      </c>
      <c r="D1402" s="2" t="s">
        <v>42</v>
      </c>
      <c r="E1402" s="2">
        <v>73</v>
      </c>
      <c r="F1402" s="2">
        <v>1395.509</v>
      </c>
    </row>
    <row r="1403" spans="3:6" x14ac:dyDescent="0.25">
      <c r="C1403" s="2" t="s">
        <v>3334</v>
      </c>
      <c r="D1403" s="2" t="s">
        <v>42</v>
      </c>
      <c r="E1403" s="2">
        <v>68</v>
      </c>
      <c r="F1403" s="2">
        <v>1320.13</v>
      </c>
    </row>
    <row r="1404" spans="3:6" x14ac:dyDescent="0.25">
      <c r="C1404" s="2" t="s">
        <v>3335</v>
      </c>
      <c r="D1404" s="2" t="s">
        <v>42</v>
      </c>
      <c r="E1404" s="2">
        <v>40</v>
      </c>
      <c r="F1404" s="2">
        <v>732.249</v>
      </c>
    </row>
    <row r="1405" spans="3:6" x14ac:dyDescent="0.25">
      <c r="C1405" s="2" t="s">
        <v>3336</v>
      </c>
      <c r="D1405" s="2" t="s">
        <v>42</v>
      </c>
      <c r="E1405" s="2">
        <v>77</v>
      </c>
      <c r="F1405" s="2">
        <v>1480.51</v>
      </c>
    </row>
    <row r="1406" spans="3:6" x14ac:dyDescent="0.25">
      <c r="C1406" s="2" t="s">
        <v>3337</v>
      </c>
      <c r="D1406" s="2" t="s">
        <v>42</v>
      </c>
      <c r="E1406" s="2">
        <v>35</v>
      </c>
      <c r="F1406" s="2">
        <v>647.55</v>
      </c>
    </row>
    <row r="1407" spans="3:6" x14ac:dyDescent="0.25">
      <c r="C1407" s="2" t="s">
        <v>3338</v>
      </c>
      <c r="D1407" s="2" t="s">
        <v>42</v>
      </c>
      <c r="E1407" s="2">
        <v>25</v>
      </c>
      <c r="F1407" s="2">
        <v>497.99</v>
      </c>
    </row>
    <row r="1408" spans="3:6" x14ac:dyDescent="0.25">
      <c r="C1408" s="2" t="s">
        <v>3339</v>
      </c>
      <c r="D1408" s="2" t="s">
        <v>42</v>
      </c>
      <c r="E1408" s="2">
        <v>109</v>
      </c>
      <c r="F1408" s="2">
        <v>2205.69</v>
      </c>
    </row>
    <row r="1409" spans="3:6" x14ac:dyDescent="0.25">
      <c r="C1409" s="2" t="s">
        <v>3340</v>
      </c>
      <c r="D1409" s="2" t="s">
        <v>42</v>
      </c>
      <c r="E1409" s="2">
        <v>142</v>
      </c>
      <c r="F1409" s="2">
        <v>2760.54</v>
      </c>
    </row>
    <row r="1410" spans="3:6" x14ac:dyDescent="0.25">
      <c r="C1410" s="2" t="s">
        <v>3341</v>
      </c>
      <c r="D1410" s="2" t="s">
        <v>42</v>
      </c>
      <c r="E1410" s="2">
        <v>141</v>
      </c>
      <c r="F1410" s="2">
        <v>2642.29</v>
      </c>
    </row>
    <row r="1411" spans="3:6" x14ac:dyDescent="0.25">
      <c r="C1411" s="2" t="s">
        <v>3342</v>
      </c>
      <c r="D1411" s="2" t="s">
        <v>42</v>
      </c>
      <c r="E1411" s="2">
        <v>45</v>
      </c>
      <c r="F1411" s="2">
        <v>234.69</v>
      </c>
    </row>
    <row r="1412" spans="3:6" x14ac:dyDescent="0.25">
      <c r="C1412" s="2" t="s">
        <v>3343</v>
      </c>
      <c r="D1412" s="2" t="s">
        <v>42</v>
      </c>
      <c r="E1412" s="2">
        <v>123</v>
      </c>
      <c r="F1412" s="2">
        <v>2483.12</v>
      </c>
    </row>
    <row r="1413" spans="3:6" x14ac:dyDescent="0.25">
      <c r="C1413" s="2" t="s">
        <v>3344</v>
      </c>
      <c r="D1413" s="2" t="s">
        <v>42</v>
      </c>
      <c r="E1413" s="2">
        <v>125</v>
      </c>
      <c r="F1413" s="2">
        <v>2073.146</v>
      </c>
    </row>
    <row r="1414" spans="3:6" x14ac:dyDescent="0.25">
      <c r="C1414" s="2" t="s">
        <v>3345</v>
      </c>
      <c r="D1414" s="2" t="s">
        <v>42</v>
      </c>
      <c r="E1414" s="2">
        <v>50</v>
      </c>
      <c r="F1414" s="2">
        <v>239.46</v>
      </c>
    </row>
    <row r="1415" spans="3:6" x14ac:dyDescent="0.25">
      <c r="C1415" s="2" t="s">
        <v>3346</v>
      </c>
      <c r="D1415" s="2" t="s">
        <v>42</v>
      </c>
      <c r="E1415" s="2">
        <v>13</v>
      </c>
      <c r="F1415" s="2">
        <v>248.85</v>
      </c>
    </row>
    <row r="1416" spans="3:6" x14ac:dyDescent="0.25">
      <c r="C1416" s="2" t="s">
        <v>3347</v>
      </c>
      <c r="D1416" s="2" t="s">
        <v>42</v>
      </c>
      <c r="E1416" s="2">
        <v>14</v>
      </c>
      <c r="F1416" s="2">
        <v>262.62</v>
      </c>
    </row>
    <row r="1417" spans="3:6" x14ac:dyDescent="0.25">
      <c r="C1417" s="2" t="s">
        <v>3348</v>
      </c>
      <c r="D1417" s="2" t="s">
        <v>42</v>
      </c>
      <c r="E1417" s="2">
        <v>10</v>
      </c>
      <c r="F1417" s="2">
        <v>156.18</v>
      </c>
    </row>
    <row r="1418" spans="3:6" x14ac:dyDescent="0.25">
      <c r="C1418" s="2" t="s">
        <v>3349</v>
      </c>
      <c r="D1418" s="2" t="s">
        <v>42</v>
      </c>
      <c r="E1418" s="2">
        <v>15</v>
      </c>
      <c r="F1418" s="2">
        <v>265.02</v>
      </c>
    </row>
    <row r="1419" spans="3:6" x14ac:dyDescent="0.25">
      <c r="C1419" s="2" t="s">
        <v>3350</v>
      </c>
      <c r="D1419" s="2" t="s">
        <v>42</v>
      </c>
      <c r="E1419" s="2">
        <v>48</v>
      </c>
      <c r="F1419" s="2">
        <v>872.618</v>
      </c>
    </row>
    <row r="1420" spans="3:6" x14ac:dyDescent="0.25">
      <c r="C1420" s="2" t="s">
        <v>3351</v>
      </c>
      <c r="D1420" s="2" t="s">
        <v>42</v>
      </c>
      <c r="E1420" s="2">
        <v>6</v>
      </c>
      <c r="F1420" s="2">
        <v>104.57</v>
      </c>
    </row>
    <row r="1421" spans="3:6" x14ac:dyDescent="0.25">
      <c r="C1421" s="2" t="s">
        <v>3352</v>
      </c>
      <c r="D1421" s="2" t="s">
        <v>42</v>
      </c>
      <c r="E1421" s="2">
        <v>6</v>
      </c>
      <c r="F1421" s="2">
        <v>89.919</v>
      </c>
    </row>
    <row r="1422" spans="3:6" x14ac:dyDescent="0.25">
      <c r="C1422" s="2" t="s">
        <v>3353</v>
      </c>
      <c r="D1422" s="2" t="s">
        <v>42</v>
      </c>
      <c r="E1422" s="2">
        <v>14</v>
      </c>
      <c r="F1422" s="2">
        <v>242.52</v>
      </c>
    </row>
    <row r="1423" spans="3:6" x14ac:dyDescent="0.25">
      <c r="C1423" s="2" t="s">
        <v>3354</v>
      </c>
      <c r="D1423" s="2" t="s">
        <v>42</v>
      </c>
      <c r="E1423" s="2">
        <v>18</v>
      </c>
      <c r="F1423" s="2">
        <v>336.48</v>
      </c>
    </row>
    <row r="1424" spans="3:6" x14ac:dyDescent="0.25">
      <c r="C1424" s="2" t="s">
        <v>3355</v>
      </c>
      <c r="D1424" s="2" t="s">
        <v>42</v>
      </c>
      <c r="E1424" s="2">
        <v>19</v>
      </c>
      <c r="F1424" s="2">
        <v>447.89</v>
      </c>
    </row>
    <row r="1425" spans="3:6" x14ac:dyDescent="0.25">
      <c r="C1425" s="2" t="s">
        <v>3356</v>
      </c>
      <c r="D1425" s="2" t="s">
        <v>42</v>
      </c>
      <c r="E1425" s="2">
        <v>18</v>
      </c>
      <c r="F1425" s="2">
        <v>373.8</v>
      </c>
    </row>
    <row r="1426" spans="3:6" x14ac:dyDescent="0.25">
      <c r="C1426" s="2" t="s">
        <v>3357</v>
      </c>
      <c r="D1426" s="2" t="s">
        <v>42</v>
      </c>
      <c r="E1426" s="2">
        <v>19</v>
      </c>
      <c r="F1426" s="2">
        <v>390.09</v>
      </c>
    </row>
    <row r="1427" spans="3:6" x14ac:dyDescent="0.25">
      <c r="C1427" s="2" t="s">
        <v>3358</v>
      </c>
      <c r="D1427" s="2" t="s">
        <v>42</v>
      </c>
      <c r="E1427" s="2">
        <v>26</v>
      </c>
      <c r="F1427" s="2">
        <v>482.699</v>
      </c>
    </row>
    <row r="1428" spans="3:6" x14ac:dyDescent="0.25">
      <c r="C1428" s="2" t="s">
        <v>3359</v>
      </c>
      <c r="D1428" s="2" t="s">
        <v>42</v>
      </c>
      <c r="E1428" s="2">
        <v>44</v>
      </c>
      <c r="F1428" s="2">
        <v>849.99</v>
      </c>
    </row>
    <row r="1429" spans="3:6" x14ac:dyDescent="0.25">
      <c r="C1429" s="2" t="s">
        <v>3360</v>
      </c>
      <c r="D1429" s="2" t="s">
        <v>42</v>
      </c>
      <c r="E1429" s="2">
        <v>35</v>
      </c>
      <c r="F1429" s="2">
        <v>678.68</v>
      </c>
    </row>
    <row r="1430" spans="3:6" x14ac:dyDescent="0.25">
      <c r="C1430" s="2" t="s">
        <v>3361</v>
      </c>
      <c r="D1430" s="2" t="s">
        <v>42</v>
      </c>
      <c r="E1430" s="2">
        <v>18</v>
      </c>
      <c r="F1430" s="2">
        <v>314.71</v>
      </c>
    </row>
    <row r="1431" spans="3:6" x14ac:dyDescent="0.25">
      <c r="C1431" s="2" t="s">
        <v>3362</v>
      </c>
      <c r="D1431" s="2" t="s">
        <v>42</v>
      </c>
      <c r="E1431" s="2">
        <v>18</v>
      </c>
      <c r="F1431" s="2">
        <v>311.16</v>
      </c>
    </row>
    <row r="1432" spans="3:6" x14ac:dyDescent="0.25">
      <c r="C1432" s="2" t="s">
        <v>3363</v>
      </c>
      <c r="D1432" s="2" t="s">
        <v>42</v>
      </c>
      <c r="E1432" s="2">
        <v>49</v>
      </c>
      <c r="F1432" s="2">
        <v>920.434</v>
      </c>
    </row>
    <row r="1433" spans="3:6" x14ac:dyDescent="0.25">
      <c r="C1433" s="2" t="s">
        <v>3364</v>
      </c>
      <c r="D1433" s="2" t="s">
        <v>42</v>
      </c>
      <c r="E1433" s="2">
        <v>9</v>
      </c>
      <c r="F1433" s="2">
        <v>160.33</v>
      </c>
    </row>
    <row r="1434" spans="3:6" x14ac:dyDescent="0.25">
      <c r="C1434" s="2" t="s">
        <v>3365</v>
      </c>
      <c r="D1434" s="2" t="s">
        <v>42</v>
      </c>
      <c r="E1434" s="2">
        <v>26</v>
      </c>
      <c r="F1434" s="2">
        <v>471.45</v>
      </c>
    </row>
    <row r="1435" spans="3:6" x14ac:dyDescent="0.25">
      <c r="C1435" s="2" t="s">
        <v>3366</v>
      </c>
      <c r="D1435" s="2" t="s">
        <v>42</v>
      </c>
      <c r="E1435" s="2">
        <v>31</v>
      </c>
      <c r="F1435" s="2">
        <v>580.66</v>
      </c>
    </row>
    <row r="1436" spans="3:6" x14ac:dyDescent="0.25">
      <c r="C1436" s="2" t="s">
        <v>3367</v>
      </c>
      <c r="D1436" s="2" t="s">
        <v>42</v>
      </c>
      <c r="E1436" s="2">
        <v>26</v>
      </c>
      <c r="F1436" s="2">
        <v>669.83</v>
      </c>
    </row>
    <row r="1437" spans="3:6" x14ac:dyDescent="0.25">
      <c r="C1437" s="2" t="s">
        <v>3368</v>
      </c>
      <c r="D1437" s="2" t="s">
        <v>42</v>
      </c>
      <c r="E1437" s="2">
        <v>23</v>
      </c>
      <c r="F1437" s="2">
        <v>478.7</v>
      </c>
    </row>
    <row r="1438" spans="3:6" x14ac:dyDescent="0.25">
      <c r="C1438" s="2" t="s">
        <v>3369</v>
      </c>
      <c r="D1438" s="2" t="s">
        <v>42</v>
      </c>
      <c r="E1438" s="2">
        <v>88</v>
      </c>
      <c r="F1438" s="2">
        <v>1684.57</v>
      </c>
    </row>
    <row r="1439" spans="3:6" x14ac:dyDescent="0.25">
      <c r="C1439" s="2" t="s">
        <v>3370</v>
      </c>
      <c r="D1439" s="2" t="s">
        <v>42</v>
      </c>
      <c r="E1439" s="2">
        <v>66</v>
      </c>
      <c r="F1439" s="2">
        <v>1271.83</v>
      </c>
    </row>
    <row r="1440" spans="3:6" x14ac:dyDescent="0.25">
      <c r="C1440" s="2" t="s">
        <v>3371</v>
      </c>
      <c r="D1440" s="2" t="s">
        <v>42</v>
      </c>
      <c r="E1440" s="2">
        <v>6</v>
      </c>
      <c r="F1440" s="2">
        <v>141.15</v>
      </c>
    </row>
    <row r="1441" spans="3:6" x14ac:dyDescent="0.25">
      <c r="C1441" s="2" t="s">
        <v>3372</v>
      </c>
      <c r="D1441" s="2" t="s">
        <v>42</v>
      </c>
      <c r="E1441" s="2">
        <v>5</v>
      </c>
      <c r="F1441" s="2">
        <v>35.14</v>
      </c>
    </row>
    <row r="1442" spans="3:6" x14ac:dyDescent="0.25">
      <c r="C1442" s="2" t="s">
        <v>3373</v>
      </c>
      <c r="D1442" s="2" t="s">
        <v>42</v>
      </c>
      <c r="E1442" s="2">
        <v>65</v>
      </c>
      <c r="F1442" s="2">
        <v>1253.94</v>
      </c>
    </row>
    <row r="1443" spans="3:6" x14ac:dyDescent="0.25">
      <c r="C1443" s="2" t="s">
        <v>3374</v>
      </c>
      <c r="D1443" s="2" t="s">
        <v>42</v>
      </c>
      <c r="E1443" s="2">
        <v>61</v>
      </c>
      <c r="F1443" s="2">
        <v>309.537</v>
      </c>
    </row>
    <row r="1444" spans="3:6" x14ac:dyDescent="0.25">
      <c r="C1444" s="2" t="s">
        <v>3375</v>
      </c>
      <c r="D1444" s="2" t="s">
        <v>42</v>
      </c>
      <c r="E1444" s="2">
        <v>53</v>
      </c>
      <c r="F1444" s="2">
        <v>1115.74</v>
      </c>
    </row>
    <row r="1445" spans="3:6" x14ac:dyDescent="0.25">
      <c r="C1445" s="2" t="s">
        <v>3376</v>
      </c>
      <c r="D1445" s="2" t="s">
        <v>42</v>
      </c>
      <c r="E1445" s="2">
        <v>80</v>
      </c>
      <c r="F1445" s="2">
        <v>1886.71</v>
      </c>
    </row>
    <row r="1446" spans="3:6" x14ac:dyDescent="0.25">
      <c r="C1446" s="2" t="s">
        <v>3377</v>
      </c>
      <c r="D1446" s="2" t="s">
        <v>42</v>
      </c>
      <c r="E1446" s="2">
        <v>61</v>
      </c>
      <c r="F1446" s="2">
        <v>760.544</v>
      </c>
    </row>
    <row r="1447" spans="3:6" x14ac:dyDescent="0.25">
      <c r="C1447" s="2" t="s">
        <v>3378</v>
      </c>
      <c r="D1447" s="2" t="s">
        <v>42</v>
      </c>
      <c r="E1447" s="2">
        <v>75</v>
      </c>
      <c r="F1447" s="2">
        <v>1557.82</v>
      </c>
    </row>
    <row r="1448" spans="3:6" x14ac:dyDescent="0.25">
      <c r="C1448" s="2" t="s">
        <v>3379</v>
      </c>
      <c r="D1448" s="2" t="s">
        <v>42</v>
      </c>
      <c r="E1448" s="2">
        <v>26</v>
      </c>
      <c r="F1448" s="2">
        <v>354.84</v>
      </c>
    </row>
    <row r="1449" spans="3:6" x14ac:dyDescent="0.25">
      <c r="C1449" s="2" t="s">
        <v>3380</v>
      </c>
      <c r="D1449" s="2" t="s">
        <v>42</v>
      </c>
      <c r="E1449" s="2">
        <v>45</v>
      </c>
      <c r="F1449" s="2">
        <v>215.849</v>
      </c>
    </row>
    <row r="1450" spans="3:6" x14ac:dyDescent="0.25">
      <c r="C1450" s="2" t="s">
        <v>3381</v>
      </c>
      <c r="D1450" s="2" t="s">
        <v>42</v>
      </c>
      <c r="E1450" s="2">
        <v>46</v>
      </c>
      <c r="F1450" s="2">
        <v>969.14</v>
      </c>
    </row>
    <row r="1451" spans="3:6" x14ac:dyDescent="0.25">
      <c r="C1451" s="2" t="s">
        <v>3382</v>
      </c>
      <c r="D1451" s="2" t="s">
        <v>42</v>
      </c>
      <c r="E1451" s="2">
        <v>25</v>
      </c>
      <c r="F1451" s="2">
        <v>476.31</v>
      </c>
    </row>
    <row r="1452" spans="3:6" x14ac:dyDescent="0.25">
      <c r="C1452" s="2" t="s">
        <v>3383</v>
      </c>
      <c r="D1452" s="2" t="s">
        <v>42</v>
      </c>
      <c r="E1452" s="2">
        <v>62</v>
      </c>
      <c r="F1452" s="2">
        <v>1167.49</v>
      </c>
    </row>
    <row r="1453" spans="3:6" x14ac:dyDescent="0.25">
      <c r="C1453" s="2" t="s">
        <v>3384</v>
      </c>
      <c r="D1453" s="2" t="s">
        <v>42</v>
      </c>
      <c r="E1453" s="2">
        <v>38</v>
      </c>
      <c r="F1453" s="2">
        <v>746.22</v>
      </c>
    </row>
    <row r="1454" spans="3:6" x14ac:dyDescent="0.25">
      <c r="C1454" s="2" t="s">
        <v>3385</v>
      </c>
      <c r="D1454" s="2" t="s">
        <v>42</v>
      </c>
      <c r="E1454" s="2">
        <v>66</v>
      </c>
      <c r="F1454" s="2">
        <v>1117.319</v>
      </c>
    </row>
    <row r="1455" spans="3:6" x14ac:dyDescent="0.25">
      <c r="C1455" s="2" t="s">
        <v>3386</v>
      </c>
      <c r="D1455" s="2" t="s">
        <v>42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90</v>
      </c>
      <c r="C1457" s="2" t="s">
        <v>3387</v>
      </c>
      <c r="D1457" s="2" t="s">
        <v>9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3388</v>
      </c>
      <c r="D1458" s="2" t="s">
        <v>9</v>
      </c>
      <c r="E1458" s="2">
        <v>102</v>
      </c>
      <c r="F1458" s="2">
        <v>2049.49</v>
      </c>
    </row>
    <row r="1459" spans="3:6" x14ac:dyDescent="0.25">
      <c r="C1459" s="2" t="s">
        <v>3389</v>
      </c>
      <c r="D1459" s="2" t="s">
        <v>9</v>
      </c>
      <c r="E1459" s="2">
        <v>116</v>
      </c>
      <c r="F1459" s="2">
        <v>2185.102</v>
      </c>
    </row>
    <row r="1460" spans="3:6" x14ac:dyDescent="0.25">
      <c r="C1460" s="2" t="s">
        <v>3390</v>
      </c>
      <c r="D1460" s="2" t="s">
        <v>9</v>
      </c>
      <c r="E1460" s="2">
        <v>115</v>
      </c>
      <c r="F1460" s="2">
        <v>2175.974</v>
      </c>
    </row>
    <row r="1461" spans="3:6" x14ac:dyDescent="0.25">
      <c r="C1461" s="2" t="s">
        <v>3391</v>
      </c>
      <c r="D1461" s="2" t="s">
        <v>9</v>
      </c>
      <c r="E1461" s="2">
        <v>26</v>
      </c>
      <c r="F1461" s="2">
        <v>417.379</v>
      </c>
    </row>
    <row r="1462" spans="3:6" x14ac:dyDescent="0.25">
      <c r="C1462" s="2" t="s">
        <v>3392</v>
      </c>
      <c r="D1462" s="2" t="s">
        <v>9</v>
      </c>
      <c r="E1462" s="2">
        <v>121</v>
      </c>
      <c r="F1462" s="2">
        <v>2441.27</v>
      </c>
    </row>
    <row r="1463" spans="3:6" x14ac:dyDescent="0.25">
      <c r="C1463" s="2" t="s">
        <v>3393</v>
      </c>
      <c r="D1463" s="2" t="s">
        <v>9</v>
      </c>
      <c r="E1463" s="2">
        <v>141</v>
      </c>
      <c r="F1463" s="2">
        <v>2821.249</v>
      </c>
    </row>
    <row r="1464" spans="3:6" x14ac:dyDescent="0.25">
      <c r="C1464" s="2" t="s">
        <v>3394</v>
      </c>
      <c r="D1464" s="2" t="s">
        <v>9</v>
      </c>
      <c r="E1464" s="2">
        <v>144</v>
      </c>
      <c r="F1464" s="2">
        <v>603.596</v>
      </c>
    </row>
    <row r="1465" spans="3:6" x14ac:dyDescent="0.25">
      <c r="C1465" s="2" t="s">
        <v>3395</v>
      </c>
      <c r="D1465" s="2" t="s">
        <v>9</v>
      </c>
      <c r="E1465" s="2">
        <v>75</v>
      </c>
      <c r="F1465" s="2">
        <v>1447.822</v>
      </c>
    </row>
    <row r="1466" spans="3:6" x14ac:dyDescent="0.25">
      <c r="C1466" s="2" t="s">
        <v>3396</v>
      </c>
      <c r="D1466" s="2" t="s">
        <v>9</v>
      </c>
      <c r="E1466" s="2">
        <v>37</v>
      </c>
      <c r="F1466" s="2">
        <v>734.56</v>
      </c>
    </row>
    <row r="1467" spans="3:6" x14ac:dyDescent="0.25">
      <c r="C1467" s="2" t="s">
        <v>3397</v>
      </c>
      <c r="D1467" s="2" t="s">
        <v>9</v>
      </c>
      <c r="E1467" s="2">
        <v>123</v>
      </c>
      <c r="F1467" s="2">
        <v>2508.849</v>
      </c>
    </row>
    <row r="1468" spans="3:6" x14ac:dyDescent="0.25">
      <c r="C1468" s="2" t="s">
        <v>3398</v>
      </c>
      <c r="D1468" s="2" t="s">
        <v>9</v>
      </c>
      <c r="E1468" s="2">
        <v>141</v>
      </c>
      <c r="F1468" s="2">
        <v>2902.97</v>
      </c>
    </row>
    <row r="1469" spans="3:6" x14ac:dyDescent="0.25">
      <c r="C1469" s="2" t="s">
        <v>3399</v>
      </c>
      <c r="D1469" s="2" t="s">
        <v>9</v>
      </c>
      <c r="E1469" s="2">
        <v>142</v>
      </c>
      <c r="F1469" s="2">
        <v>2816.039</v>
      </c>
    </row>
    <row r="1470" spans="3:6" x14ac:dyDescent="0.25">
      <c r="C1470" s="2" t="s">
        <v>3400</v>
      </c>
      <c r="D1470" s="2" t="s">
        <v>9</v>
      </c>
      <c r="E1470" s="2">
        <v>141</v>
      </c>
      <c r="F1470" s="2">
        <v>2925.13</v>
      </c>
    </row>
    <row r="1471" spans="3:6" x14ac:dyDescent="0.25">
      <c r="C1471" s="2" t="s">
        <v>3401</v>
      </c>
      <c r="D1471" s="2" t="s">
        <v>9</v>
      </c>
      <c r="E1471" s="2">
        <v>141</v>
      </c>
      <c r="F1471" s="2">
        <v>2718.8</v>
      </c>
    </row>
    <row r="1472" spans="3:6" x14ac:dyDescent="0.25">
      <c r="C1472" s="2" t="s">
        <v>3402</v>
      </c>
      <c r="D1472" s="2" t="s">
        <v>9</v>
      </c>
      <c r="E1472" s="2">
        <v>141</v>
      </c>
      <c r="F1472" s="2">
        <v>2686.479</v>
      </c>
    </row>
    <row r="1473" spans="3:6" x14ac:dyDescent="0.25">
      <c r="C1473" s="2" t="s">
        <v>3403</v>
      </c>
      <c r="D1473" s="2" t="s">
        <v>9</v>
      </c>
      <c r="E1473" s="2">
        <v>102</v>
      </c>
      <c r="F1473" s="2">
        <v>1968.03</v>
      </c>
    </row>
    <row r="1474" spans="3:6" x14ac:dyDescent="0.25">
      <c r="C1474" s="2" t="s">
        <v>3404</v>
      </c>
      <c r="D1474" s="2" t="s">
        <v>9</v>
      </c>
      <c r="E1474" s="2">
        <v>102</v>
      </c>
      <c r="F1474" s="2">
        <v>1885.85</v>
      </c>
    </row>
    <row r="1475" spans="3:6" x14ac:dyDescent="0.25">
      <c r="C1475" s="2" t="s">
        <v>3405</v>
      </c>
      <c r="D1475" s="2" t="s">
        <v>9</v>
      </c>
      <c r="E1475" s="2">
        <v>69</v>
      </c>
      <c r="F1475" s="2">
        <v>1241.74</v>
      </c>
    </row>
    <row r="1476" spans="3:6" x14ac:dyDescent="0.25">
      <c r="C1476" s="2" t="s">
        <v>3406</v>
      </c>
      <c r="D1476" s="2" t="s">
        <v>9</v>
      </c>
      <c r="E1476" s="2">
        <v>33</v>
      </c>
      <c r="F1476" s="2">
        <v>685.98</v>
      </c>
    </row>
    <row r="1477" spans="3:6" x14ac:dyDescent="0.25">
      <c r="C1477" s="2" t="s">
        <v>3407</v>
      </c>
      <c r="D1477" s="2" t="s">
        <v>9</v>
      </c>
      <c r="E1477" s="2">
        <v>102</v>
      </c>
      <c r="F1477" s="2">
        <v>2046.76</v>
      </c>
    </row>
    <row r="1478" spans="3:6" x14ac:dyDescent="0.25">
      <c r="C1478" s="2" t="s">
        <v>3408</v>
      </c>
      <c r="D1478" s="2" t="s">
        <v>9</v>
      </c>
      <c r="E1478" s="2">
        <v>141</v>
      </c>
      <c r="F1478" s="2">
        <v>2832.03</v>
      </c>
    </row>
    <row r="1479" spans="3:6" x14ac:dyDescent="0.25">
      <c r="C1479" s="2" t="s">
        <v>3409</v>
      </c>
      <c r="D1479" s="2" t="s">
        <v>9</v>
      </c>
      <c r="E1479" s="2">
        <v>38</v>
      </c>
      <c r="F1479" s="2">
        <v>789.07</v>
      </c>
    </row>
    <row r="1480" spans="3:6" x14ac:dyDescent="0.25">
      <c r="C1480" s="2" t="s">
        <v>3410</v>
      </c>
      <c r="D1480" s="2" t="s">
        <v>9</v>
      </c>
      <c r="E1480" s="2">
        <v>51</v>
      </c>
      <c r="F1480" s="2">
        <v>807.8</v>
      </c>
    </row>
    <row r="1481" spans="3:6" x14ac:dyDescent="0.25">
      <c r="C1481" s="2" t="s">
        <v>3411</v>
      </c>
      <c r="D1481" s="2" t="s">
        <v>9</v>
      </c>
      <c r="E1481" s="2">
        <v>52</v>
      </c>
      <c r="F1481" s="2">
        <v>1016.64</v>
      </c>
    </row>
    <row r="1482" spans="3:6" x14ac:dyDescent="0.25">
      <c r="C1482" s="2" t="s">
        <v>3412</v>
      </c>
      <c r="D1482" s="2" t="s">
        <v>9</v>
      </c>
      <c r="E1482" s="2">
        <v>141</v>
      </c>
      <c r="F1482" s="2">
        <v>2547.835</v>
      </c>
    </row>
    <row r="1483" spans="3:6" x14ac:dyDescent="0.25">
      <c r="C1483" s="2" t="s">
        <v>3413</v>
      </c>
      <c r="D1483" s="2" t="s">
        <v>9</v>
      </c>
      <c r="E1483" s="2">
        <v>17</v>
      </c>
      <c r="F1483" s="2">
        <v>347.59</v>
      </c>
    </row>
    <row r="1484" spans="3:6" x14ac:dyDescent="0.25">
      <c r="C1484" s="2" t="s">
        <v>3414</v>
      </c>
      <c r="D1484" s="2" t="s">
        <v>9</v>
      </c>
      <c r="E1484" s="2">
        <v>14</v>
      </c>
      <c r="F1484" s="2">
        <v>299.23</v>
      </c>
    </row>
    <row r="1485" spans="3:6" x14ac:dyDescent="0.25">
      <c r="C1485" s="2" t="s">
        <v>3415</v>
      </c>
      <c r="D1485" s="2" t="s">
        <v>9</v>
      </c>
      <c r="E1485" s="2">
        <v>83</v>
      </c>
      <c r="F1485" s="2">
        <v>1510.76</v>
      </c>
    </row>
    <row r="1486" spans="3:6" x14ac:dyDescent="0.25">
      <c r="C1486" s="2" t="s">
        <v>3416</v>
      </c>
      <c r="D1486" s="2" t="s">
        <v>9</v>
      </c>
      <c r="E1486" s="2">
        <v>27</v>
      </c>
      <c r="F1486" s="2">
        <v>567.18</v>
      </c>
    </row>
    <row r="1487" spans="3:6" x14ac:dyDescent="0.25">
      <c r="C1487" s="2" t="s">
        <v>3417</v>
      </c>
      <c r="D1487" s="2" t="s">
        <v>9</v>
      </c>
      <c r="E1487" s="2">
        <v>141</v>
      </c>
      <c r="F1487" s="2">
        <v>2843.259</v>
      </c>
    </row>
    <row r="1488" spans="3:6" x14ac:dyDescent="0.25">
      <c r="C1488" s="2" t="s">
        <v>3418</v>
      </c>
      <c r="D1488" s="2" t="s">
        <v>9</v>
      </c>
      <c r="E1488" s="2">
        <v>141</v>
      </c>
      <c r="F1488" s="2">
        <v>2819.18</v>
      </c>
    </row>
    <row r="1489" spans="3:6" x14ac:dyDescent="0.25">
      <c r="C1489" s="2" t="s">
        <v>3419</v>
      </c>
      <c r="D1489" s="2" t="s">
        <v>9</v>
      </c>
      <c r="E1489" s="2">
        <v>84</v>
      </c>
      <c r="F1489" s="2">
        <v>1583.966</v>
      </c>
    </row>
    <row r="1490" spans="3:6" x14ac:dyDescent="0.25">
      <c r="C1490" s="2" t="s">
        <v>3420</v>
      </c>
      <c r="D1490" s="2" t="s">
        <v>9</v>
      </c>
      <c r="E1490" s="2">
        <v>50</v>
      </c>
      <c r="F1490" s="2">
        <v>1001.53</v>
      </c>
    </row>
    <row r="1491" spans="3:6" x14ac:dyDescent="0.25">
      <c r="C1491" s="2" t="s">
        <v>3421</v>
      </c>
      <c r="D1491" s="2" t="s">
        <v>9</v>
      </c>
      <c r="E1491" s="2">
        <v>66</v>
      </c>
      <c r="F1491" s="2">
        <v>1254.78</v>
      </c>
    </row>
    <row r="1492" spans="3:6" x14ac:dyDescent="0.25">
      <c r="C1492" s="2" t="s">
        <v>3422</v>
      </c>
      <c r="D1492" s="2" t="s">
        <v>9</v>
      </c>
      <c r="E1492" s="2">
        <v>36</v>
      </c>
      <c r="F1492" s="2">
        <v>730.24</v>
      </c>
    </row>
    <row r="1493" spans="3:6" x14ac:dyDescent="0.25">
      <c r="C1493" s="2" t="s">
        <v>3423</v>
      </c>
      <c r="D1493" s="2" t="s">
        <v>9</v>
      </c>
      <c r="E1493" s="2">
        <v>32</v>
      </c>
      <c r="F1493" s="2">
        <v>549.18</v>
      </c>
    </row>
    <row r="1494" spans="3:6" x14ac:dyDescent="0.25">
      <c r="C1494" s="2" t="s">
        <v>3424</v>
      </c>
      <c r="D1494" s="2" t="s">
        <v>9</v>
      </c>
      <c r="E1494" s="2">
        <v>3</v>
      </c>
      <c r="F1494" s="2">
        <v>58.39</v>
      </c>
    </row>
    <row r="1495" spans="3:6" x14ac:dyDescent="0.25">
      <c r="C1495" s="2" t="s">
        <v>3425</v>
      </c>
      <c r="D1495" s="2" t="s">
        <v>9</v>
      </c>
      <c r="E1495" s="2">
        <v>2</v>
      </c>
      <c r="F1495" s="2">
        <v>23.56</v>
      </c>
    </row>
    <row r="1496" spans="3:6" x14ac:dyDescent="0.25">
      <c r="C1496" s="2" t="s">
        <v>3426</v>
      </c>
      <c r="D1496" s="2" t="s">
        <v>9</v>
      </c>
      <c r="E1496" s="2">
        <v>38</v>
      </c>
      <c r="F1496" s="2">
        <v>782.908</v>
      </c>
    </row>
    <row r="1497" spans="3:6" x14ac:dyDescent="0.25">
      <c r="C1497" s="2" t="s">
        <v>3427</v>
      </c>
      <c r="D1497" s="2" t="s">
        <v>9</v>
      </c>
      <c r="E1497" s="2">
        <v>141</v>
      </c>
      <c r="F1497" s="2">
        <v>2595.15</v>
      </c>
    </row>
    <row r="1498" spans="3:6" x14ac:dyDescent="0.25">
      <c r="C1498" s="2" t="s">
        <v>3428</v>
      </c>
      <c r="D1498" s="2" t="s">
        <v>9</v>
      </c>
      <c r="E1498" s="2">
        <v>73</v>
      </c>
      <c r="F1498" s="2">
        <v>1409.989</v>
      </c>
    </row>
    <row r="1499" spans="3:6" x14ac:dyDescent="0.25">
      <c r="C1499" s="2" t="s">
        <v>3429</v>
      </c>
      <c r="D1499" s="2" t="s">
        <v>9</v>
      </c>
      <c r="E1499" s="2">
        <v>29</v>
      </c>
      <c r="F1499" s="2">
        <v>599.08</v>
      </c>
    </row>
    <row r="1500" spans="3:6" x14ac:dyDescent="0.25">
      <c r="C1500" s="2" t="s">
        <v>3430</v>
      </c>
      <c r="D1500" s="2" t="s">
        <v>9</v>
      </c>
      <c r="E1500" s="2">
        <v>21</v>
      </c>
      <c r="F1500" s="2">
        <v>458.87</v>
      </c>
    </row>
    <row r="1501" spans="3:6" x14ac:dyDescent="0.25">
      <c r="C1501" s="2" t="s">
        <v>3431</v>
      </c>
      <c r="D1501" s="2" t="s">
        <v>9</v>
      </c>
      <c r="E1501" s="2">
        <v>14</v>
      </c>
      <c r="F1501" s="2">
        <v>264.081</v>
      </c>
    </row>
    <row r="1502" spans="3:6" x14ac:dyDescent="0.25">
      <c r="C1502" s="2" t="s">
        <v>3432</v>
      </c>
      <c r="D1502" s="2" t="s">
        <v>9</v>
      </c>
      <c r="E1502" s="2">
        <v>30</v>
      </c>
      <c r="F1502" s="2">
        <v>567.43</v>
      </c>
    </row>
    <row r="1503" spans="3:6" x14ac:dyDescent="0.25">
      <c r="C1503" s="2" t="s">
        <v>3433</v>
      </c>
      <c r="D1503" s="2" t="s">
        <v>9</v>
      </c>
      <c r="E1503" s="2">
        <v>11</v>
      </c>
      <c r="F1503" s="2">
        <v>256.54</v>
      </c>
    </row>
    <row r="1504" spans="3:6" x14ac:dyDescent="0.25">
      <c r="C1504" s="2" t="s">
        <v>3434</v>
      </c>
      <c r="D1504" s="2" t="s">
        <v>9</v>
      </c>
      <c r="E1504" s="2">
        <v>12</v>
      </c>
      <c r="F1504" s="2">
        <v>238.78</v>
      </c>
    </row>
    <row r="1505" spans="3:6" x14ac:dyDescent="0.25">
      <c r="C1505" s="2" t="s">
        <v>3435</v>
      </c>
      <c r="D1505" s="2" t="s">
        <v>9</v>
      </c>
      <c r="E1505" s="2">
        <v>16</v>
      </c>
      <c r="F1505" s="2">
        <v>282.74</v>
      </c>
    </row>
    <row r="1506" spans="3:6" x14ac:dyDescent="0.25">
      <c r="C1506" s="2" t="s">
        <v>3436</v>
      </c>
      <c r="D1506" s="2" t="s">
        <v>9</v>
      </c>
      <c r="E1506" s="2">
        <v>11</v>
      </c>
      <c r="F1506" s="2">
        <v>118.98</v>
      </c>
    </row>
    <row r="1507" spans="3:6" x14ac:dyDescent="0.25">
      <c r="C1507" s="2" t="s">
        <v>3437</v>
      </c>
      <c r="D1507" s="2" t="s">
        <v>9</v>
      </c>
      <c r="E1507" s="2">
        <v>17</v>
      </c>
      <c r="F1507" s="2">
        <v>361.27</v>
      </c>
    </row>
    <row r="1508" spans="3:6" x14ac:dyDescent="0.25">
      <c r="C1508" s="2" t="s">
        <v>3438</v>
      </c>
      <c r="D1508" s="2" t="s">
        <v>9</v>
      </c>
      <c r="E1508" s="2">
        <v>88</v>
      </c>
      <c r="F1508" s="2">
        <v>1751.3</v>
      </c>
    </row>
    <row r="1509" spans="3:6" x14ac:dyDescent="0.25">
      <c r="C1509" s="2" t="s">
        <v>3439</v>
      </c>
      <c r="D1509" s="2" t="s">
        <v>9</v>
      </c>
      <c r="E1509" s="2">
        <v>27</v>
      </c>
      <c r="F1509" s="2">
        <v>493.76</v>
      </c>
    </row>
    <row r="1510" spans="3:6" x14ac:dyDescent="0.25">
      <c r="C1510" s="2" t="s">
        <v>3440</v>
      </c>
      <c r="D1510" s="2" t="s">
        <v>9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1585</v>
      </c>
      <c r="C1512" s="2" t="s">
        <v>3441</v>
      </c>
      <c r="D1512" s="2" t="s">
        <v>297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1101</v>
      </c>
      <c r="C1514" s="2" t="s">
        <v>3442</v>
      </c>
      <c r="D1514" s="2" t="s">
        <v>20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3443</v>
      </c>
      <c r="D1515" s="2" t="s">
        <v>20</v>
      </c>
      <c r="E1515" s="2">
        <v>156</v>
      </c>
      <c r="F1515" s="2">
        <v>2943.51</v>
      </c>
    </row>
    <row r="1516" spans="3:6" x14ac:dyDescent="0.25">
      <c r="C1516" s="2" t="s">
        <v>3444</v>
      </c>
      <c r="D1516" s="2" t="s">
        <v>20</v>
      </c>
      <c r="E1516" s="2">
        <v>210</v>
      </c>
      <c r="F1516" s="2">
        <v>4180.149</v>
      </c>
    </row>
    <row r="1517" spans="3:6" x14ac:dyDescent="0.25">
      <c r="C1517" s="2" t="s">
        <v>3445</v>
      </c>
      <c r="D1517" s="2" t="s">
        <v>20</v>
      </c>
      <c r="E1517" s="2">
        <v>259</v>
      </c>
      <c r="F1517" s="2">
        <v>4851.879</v>
      </c>
    </row>
    <row r="1518" spans="3:6" x14ac:dyDescent="0.25">
      <c r="C1518" s="2" t="s">
        <v>3446</v>
      </c>
      <c r="D1518" s="2" t="s">
        <v>20</v>
      </c>
      <c r="E1518" s="2">
        <v>156</v>
      </c>
      <c r="F1518" s="2">
        <v>2982.2</v>
      </c>
    </row>
    <row r="1519" spans="3:6" x14ac:dyDescent="0.25">
      <c r="C1519" s="2" t="s">
        <v>3447</v>
      </c>
      <c r="D1519" s="2" t="s">
        <v>20</v>
      </c>
      <c r="E1519" s="2">
        <v>244</v>
      </c>
      <c r="F1519" s="2">
        <v>4777.228</v>
      </c>
    </row>
    <row r="1520" spans="3:6" x14ac:dyDescent="0.25">
      <c r="C1520" s="2" t="s">
        <v>3448</v>
      </c>
      <c r="D1520" s="2" t="s">
        <v>20</v>
      </c>
      <c r="E1520" s="2">
        <v>88</v>
      </c>
      <c r="F1520" s="2">
        <v>1697.159</v>
      </c>
    </row>
    <row r="1521" spans="3:6" x14ac:dyDescent="0.25">
      <c r="C1521" s="2" t="s">
        <v>3449</v>
      </c>
      <c r="D1521" s="2" t="s">
        <v>20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18</v>
      </c>
      <c r="C1523" s="2" t="s">
        <v>3450</v>
      </c>
      <c r="D1523" s="2" t="s">
        <v>20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3451</v>
      </c>
      <c r="D1524" s="2" t="s">
        <v>20</v>
      </c>
      <c r="E1524" s="2">
        <v>142</v>
      </c>
      <c r="F1524" s="2">
        <v>2483.75</v>
      </c>
    </row>
    <row r="1525" spans="3:6" x14ac:dyDescent="0.25">
      <c r="C1525" s="2" t="s">
        <v>3452</v>
      </c>
      <c r="D1525" s="2" t="s">
        <v>20</v>
      </c>
      <c r="E1525" s="2">
        <v>142</v>
      </c>
      <c r="F1525" s="2">
        <v>2813.56</v>
      </c>
    </row>
    <row r="1526" spans="3:6" x14ac:dyDescent="0.25">
      <c r="C1526" s="2" t="s">
        <v>3453</v>
      </c>
      <c r="D1526" s="2" t="s">
        <v>20</v>
      </c>
      <c r="E1526" s="2">
        <v>102</v>
      </c>
      <c r="F1526" s="2">
        <v>2021.919</v>
      </c>
    </row>
    <row r="1527" spans="3:6" x14ac:dyDescent="0.25">
      <c r="C1527" s="2" t="s">
        <v>3454</v>
      </c>
      <c r="D1527" s="2" t="s">
        <v>20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2738</v>
      </c>
      <c r="C1529" s="2" t="s">
        <v>3455</v>
      </c>
      <c r="D1529" s="2" t="s">
        <v>20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324</v>
      </c>
      <c r="C1531" s="2" t="s">
        <v>3456</v>
      </c>
      <c r="D1531" s="2" t="s">
        <v>27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3457</v>
      </c>
      <c r="D1532" s="2" t="s">
        <v>27</v>
      </c>
      <c r="E1532" s="2">
        <v>29</v>
      </c>
      <c r="F1532" s="2">
        <v>529.23</v>
      </c>
    </row>
    <row r="1533" spans="3:6" x14ac:dyDescent="0.25">
      <c r="C1533" s="2" t="s">
        <v>3458</v>
      </c>
      <c r="D1533" s="2" t="s">
        <v>27</v>
      </c>
      <c r="E1533" s="2">
        <v>12</v>
      </c>
      <c r="F1533" s="2">
        <v>215.38</v>
      </c>
    </row>
    <row r="1534" spans="3:6" x14ac:dyDescent="0.25">
      <c r="C1534" s="2" t="s">
        <v>3459</v>
      </c>
      <c r="D1534" s="2" t="s">
        <v>27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120</v>
      </c>
      <c r="C1536" s="2" t="s">
        <v>3460</v>
      </c>
      <c r="D1536" s="2" t="s">
        <v>122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3461</v>
      </c>
      <c r="D1537" s="2" t="s">
        <v>122</v>
      </c>
      <c r="E1537" s="2">
        <v>49</v>
      </c>
      <c r="F1537" s="2">
        <v>204.55</v>
      </c>
    </row>
    <row r="1538" spans="3:6" x14ac:dyDescent="0.25">
      <c r="C1538" s="2" t="s">
        <v>3462</v>
      </c>
      <c r="D1538" s="2" t="s">
        <v>122</v>
      </c>
      <c r="E1538" s="2">
        <v>50</v>
      </c>
      <c r="F1538" s="2">
        <v>218.929</v>
      </c>
    </row>
    <row r="1539" spans="3:6" x14ac:dyDescent="0.25">
      <c r="C1539" s="2" t="s">
        <v>3463</v>
      </c>
      <c r="D1539" s="2" t="s">
        <v>122</v>
      </c>
      <c r="E1539" s="2">
        <v>28</v>
      </c>
      <c r="F1539" s="2">
        <v>120.129</v>
      </c>
    </row>
    <row r="1540" spans="3:6" x14ac:dyDescent="0.25">
      <c r="C1540" s="2" t="s">
        <v>3464</v>
      </c>
      <c r="D1540" s="2" t="s">
        <v>122</v>
      </c>
      <c r="E1540" s="2">
        <v>43</v>
      </c>
      <c r="F1540" s="2">
        <v>857.14</v>
      </c>
    </row>
    <row r="1541" spans="3:6" x14ac:dyDescent="0.25">
      <c r="C1541" s="2" t="s">
        <v>3465</v>
      </c>
      <c r="D1541" s="2" t="s">
        <v>122</v>
      </c>
      <c r="E1541" s="2">
        <v>41</v>
      </c>
      <c r="F1541" s="2">
        <v>859.1</v>
      </c>
    </row>
    <row r="1542" spans="3:6" x14ac:dyDescent="0.25">
      <c r="C1542" s="2" t="s">
        <v>3466</v>
      </c>
      <c r="D1542" s="2" t="s">
        <v>122</v>
      </c>
      <c r="E1542" s="2">
        <v>37</v>
      </c>
      <c r="F1542" s="2">
        <v>718.66</v>
      </c>
    </row>
    <row r="1543" spans="3:6" x14ac:dyDescent="0.25">
      <c r="C1543" s="2" t="s">
        <v>3467</v>
      </c>
      <c r="D1543" s="2" t="s">
        <v>122</v>
      </c>
      <c r="E1543" s="2">
        <v>84</v>
      </c>
      <c r="F1543" s="2">
        <v>628.461</v>
      </c>
    </row>
    <row r="1544" spans="3:6" x14ac:dyDescent="0.25">
      <c r="C1544" s="2" t="s">
        <v>3468</v>
      </c>
      <c r="D1544" s="2" t="s">
        <v>122</v>
      </c>
      <c r="E1544" s="2">
        <v>21</v>
      </c>
      <c r="F1544" s="2">
        <v>241.031</v>
      </c>
    </row>
    <row r="1545" spans="3:6" x14ac:dyDescent="0.25">
      <c r="C1545" s="2" t="s">
        <v>3469</v>
      </c>
      <c r="D1545" s="2" t="s">
        <v>122</v>
      </c>
      <c r="E1545" s="2">
        <v>28</v>
      </c>
      <c r="F1545" s="2">
        <v>495.97</v>
      </c>
    </row>
    <row r="1546" spans="3:6" x14ac:dyDescent="0.25">
      <c r="C1546" s="2" t="s">
        <v>3470</v>
      </c>
      <c r="D1546" s="2" t="s">
        <v>122</v>
      </c>
      <c r="E1546" s="2">
        <v>57</v>
      </c>
      <c r="F1546" s="2">
        <v>1018.49</v>
      </c>
    </row>
    <row r="1547" spans="3:6" x14ac:dyDescent="0.25">
      <c r="C1547" s="2" t="s">
        <v>3471</v>
      </c>
      <c r="D1547" s="2" t="s">
        <v>122</v>
      </c>
      <c r="E1547" s="2">
        <v>36</v>
      </c>
      <c r="F1547" s="2">
        <v>546.418</v>
      </c>
    </row>
    <row r="1548" spans="3:6" x14ac:dyDescent="0.25">
      <c r="C1548" s="2" t="s">
        <v>3472</v>
      </c>
      <c r="D1548" s="2" t="s">
        <v>122</v>
      </c>
      <c r="E1548" s="2">
        <v>86</v>
      </c>
      <c r="F1548" s="2">
        <v>1877.123</v>
      </c>
    </row>
    <row r="1549" spans="3:6" x14ac:dyDescent="0.25">
      <c r="C1549" s="2" t="s">
        <v>3473</v>
      </c>
      <c r="D1549" s="2" t="s">
        <v>122</v>
      </c>
      <c r="E1549" s="2">
        <v>92</v>
      </c>
      <c r="F1549" s="2">
        <v>1248.474</v>
      </c>
    </row>
    <row r="1550" spans="3:6" x14ac:dyDescent="0.25">
      <c r="C1550" s="2" t="s">
        <v>3474</v>
      </c>
      <c r="D1550" s="2" t="s">
        <v>122</v>
      </c>
      <c r="E1550" s="2">
        <v>11</v>
      </c>
      <c r="F1550" s="2">
        <f>44.86+1.17+3.01</f>
        <v>49.04</v>
      </c>
    </row>
    <row r="1551" spans="3:6" x14ac:dyDescent="0.25">
      <c r="C1551" s="2" t="s">
        <v>3475</v>
      </c>
      <c r="D1551" s="2" t="s">
        <v>122</v>
      </c>
      <c r="E1551" s="2">
        <v>68</v>
      </c>
      <c r="F1551" s="2">
        <v>1217.369</v>
      </c>
    </row>
    <row r="1552" spans="3:6" x14ac:dyDescent="0.25">
      <c r="C1552" s="2" t="s">
        <v>3476</v>
      </c>
      <c r="D1552" s="2" t="s">
        <v>122</v>
      </c>
      <c r="E1552" s="2">
        <v>41</v>
      </c>
      <c r="F1552" s="2">
        <v>817.74</v>
      </c>
    </row>
    <row r="1553" spans="3:6" x14ac:dyDescent="0.25">
      <c r="C1553" s="2" t="s">
        <v>3477</v>
      </c>
      <c r="D1553" s="2" t="s">
        <v>122</v>
      </c>
      <c r="E1553" s="2">
        <v>40</v>
      </c>
      <c r="F1553" s="2">
        <v>804.19</v>
      </c>
    </row>
    <row r="1554" spans="3:6" x14ac:dyDescent="0.25">
      <c r="C1554" s="2" t="s">
        <v>3478</v>
      </c>
      <c r="D1554" s="2" t="s">
        <v>122</v>
      </c>
      <c r="E1554" s="2">
        <v>60</v>
      </c>
      <c r="F1554" s="2">
        <v>1229.09</v>
      </c>
    </row>
    <row r="1555" spans="3:6" x14ac:dyDescent="0.25">
      <c r="C1555" s="2" t="s">
        <v>3479</v>
      </c>
      <c r="D1555" s="2" t="s">
        <v>122</v>
      </c>
      <c r="E1555" s="2">
        <v>48</v>
      </c>
      <c r="F1555" s="2">
        <v>933.7</v>
      </c>
    </row>
    <row r="1556" spans="3:6" x14ac:dyDescent="0.25">
      <c r="C1556" s="2" t="s">
        <v>3480</v>
      </c>
      <c r="D1556" s="2" t="s">
        <v>122</v>
      </c>
      <c r="E1556" s="2">
        <v>38</v>
      </c>
      <c r="F1556" s="2">
        <v>765.05</v>
      </c>
    </row>
    <row r="1557" spans="3:6" x14ac:dyDescent="0.25">
      <c r="C1557" s="2" t="s">
        <v>3481</v>
      </c>
      <c r="D1557" s="2" t="s">
        <v>122</v>
      </c>
      <c r="E1557" s="2">
        <v>41</v>
      </c>
      <c r="F1557" s="2">
        <v>814.5</v>
      </c>
    </row>
    <row r="1558" spans="3:6" x14ac:dyDescent="0.25">
      <c r="C1558" s="2" t="s">
        <v>3482</v>
      </c>
      <c r="D1558" s="2" t="s">
        <v>122</v>
      </c>
      <c r="E1558" s="2">
        <v>14</v>
      </c>
      <c r="F1558" s="2">
        <v>244.55</v>
      </c>
    </row>
    <row r="1559" spans="3:6" x14ac:dyDescent="0.25">
      <c r="C1559" s="2" t="s">
        <v>3483</v>
      </c>
      <c r="D1559" s="2" t="s">
        <v>122</v>
      </c>
      <c r="E1559" s="2">
        <v>33</v>
      </c>
      <c r="F1559" s="2">
        <v>651.19</v>
      </c>
    </row>
    <row r="1560" spans="3:6" x14ac:dyDescent="0.25">
      <c r="C1560" s="2" t="s">
        <v>3484</v>
      </c>
      <c r="D1560" s="2" t="s">
        <v>122</v>
      </c>
      <c r="E1560" s="2">
        <v>29</v>
      </c>
      <c r="F1560" s="2">
        <v>580.8</v>
      </c>
    </row>
    <row r="1561" spans="3:6" x14ac:dyDescent="0.25">
      <c r="C1561" s="2" t="s">
        <v>3485</v>
      </c>
      <c r="D1561" s="2" t="s">
        <v>122</v>
      </c>
      <c r="E1561" s="2">
        <v>21</v>
      </c>
      <c r="F1561" s="2">
        <v>439.76</v>
      </c>
    </row>
    <row r="1562" spans="3:6" x14ac:dyDescent="0.25">
      <c r="C1562" s="2" t="s">
        <v>3486</v>
      </c>
      <c r="D1562" s="2" t="s">
        <v>122</v>
      </c>
      <c r="E1562" s="2">
        <v>25</v>
      </c>
      <c r="F1562" s="2">
        <v>479.12</v>
      </c>
    </row>
    <row r="1563" spans="3:6" x14ac:dyDescent="0.25">
      <c r="C1563" s="2" t="s">
        <v>3487</v>
      </c>
      <c r="D1563" s="2" t="s">
        <v>122</v>
      </c>
      <c r="E1563" s="2">
        <v>33</v>
      </c>
      <c r="F1563" s="2">
        <v>622.15</v>
      </c>
    </row>
    <row r="1564" spans="3:6" x14ac:dyDescent="0.25">
      <c r="C1564" s="2" t="s">
        <v>3488</v>
      </c>
      <c r="D1564" s="2" t="s">
        <v>122</v>
      </c>
      <c r="E1564" s="2">
        <v>15</v>
      </c>
      <c r="F1564" s="2">
        <v>255.8</v>
      </c>
    </row>
    <row r="1565" spans="3:6" x14ac:dyDescent="0.25">
      <c r="C1565" s="2" t="s">
        <v>3489</v>
      </c>
      <c r="D1565" s="2" t="s">
        <v>122</v>
      </c>
      <c r="E1565" s="2">
        <v>14</v>
      </c>
      <c r="F1565" s="2">
        <v>278.57</v>
      </c>
    </row>
    <row r="1566" spans="3:6" x14ac:dyDescent="0.25">
      <c r="C1566" s="2" t="s">
        <v>3490</v>
      </c>
      <c r="D1566" s="2" t="s">
        <v>122</v>
      </c>
      <c r="E1566" s="2">
        <v>14</v>
      </c>
      <c r="F1566" s="2">
        <v>282.29</v>
      </c>
    </row>
    <row r="1567" spans="3:6" x14ac:dyDescent="0.25">
      <c r="C1567" s="2" t="s">
        <v>3491</v>
      </c>
      <c r="D1567" s="2" t="s">
        <v>122</v>
      </c>
      <c r="E1567" s="2">
        <v>13</v>
      </c>
      <c r="F1567" s="2">
        <v>251.41</v>
      </c>
    </row>
    <row r="1568" spans="3:6" x14ac:dyDescent="0.25">
      <c r="C1568" s="2" t="s">
        <v>3492</v>
      </c>
      <c r="D1568" s="2" t="s">
        <v>122</v>
      </c>
      <c r="E1568" s="2">
        <v>45</v>
      </c>
      <c r="F1568" s="2">
        <v>930.179</v>
      </c>
    </row>
    <row r="1569" spans="3:6" x14ac:dyDescent="0.25">
      <c r="C1569" s="2" t="s">
        <v>3493</v>
      </c>
      <c r="D1569" s="2" t="s">
        <v>122</v>
      </c>
      <c r="E1569" s="2">
        <v>40</v>
      </c>
      <c r="F1569" s="2">
        <v>804.41</v>
      </c>
    </row>
    <row r="1570" spans="3:6" x14ac:dyDescent="0.25">
      <c r="C1570" s="2" t="s">
        <v>3494</v>
      </c>
      <c r="D1570" s="2" t="s">
        <v>122</v>
      </c>
      <c r="E1570" s="2">
        <v>34</v>
      </c>
      <c r="F1570" s="2">
        <v>671.73</v>
      </c>
    </row>
    <row r="1571" spans="3:6" x14ac:dyDescent="0.25">
      <c r="C1571" s="2" t="s">
        <v>3495</v>
      </c>
      <c r="D1571" s="2" t="s">
        <v>122</v>
      </c>
      <c r="E1571" s="2">
        <v>24</v>
      </c>
      <c r="F1571" s="2">
        <v>450.639</v>
      </c>
    </row>
    <row r="1572" spans="3:6" x14ac:dyDescent="0.25">
      <c r="C1572" s="2" t="s">
        <v>3496</v>
      </c>
      <c r="D1572" s="2" t="s">
        <v>122</v>
      </c>
      <c r="E1572" s="2">
        <v>18</v>
      </c>
      <c r="F1572" s="2">
        <v>347.39</v>
      </c>
    </row>
    <row r="1573" spans="3:6" x14ac:dyDescent="0.25">
      <c r="C1573" s="2" t="s">
        <v>3497</v>
      </c>
      <c r="D1573" s="2" t="s">
        <v>122</v>
      </c>
      <c r="E1573" s="2">
        <v>18</v>
      </c>
      <c r="F1573" s="2">
        <v>361.38</v>
      </c>
    </row>
    <row r="1574" spans="3:6" x14ac:dyDescent="0.25">
      <c r="C1574" s="2" t="s">
        <v>3498</v>
      </c>
      <c r="D1574" s="2" t="s">
        <v>122</v>
      </c>
      <c r="E1574" s="2">
        <v>16</v>
      </c>
      <c r="F1574" s="2">
        <v>304.35</v>
      </c>
    </row>
    <row r="1575" spans="3:6" x14ac:dyDescent="0.25">
      <c r="C1575" s="2" t="s">
        <v>3499</v>
      </c>
      <c r="D1575" s="2" t="s">
        <v>122</v>
      </c>
      <c r="E1575" s="2">
        <v>12</v>
      </c>
      <c r="F1575" s="2">
        <v>251.65</v>
      </c>
    </row>
    <row r="1576" spans="3:6" x14ac:dyDescent="0.25">
      <c r="C1576" s="2" t="s">
        <v>3500</v>
      </c>
      <c r="D1576" s="2" t="s">
        <v>122</v>
      </c>
      <c r="E1576" s="2">
        <v>12</v>
      </c>
      <c r="F1576" s="2">
        <v>238.92</v>
      </c>
    </row>
    <row r="1577" spans="3:6" x14ac:dyDescent="0.25">
      <c r="C1577" s="2" t="s">
        <v>3501</v>
      </c>
      <c r="D1577" s="2" t="s">
        <v>122</v>
      </c>
      <c r="E1577" s="2">
        <v>7</v>
      </c>
      <c r="F1577" s="2">
        <v>146.09</v>
      </c>
    </row>
    <row r="1578" spans="3:6" x14ac:dyDescent="0.25">
      <c r="C1578" s="2" t="s">
        <v>3502</v>
      </c>
      <c r="D1578" s="2" t="s">
        <v>122</v>
      </c>
      <c r="E1578" s="2">
        <v>21</v>
      </c>
      <c r="F1578" s="2">
        <v>430.84</v>
      </c>
    </row>
    <row r="1579" spans="3:6" x14ac:dyDescent="0.25">
      <c r="C1579" s="2" t="s">
        <v>3503</v>
      </c>
      <c r="D1579" s="2" t="s">
        <v>122</v>
      </c>
      <c r="E1579" s="2">
        <v>19</v>
      </c>
      <c r="F1579" s="2">
        <v>385.41</v>
      </c>
    </row>
    <row r="1580" spans="3:6" x14ac:dyDescent="0.25">
      <c r="C1580" s="2" t="s">
        <v>3504</v>
      </c>
      <c r="D1580" s="2" t="s">
        <v>122</v>
      </c>
      <c r="E1580" s="2">
        <v>16</v>
      </c>
      <c r="F1580" s="2">
        <v>336.39</v>
      </c>
    </row>
    <row r="1581" spans="3:6" x14ac:dyDescent="0.25">
      <c r="C1581" s="2" t="s">
        <v>3505</v>
      </c>
      <c r="D1581" s="2" t="s">
        <v>122</v>
      </c>
      <c r="E1581" s="2">
        <v>27</v>
      </c>
      <c r="F1581" s="2">
        <v>547.97</v>
      </c>
    </row>
    <row r="1582" spans="3:6" x14ac:dyDescent="0.25">
      <c r="C1582" s="2" t="s">
        <v>3506</v>
      </c>
      <c r="D1582" s="2" t="s">
        <v>122</v>
      </c>
      <c r="E1582" s="2">
        <v>54</v>
      </c>
      <c r="F1582" s="2">
        <v>1072.46</v>
      </c>
    </row>
    <row r="1583" spans="3:6" x14ac:dyDescent="0.25">
      <c r="C1583" s="2" t="s">
        <v>3507</v>
      </c>
      <c r="D1583" s="2" t="s">
        <v>122</v>
      </c>
      <c r="E1583" s="2">
        <v>36</v>
      </c>
      <c r="F1583" s="2">
        <v>726.175</v>
      </c>
    </row>
    <row r="1584" spans="3:6" x14ac:dyDescent="0.25">
      <c r="C1584" s="2" t="s">
        <v>3508</v>
      </c>
      <c r="D1584" s="2" t="s">
        <v>122</v>
      </c>
      <c r="E1584" s="2">
        <v>64</v>
      </c>
      <c r="F1584" s="2">
        <v>1341.34</v>
      </c>
    </row>
    <row r="1585" spans="3:6" x14ac:dyDescent="0.25">
      <c r="C1585" s="2" t="s">
        <v>3509</v>
      </c>
      <c r="D1585" s="2" t="s">
        <v>122</v>
      </c>
      <c r="E1585" s="2">
        <v>16</v>
      </c>
      <c r="F1585" s="2">
        <v>290.37</v>
      </c>
    </row>
    <row r="1586" spans="3:6" x14ac:dyDescent="0.25">
      <c r="C1586" s="2" t="s">
        <v>3510</v>
      </c>
      <c r="D1586" s="2" t="s">
        <v>122</v>
      </c>
      <c r="E1586" s="2">
        <v>50</v>
      </c>
      <c r="F1586" s="2">
        <v>712.175</v>
      </c>
    </row>
    <row r="1587" spans="3:6" x14ac:dyDescent="0.25">
      <c r="C1587" s="2" t="s">
        <v>3511</v>
      </c>
      <c r="D1587" s="2" t="s">
        <v>122</v>
      </c>
      <c r="E1587" s="2">
        <v>38</v>
      </c>
      <c r="F1587" s="2">
        <v>907.629</v>
      </c>
    </row>
    <row r="1588" spans="3:6" x14ac:dyDescent="0.25">
      <c r="C1588" s="2" t="s">
        <v>3512</v>
      </c>
      <c r="D1588" s="2" t="s">
        <v>122</v>
      </c>
      <c r="E1588" s="2">
        <v>21</v>
      </c>
      <c r="F1588" s="2">
        <v>221.02</v>
      </c>
    </row>
    <row r="1589" spans="3:6" x14ac:dyDescent="0.25">
      <c r="C1589" s="2" t="s">
        <v>3513</v>
      </c>
      <c r="D1589" s="2" t="s">
        <v>122</v>
      </c>
      <c r="E1589" s="2">
        <v>111</v>
      </c>
      <c r="F1589" s="2">
        <v>2231.4</v>
      </c>
    </row>
    <row r="1590" spans="3:6" x14ac:dyDescent="0.25">
      <c r="C1590" s="2" t="s">
        <v>3514</v>
      </c>
      <c r="D1590" s="2" t="s">
        <v>122</v>
      </c>
      <c r="E1590" s="2">
        <v>30</v>
      </c>
      <c r="F1590" s="2">
        <v>573.35</v>
      </c>
    </row>
    <row r="1591" spans="3:6" x14ac:dyDescent="0.25">
      <c r="C1591" s="2" t="s">
        <v>3515</v>
      </c>
      <c r="D1591" s="2" t="s">
        <v>122</v>
      </c>
      <c r="E1591" s="2">
        <v>38</v>
      </c>
      <c r="F1591" s="2">
        <v>792.169</v>
      </c>
    </row>
    <row r="1592" spans="3:6" x14ac:dyDescent="0.25">
      <c r="C1592" s="2" t="s">
        <v>3516</v>
      </c>
      <c r="D1592" s="2" t="s">
        <v>122</v>
      </c>
      <c r="E1592" s="2">
        <v>12</v>
      </c>
      <c r="F1592" s="2">
        <v>257.95</v>
      </c>
    </row>
    <row r="1593" spans="3:6" x14ac:dyDescent="0.25">
      <c r="C1593" s="2" t="s">
        <v>3517</v>
      </c>
      <c r="D1593" s="2" t="s">
        <v>122</v>
      </c>
      <c r="E1593" s="2">
        <v>31</v>
      </c>
      <c r="F1593" s="2">
        <v>644.06</v>
      </c>
    </row>
    <row r="1594" spans="3:6" x14ac:dyDescent="0.25">
      <c r="C1594" s="2" t="s">
        <v>3518</v>
      </c>
      <c r="D1594" s="2" t="s">
        <v>122</v>
      </c>
      <c r="E1594" s="2">
        <v>60</v>
      </c>
      <c r="F1594" s="2">
        <v>1201.299</v>
      </c>
    </row>
    <row r="1595" spans="3:6" x14ac:dyDescent="0.25">
      <c r="C1595" s="2" t="s">
        <v>3519</v>
      </c>
      <c r="D1595" s="2" t="s">
        <v>122</v>
      </c>
      <c r="E1595" s="2">
        <v>16</v>
      </c>
      <c r="F1595" s="2">
        <v>307</v>
      </c>
    </row>
    <row r="1596" spans="3:6" x14ac:dyDescent="0.25">
      <c r="C1596" s="2" t="s">
        <v>3520</v>
      </c>
      <c r="D1596" s="2" t="s">
        <v>122</v>
      </c>
      <c r="E1596" s="2">
        <v>98</v>
      </c>
      <c r="F1596" s="2">
        <v>1961.1</v>
      </c>
    </row>
    <row r="1597" spans="3:6" x14ac:dyDescent="0.25">
      <c r="C1597" s="2" t="s">
        <v>3521</v>
      </c>
      <c r="D1597" s="2" t="s">
        <v>122</v>
      </c>
      <c r="E1597" s="2">
        <v>6</v>
      </c>
      <c r="F1597" s="2">
        <v>131.8</v>
      </c>
    </row>
    <row r="1598" spans="3:6" x14ac:dyDescent="0.25">
      <c r="C1598" s="2" t="s">
        <v>3522</v>
      </c>
      <c r="D1598" s="2" t="s">
        <v>122</v>
      </c>
      <c r="E1598" s="2">
        <v>5</v>
      </c>
      <c r="F1598" s="2">
        <v>65.74</v>
      </c>
    </row>
    <row r="1599" spans="3:6" x14ac:dyDescent="0.25">
      <c r="C1599" s="2" t="s">
        <v>3523</v>
      </c>
      <c r="D1599" s="2" t="s">
        <v>122</v>
      </c>
      <c r="E1599" s="2">
        <v>16</v>
      </c>
      <c r="F1599" s="2">
        <v>351.5</v>
      </c>
    </row>
    <row r="1600" spans="3:6" x14ac:dyDescent="0.25">
      <c r="C1600" s="2" t="s">
        <v>3524</v>
      </c>
      <c r="D1600" s="2" t="s">
        <v>122</v>
      </c>
      <c r="E1600" s="2">
        <v>28</v>
      </c>
      <c r="F1600" s="2">
        <v>583.679</v>
      </c>
    </row>
    <row r="1601" spans="3:6" x14ac:dyDescent="0.25">
      <c r="C1601" s="2" t="s">
        <v>3525</v>
      </c>
      <c r="D1601" s="2" t="s">
        <v>122</v>
      </c>
      <c r="E1601" s="2">
        <v>25</v>
      </c>
      <c r="F1601" s="2">
        <v>504.2</v>
      </c>
    </row>
    <row r="1602" spans="3:6" x14ac:dyDescent="0.25">
      <c r="C1602" s="2" t="s">
        <v>3526</v>
      </c>
      <c r="D1602" s="2" t="s">
        <v>122</v>
      </c>
      <c r="E1602" s="2">
        <v>26</v>
      </c>
      <c r="F1602" s="2">
        <v>501.34</v>
      </c>
    </row>
    <row r="1603" spans="3:6" x14ac:dyDescent="0.25">
      <c r="C1603" s="2" t="s">
        <v>3527</v>
      </c>
      <c r="D1603" s="2" t="s">
        <v>122</v>
      </c>
      <c r="E1603" s="2">
        <v>25</v>
      </c>
      <c r="F1603" s="2">
        <v>482.45</v>
      </c>
    </row>
    <row r="1604" spans="3:6" x14ac:dyDescent="0.25">
      <c r="C1604" s="2" t="s">
        <v>3528</v>
      </c>
      <c r="D1604" s="2" t="s">
        <v>122</v>
      </c>
      <c r="E1604" s="2">
        <v>18</v>
      </c>
      <c r="F1604" s="2">
        <v>352.32</v>
      </c>
    </row>
    <row r="1605" spans="3:6" x14ac:dyDescent="0.25">
      <c r="C1605" s="2" t="s">
        <v>3529</v>
      </c>
      <c r="D1605" s="2" t="s">
        <v>122</v>
      </c>
      <c r="E1605" s="2">
        <v>11</v>
      </c>
      <c r="F1605" s="2">
        <v>217.54</v>
      </c>
    </row>
    <row r="1606" spans="3:6" x14ac:dyDescent="0.25">
      <c r="C1606" s="2" t="s">
        <v>3530</v>
      </c>
      <c r="D1606" s="2" t="s">
        <v>122</v>
      </c>
      <c r="E1606" s="2">
        <v>33</v>
      </c>
      <c r="F1606" s="2">
        <v>634.05</v>
      </c>
    </row>
    <row r="1607" spans="3:6" x14ac:dyDescent="0.25">
      <c r="C1607" s="2" t="s">
        <v>3531</v>
      </c>
      <c r="D1607" s="2" t="s">
        <v>122</v>
      </c>
      <c r="E1607" s="2">
        <v>34</v>
      </c>
      <c r="F1607" s="2">
        <v>670.82</v>
      </c>
    </row>
    <row r="1608" spans="3:6" x14ac:dyDescent="0.25">
      <c r="C1608" s="2" t="s">
        <v>3532</v>
      </c>
      <c r="D1608" s="2" t="s">
        <v>122</v>
      </c>
      <c r="E1608" s="2">
        <v>18</v>
      </c>
      <c r="F1608" s="2">
        <v>331.909</v>
      </c>
    </row>
    <row r="1609" spans="3:6" x14ac:dyDescent="0.25">
      <c r="C1609" s="2" t="s">
        <v>3533</v>
      </c>
      <c r="D1609" s="2" t="s">
        <v>122</v>
      </c>
      <c r="E1609" s="2">
        <v>17</v>
      </c>
      <c r="F1609" s="2">
        <v>327.21</v>
      </c>
    </row>
    <row r="1610" spans="3:6" x14ac:dyDescent="0.25">
      <c r="C1610" s="2" t="s">
        <v>3534</v>
      </c>
      <c r="D1610" s="2" t="s">
        <v>122</v>
      </c>
      <c r="E1610" s="2">
        <v>87</v>
      </c>
      <c r="F1610" s="2">
        <v>757.19</v>
      </c>
    </row>
    <row r="1611" spans="3:6" x14ac:dyDescent="0.25">
      <c r="C1611" s="2" t="s">
        <v>3535</v>
      </c>
      <c r="D1611" s="2" t="s">
        <v>122</v>
      </c>
      <c r="E1611" s="2">
        <v>12</v>
      </c>
      <c r="F1611" s="2">
        <v>194.849</v>
      </c>
    </row>
    <row r="1612" spans="3:6" x14ac:dyDescent="0.25">
      <c r="C1612" s="2" t="s">
        <v>3536</v>
      </c>
      <c r="D1612" s="2" t="s">
        <v>122</v>
      </c>
      <c r="E1612" s="2">
        <v>50</v>
      </c>
      <c r="F1612" s="2">
        <v>1210.516</v>
      </c>
    </row>
    <row r="1613" spans="3:6" x14ac:dyDescent="0.25">
      <c r="C1613" s="2" t="s">
        <v>3537</v>
      </c>
      <c r="D1613" s="2" t="s">
        <v>122</v>
      </c>
      <c r="E1613" s="2">
        <v>8</v>
      </c>
      <c r="F1613" s="2">
        <v>267.38</v>
      </c>
    </row>
    <row r="1614" spans="3:6" x14ac:dyDescent="0.25">
      <c r="C1614" s="2" t="s">
        <v>3538</v>
      </c>
      <c r="D1614" s="2" t="s">
        <v>122</v>
      </c>
      <c r="E1614" s="2">
        <v>75</v>
      </c>
      <c r="F1614" s="2">
        <v>949.322</v>
      </c>
    </row>
    <row r="1615" spans="3:6" x14ac:dyDescent="0.25">
      <c r="C1615" s="2" t="s">
        <v>3539</v>
      </c>
      <c r="D1615" s="2" t="s">
        <v>122</v>
      </c>
      <c r="E1615" s="2">
        <v>51</v>
      </c>
      <c r="F1615" s="2">
        <v>477.16</v>
      </c>
    </row>
    <row r="1616" spans="3:6" x14ac:dyDescent="0.25">
      <c r="C1616" s="2" t="s">
        <v>3540</v>
      </c>
      <c r="D1616" s="2" t="s">
        <v>122</v>
      </c>
      <c r="E1616" s="2">
        <v>11</v>
      </c>
      <c r="F1616" s="2">
        <v>223.51</v>
      </c>
    </row>
    <row r="1617" spans="3:6" x14ac:dyDescent="0.25">
      <c r="C1617" s="2" t="s">
        <v>3541</v>
      </c>
      <c r="D1617" s="2" t="s">
        <v>122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10</v>
      </c>
      <c r="C1619" s="2" t="s">
        <v>3542</v>
      </c>
      <c r="D1619" s="2" t="s">
        <v>12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3543</v>
      </c>
      <c r="D1620" s="2" t="s">
        <v>12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453</v>
      </c>
      <c r="C1622" s="2" t="s">
        <v>3544</v>
      </c>
      <c r="D1622" s="2" t="s">
        <v>204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3545</v>
      </c>
      <c r="D1623" s="2" t="s">
        <v>204</v>
      </c>
      <c r="E1623" s="2">
        <v>163</v>
      </c>
      <c r="F1623" s="2">
        <v>3162.84</v>
      </c>
    </row>
    <row r="1624" spans="3:6" x14ac:dyDescent="0.25">
      <c r="C1624" s="2" t="s">
        <v>3546</v>
      </c>
      <c r="D1624" s="2" t="s">
        <v>204</v>
      </c>
      <c r="E1624" s="2">
        <v>163</v>
      </c>
      <c r="F1624" s="2">
        <v>3129.609</v>
      </c>
    </row>
    <row r="1625" spans="3:6" x14ac:dyDescent="0.25">
      <c r="C1625" s="2" t="s">
        <v>3547</v>
      </c>
      <c r="D1625" s="2" t="s">
        <v>204</v>
      </c>
      <c r="E1625" s="2">
        <v>163</v>
      </c>
      <c r="F1625" s="2">
        <v>3127.829</v>
      </c>
    </row>
    <row r="1626" spans="3:6" x14ac:dyDescent="0.25">
      <c r="C1626" s="2" t="s">
        <v>3548</v>
      </c>
      <c r="D1626" s="2" t="s">
        <v>204</v>
      </c>
      <c r="E1626" s="2">
        <v>105</v>
      </c>
      <c r="F1626" s="2">
        <v>1943.1</v>
      </c>
    </row>
    <row r="1627" spans="3:6" x14ac:dyDescent="0.25">
      <c r="C1627" s="2" t="s">
        <v>3549</v>
      </c>
      <c r="D1627" s="2" t="s">
        <v>204</v>
      </c>
      <c r="E1627" s="2">
        <v>105</v>
      </c>
      <c r="F1627" s="2">
        <v>2065.029</v>
      </c>
    </row>
    <row r="1628" spans="3:6" x14ac:dyDescent="0.25">
      <c r="C1628" s="2" t="s">
        <v>3550</v>
      </c>
      <c r="D1628" s="2" t="s">
        <v>204</v>
      </c>
      <c r="E1628" s="2">
        <v>132</v>
      </c>
      <c r="F1628" s="2">
        <v>2481.2</v>
      </c>
    </row>
    <row r="1629" spans="3:6" x14ac:dyDescent="0.25">
      <c r="C1629" s="2" t="s">
        <v>3551</v>
      </c>
      <c r="D1629" s="2" t="s">
        <v>204</v>
      </c>
      <c r="E1629" s="2">
        <v>31</v>
      </c>
      <c r="F1629" s="2">
        <v>615</v>
      </c>
    </row>
    <row r="1630" spans="3:6" x14ac:dyDescent="0.25">
      <c r="C1630" s="2" t="s">
        <v>3552</v>
      </c>
      <c r="D1630" s="2" t="s">
        <v>204</v>
      </c>
      <c r="E1630" s="2">
        <v>105</v>
      </c>
      <c r="F1630" s="2">
        <v>2056.18</v>
      </c>
    </row>
    <row r="1631" spans="3:6" x14ac:dyDescent="0.25">
      <c r="C1631" s="2" t="s">
        <v>3553</v>
      </c>
      <c r="D1631" s="2" t="s">
        <v>204</v>
      </c>
      <c r="E1631" s="2">
        <v>105</v>
      </c>
      <c r="F1631" s="2">
        <v>1978.72</v>
      </c>
    </row>
    <row r="1632" spans="3:6" x14ac:dyDescent="0.25">
      <c r="C1632" s="2" t="s">
        <v>3554</v>
      </c>
      <c r="D1632" s="2" t="s">
        <v>204</v>
      </c>
      <c r="E1632" s="2">
        <v>117</v>
      </c>
      <c r="F1632" s="2">
        <v>2604.06</v>
      </c>
    </row>
    <row r="1633" spans="3:6" x14ac:dyDescent="0.25">
      <c r="C1633" s="2" t="s">
        <v>3555</v>
      </c>
      <c r="D1633" s="2" t="s">
        <v>204</v>
      </c>
      <c r="E1633" s="2">
        <v>163</v>
      </c>
      <c r="F1633" s="2">
        <v>3134.079</v>
      </c>
    </row>
    <row r="1634" spans="3:6" x14ac:dyDescent="0.25">
      <c r="C1634" s="2" t="s">
        <v>3556</v>
      </c>
      <c r="D1634" s="2" t="s">
        <v>214</v>
      </c>
      <c r="E1634" s="2">
        <v>56</v>
      </c>
      <c r="F1634" s="2">
        <v>1075</v>
      </c>
    </row>
    <row r="1635" spans="3:6" x14ac:dyDescent="0.25">
      <c r="C1635" s="2" t="s">
        <v>3557</v>
      </c>
      <c r="D1635" s="2" t="s">
        <v>214</v>
      </c>
      <c r="E1635" s="2">
        <v>100</v>
      </c>
      <c r="F1635" s="2">
        <v>1948.79</v>
      </c>
    </row>
    <row r="1636" spans="3:6" x14ac:dyDescent="0.25">
      <c r="C1636" s="2" t="s">
        <v>3558</v>
      </c>
      <c r="D1636" s="2" t="s">
        <v>214</v>
      </c>
      <c r="E1636" s="2">
        <v>56</v>
      </c>
      <c r="F1636" s="2">
        <v>1081.28</v>
      </c>
    </row>
    <row r="1637" spans="3:6" x14ac:dyDescent="0.25">
      <c r="C1637" s="2" t="s">
        <v>3559</v>
      </c>
      <c r="D1637" s="2" t="s">
        <v>214</v>
      </c>
      <c r="E1637" s="2">
        <v>100</v>
      </c>
      <c r="F1637" s="2">
        <v>1901.378</v>
      </c>
    </row>
    <row r="1638" spans="3:6" x14ac:dyDescent="0.25">
      <c r="C1638" s="2" t="s">
        <v>3560</v>
      </c>
      <c r="D1638" s="2" t="s">
        <v>214</v>
      </c>
      <c r="E1638" s="2">
        <v>100</v>
      </c>
      <c r="F1638" s="2">
        <v>1859.339</v>
      </c>
    </row>
    <row r="1639" spans="3:6" x14ac:dyDescent="0.25">
      <c r="C1639" s="2" t="s">
        <v>3561</v>
      </c>
      <c r="D1639" s="2" t="s">
        <v>214</v>
      </c>
      <c r="E1639" s="2">
        <v>56</v>
      </c>
      <c r="F1639" s="2">
        <v>1073.72</v>
      </c>
    </row>
    <row r="1640" spans="3:6" x14ac:dyDescent="0.25">
      <c r="C1640" s="2" t="s">
        <v>3562</v>
      </c>
      <c r="D1640" s="2" t="s">
        <v>214</v>
      </c>
      <c r="E1640" s="2">
        <v>100</v>
      </c>
      <c r="F1640" s="2">
        <v>1742.139</v>
      </c>
    </row>
    <row r="1641" spans="3:6" x14ac:dyDescent="0.25">
      <c r="C1641" s="2" t="s">
        <v>3563</v>
      </c>
      <c r="D1641" s="2" t="s">
        <v>214</v>
      </c>
      <c r="E1641" s="2">
        <v>56</v>
      </c>
      <c r="F1641" s="2">
        <v>1075.62</v>
      </c>
    </row>
    <row r="1642" spans="3:6" x14ac:dyDescent="0.25">
      <c r="C1642" s="2" t="s">
        <v>3564</v>
      </c>
      <c r="D1642" s="2" t="s">
        <v>214</v>
      </c>
      <c r="E1642" s="2">
        <v>156</v>
      </c>
      <c r="F1642" s="2">
        <v>3132.61</v>
      </c>
    </row>
    <row r="1643" spans="3:6" x14ac:dyDescent="0.25">
      <c r="C1643" s="2" t="s">
        <v>3565</v>
      </c>
      <c r="D1643" s="2" t="s">
        <v>214</v>
      </c>
      <c r="E1643" s="2">
        <v>156</v>
      </c>
      <c r="F1643" s="2">
        <v>3021.36</v>
      </c>
    </row>
    <row r="1644" spans="3:6" x14ac:dyDescent="0.25">
      <c r="C1644" s="2" t="s">
        <v>3566</v>
      </c>
      <c r="D1644" s="2" t="s">
        <v>216</v>
      </c>
      <c r="E1644" s="2">
        <v>95</v>
      </c>
      <c r="F1644" s="2">
        <v>1831.8</v>
      </c>
    </row>
    <row r="1645" spans="3:6" x14ac:dyDescent="0.25">
      <c r="C1645" s="2" t="s">
        <v>3567</v>
      </c>
      <c r="D1645" s="2" t="s">
        <v>216</v>
      </c>
      <c r="E1645" s="2">
        <v>156</v>
      </c>
      <c r="F1645" s="2">
        <v>2908.829</v>
      </c>
    </row>
    <row r="1646" spans="3:6" x14ac:dyDescent="0.25">
      <c r="C1646" s="2" t="s">
        <v>3568</v>
      </c>
      <c r="D1646" s="2" t="s">
        <v>216</v>
      </c>
      <c r="E1646" s="2">
        <v>134</v>
      </c>
      <c r="F1646" s="2">
        <v>2672.589</v>
      </c>
    </row>
    <row r="1647" spans="3:6" x14ac:dyDescent="0.25">
      <c r="C1647" s="2" t="s">
        <v>3569</v>
      </c>
      <c r="D1647" s="2" t="s">
        <v>216</v>
      </c>
      <c r="E1647" s="2">
        <v>134</v>
      </c>
      <c r="F1647" s="2">
        <v>2758.03</v>
      </c>
    </row>
    <row r="1648" spans="3:6" x14ac:dyDescent="0.25">
      <c r="C1648" s="2" t="s">
        <v>3570</v>
      </c>
      <c r="D1648" s="2" t="s">
        <v>216</v>
      </c>
      <c r="E1648" s="2">
        <v>134</v>
      </c>
      <c r="F1648" s="2">
        <v>2708.179</v>
      </c>
    </row>
    <row r="1649" spans="3:6" x14ac:dyDescent="0.25">
      <c r="C1649" s="2" t="s">
        <v>3571</v>
      </c>
      <c r="D1649" s="2" t="s">
        <v>216</v>
      </c>
      <c r="E1649" s="2">
        <v>134</v>
      </c>
      <c r="F1649" s="2">
        <v>2681.909</v>
      </c>
    </row>
    <row r="1650" spans="3:6" x14ac:dyDescent="0.25">
      <c r="C1650" s="2" t="s">
        <v>3572</v>
      </c>
      <c r="D1650" s="2" t="s">
        <v>216</v>
      </c>
      <c r="E1650" s="2">
        <v>134</v>
      </c>
      <c r="F1650" s="2">
        <v>2502.57</v>
      </c>
    </row>
    <row r="1651" spans="3:6" x14ac:dyDescent="0.25">
      <c r="C1651" s="2" t="s">
        <v>3573</v>
      </c>
      <c r="D1651" s="2" t="s">
        <v>216</v>
      </c>
      <c r="E1651" s="2">
        <v>134</v>
      </c>
      <c r="F1651" s="2">
        <v>2672.1</v>
      </c>
    </row>
    <row r="1652" spans="3:6" x14ac:dyDescent="0.25">
      <c r="C1652" s="2" t="s">
        <v>3574</v>
      </c>
      <c r="D1652" s="2" t="s">
        <v>216</v>
      </c>
      <c r="E1652" s="2">
        <v>105</v>
      </c>
      <c r="F1652" s="2">
        <v>1876.32</v>
      </c>
    </row>
    <row r="1653" spans="3:6" x14ac:dyDescent="0.25">
      <c r="C1653" s="2" t="s">
        <v>3575</v>
      </c>
      <c r="D1653" s="2" t="s">
        <v>236</v>
      </c>
      <c r="E1653" s="2">
        <v>60</v>
      </c>
      <c r="F1653" s="2">
        <v>1131.91</v>
      </c>
    </row>
    <row r="1654" spans="3:6" x14ac:dyDescent="0.25">
      <c r="C1654" s="2" t="s">
        <v>3576</v>
      </c>
      <c r="D1654" s="2" t="s">
        <v>236</v>
      </c>
      <c r="E1654" s="2">
        <v>45</v>
      </c>
      <c r="F1654" s="2">
        <v>786.379</v>
      </c>
    </row>
    <row r="1655" spans="3:6" x14ac:dyDescent="0.25">
      <c r="C1655" s="2" t="s">
        <v>3577</v>
      </c>
      <c r="D1655" s="2" t="s">
        <v>236</v>
      </c>
      <c r="E1655" s="2">
        <v>80</v>
      </c>
      <c r="F1655" s="2">
        <v>1537.74</v>
      </c>
    </row>
    <row r="1656" spans="3:6" x14ac:dyDescent="0.25">
      <c r="C1656" s="2" t="s">
        <v>3578</v>
      </c>
      <c r="D1656" s="2" t="s">
        <v>236</v>
      </c>
      <c r="E1656" s="2">
        <v>6</v>
      </c>
      <c r="F1656" s="2">
        <v>144</v>
      </c>
    </row>
    <row r="1657" spans="3:6" x14ac:dyDescent="0.25">
      <c r="C1657" s="2" t="s">
        <v>3579</v>
      </c>
      <c r="D1657" s="2" t="s">
        <v>236</v>
      </c>
      <c r="E1657" s="2">
        <v>19</v>
      </c>
      <c r="F1657" s="2">
        <v>334.3</v>
      </c>
    </row>
    <row r="1658" spans="3:6" x14ac:dyDescent="0.25">
      <c r="C1658" s="2" t="s">
        <v>3580</v>
      </c>
      <c r="D1658" s="2" t="s">
        <v>236</v>
      </c>
      <c r="E1658" s="2">
        <v>45</v>
      </c>
      <c r="F1658" s="2">
        <v>794.33</v>
      </c>
    </row>
    <row r="1659" spans="3:6" x14ac:dyDescent="0.25">
      <c r="C1659" s="2" t="s">
        <v>3581</v>
      </c>
      <c r="D1659" s="2" t="s">
        <v>236</v>
      </c>
      <c r="E1659" s="2">
        <v>60</v>
      </c>
      <c r="F1659" s="2">
        <v>1079.84</v>
      </c>
    </row>
    <row r="1660" spans="3:6" x14ac:dyDescent="0.25">
      <c r="C1660" s="2" t="s">
        <v>3582</v>
      </c>
      <c r="D1660" s="2" t="s">
        <v>347</v>
      </c>
      <c r="E1660" s="2">
        <v>13</v>
      </c>
      <c r="F1660" s="2">
        <v>261.9</v>
      </c>
    </row>
    <row r="1661" spans="3:6" x14ac:dyDescent="0.25">
      <c r="C1661" s="2" t="s">
        <v>3583</v>
      </c>
      <c r="D1661" s="2" t="s">
        <v>347</v>
      </c>
      <c r="E1661" s="2">
        <v>100</v>
      </c>
      <c r="F1661" s="2">
        <v>1887.86</v>
      </c>
    </row>
    <row r="1662" spans="3:6" x14ac:dyDescent="0.25">
      <c r="C1662" s="2" t="s">
        <v>3584</v>
      </c>
      <c r="D1662" s="2" t="s">
        <v>347</v>
      </c>
      <c r="E1662" s="2">
        <v>43</v>
      </c>
      <c r="F1662" s="2">
        <v>818.06</v>
      </c>
    </row>
    <row r="1663" spans="3:6" x14ac:dyDescent="0.25">
      <c r="C1663" s="2" t="s">
        <v>3585</v>
      </c>
      <c r="D1663" s="2" t="s">
        <v>347</v>
      </c>
      <c r="E1663" s="2">
        <v>56</v>
      </c>
      <c r="F1663" s="2">
        <v>1050.61</v>
      </c>
    </row>
    <row r="1664" spans="3:6" x14ac:dyDescent="0.25">
      <c r="C1664" s="2" t="s">
        <v>3586</v>
      </c>
      <c r="D1664" s="2" t="s">
        <v>347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3587</v>
      </c>
      <c r="C1666" s="2" t="s">
        <v>3588</v>
      </c>
      <c r="D1666" s="2" t="s">
        <v>204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183</v>
      </c>
      <c r="C1668" s="2" t="s">
        <v>3589</v>
      </c>
      <c r="D1668" s="2" t="s">
        <v>122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3590</v>
      </c>
      <c r="D1669" s="2" t="s">
        <v>122</v>
      </c>
      <c r="E1669" s="2">
        <v>40</v>
      </c>
      <c r="F1669" s="2">
        <v>755.179</v>
      </c>
    </row>
    <row r="1670" spans="3:6" x14ac:dyDescent="0.25">
      <c r="C1670" s="2" t="s">
        <v>3591</v>
      </c>
      <c r="D1670" s="2" t="s">
        <v>122</v>
      </c>
      <c r="E1670" s="2">
        <v>33</v>
      </c>
      <c r="F1670" s="2">
        <v>652.73</v>
      </c>
    </row>
    <row r="1671" spans="3:6" x14ac:dyDescent="0.25">
      <c r="C1671" s="2" t="s">
        <v>3592</v>
      </c>
      <c r="D1671" s="2" t="s">
        <v>122</v>
      </c>
      <c r="E1671" s="2">
        <v>41</v>
      </c>
      <c r="F1671" s="2">
        <v>760.049</v>
      </c>
    </row>
    <row r="1672" spans="3:6" x14ac:dyDescent="0.25">
      <c r="C1672" s="2" t="s">
        <v>3593</v>
      </c>
      <c r="D1672" s="2" t="s">
        <v>122</v>
      </c>
      <c r="E1672" s="2">
        <v>31</v>
      </c>
      <c r="F1672" s="2">
        <v>626.8</v>
      </c>
    </row>
    <row r="1673" spans="3:6" x14ac:dyDescent="0.25">
      <c r="C1673" s="2" t="s">
        <v>3594</v>
      </c>
      <c r="D1673" s="2" t="s">
        <v>122</v>
      </c>
      <c r="E1673" s="2">
        <v>26</v>
      </c>
      <c r="F1673" s="2">
        <v>538.56</v>
      </c>
    </row>
    <row r="1674" spans="3:6" x14ac:dyDescent="0.25">
      <c r="C1674" s="2" t="s">
        <v>3595</v>
      </c>
      <c r="D1674" s="2" t="s">
        <v>122</v>
      </c>
      <c r="E1674" s="2">
        <v>23</v>
      </c>
      <c r="F1674" s="2">
        <v>426.09</v>
      </c>
    </row>
    <row r="1675" spans="3:6" x14ac:dyDescent="0.25">
      <c r="C1675" s="2" t="s">
        <v>3596</v>
      </c>
      <c r="D1675" s="2" t="s">
        <v>122</v>
      </c>
      <c r="E1675" s="2">
        <v>111</v>
      </c>
      <c r="F1675" s="2">
        <v>2352.66</v>
      </c>
    </row>
    <row r="1676" spans="3:6" x14ac:dyDescent="0.25">
      <c r="C1676" s="2" t="s">
        <v>3597</v>
      </c>
      <c r="D1676" s="2" t="s">
        <v>122</v>
      </c>
      <c r="E1676" s="2">
        <v>30</v>
      </c>
      <c r="F1676" s="2">
        <v>594.32</v>
      </c>
    </row>
    <row r="1677" spans="3:6" x14ac:dyDescent="0.25">
      <c r="C1677" s="2" t="s">
        <v>3598</v>
      </c>
      <c r="D1677" s="2" t="s">
        <v>122</v>
      </c>
      <c r="E1677" s="2">
        <v>82</v>
      </c>
      <c r="F1677" s="2">
        <v>1737.42</v>
      </c>
    </row>
    <row r="1678" spans="3:6" x14ac:dyDescent="0.25">
      <c r="C1678" s="2" t="s">
        <v>3599</v>
      </c>
      <c r="D1678" s="2" t="s">
        <v>122</v>
      </c>
      <c r="E1678" s="2">
        <v>59</v>
      </c>
      <c r="F1678" s="2">
        <v>1206.82</v>
      </c>
    </row>
    <row r="1679" spans="3:6" x14ac:dyDescent="0.25">
      <c r="C1679" s="2" t="s">
        <v>3600</v>
      </c>
      <c r="D1679" s="2" t="s">
        <v>122</v>
      </c>
      <c r="E1679" s="2">
        <v>58</v>
      </c>
      <c r="F1679" s="2">
        <v>1938.361</v>
      </c>
    </row>
    <row r="1680" spans="3:6" x14ac:dyDescent="0.25">
      <c r="C1680" s="2" t="s">
        <v>3601</v>
      </c>
      <c r="D1680" s="2" t="s">
        <v>122</v>
      </c>
      <c r="E1680" s="2">
        <v>73</v>
      </c>
      <c r="F1680" s="2">
        <v>1661.949</v>
      </c>
    </row>
    <row r="1681" spans="3:6" x14ac:dyDescent="0.25">
      <c r="C1681" s="2" t="s">
        <v>3602</v>
      </c>
      <c r="D1681" s="2" t="s">
        <v>122</v>
      </c>
      <c r="E1681" s="2">
        <v>75</v>
      </c>
      <c r="F1681" s="2">
        <v>327.976</v>
      </c>
    </row>
    <row r="1682" spans="3:6" x14ac:dyDescent="0.25">
      <c r="C1682" s="2" t="s">
        <v>3603</v>
      </c>
      <c r="D1682" s="2" t="s">
        <v>122</v>
      </c>
      <c r="E1682" s="2">
        <v>60</v>
      </c>
      <c r="F1682" s="2">
        <v>267.6</v>
      </c>
    </row>
    <row r="1683" spans="3:6" x14ac:dyDescent="0.25">
      <c r="C1683" s="2" t="s">
        <v>3604</v>
      </c>
      <c r="D1683" s="2" t="s">
        <v>122</v>
      </c>
      <c r="E1683" s="2">
        <v>49</v>
      </c>
      <c r="F1683" s="2">
        <v>665.26</v>
      </c>
    </row>
    <row r="1684" spans="3:6" x14ac:dyDescent="0.25">
      <c r="C1684" s="2" t="s">
        <v>3605</v>
      </c>
      <c r="D1684" s="2" t="s">
        <v>122</v>
      </c>
      <c r="E1684" s="2">
        <v>19</v>
      </c>
      <c r="F1684" s="2">
        <v>363.23</v>
      </c>
    </row>
    <row r="1685" spans="3:6" x14ac:dyDescent="0.25">
      <c r="C1685" s="2" t="s">
        <v>3606</v>
      </c>
      <c r="D1685" s="2" t="s">
        <v>122</v>
      </c>
      <c r="E1685" s="2">
        <v>7</v>
      </c>
      <c r="F1685" s="2">
        <v>144.93</v>
      </c>
    </row>
    <row r="1686" spans="3:6" x14ac:dyDescent="0.25">
      <c r="C1686" s="2" t="s">
        <v>3607</v>
      </c>
      <c r="D1686" s="2" t="s">
        <v>122</v>
      </c>
      <c r="E1686" s="2">
        <v>43</v>
      </c>
      <c r="F1686" s="2">
        <v>800.051</v>
      </c>
    </row>
    <row r="1687" spans="3:6" x14ac:dyDescent="0.25">
      <c r="C1687" s="2" t="s">
        <v>3608</v>
      </c>
      <c r="D1687" s="2" t="s">
        <v>122</v>
      </c>
      <c r="E1687" s="2">
        <v>76</v>
      </c>
      <c r="F1687" s="2">
        <v>1540.74</v>
      </c>
    </row>
    <row r="1688" spans="3:6" x14ac:dyDescent="0.25">
      <c r="C1688" s="2" t="s">
        <v>3609</v>
      </c>
      <c r="D1688" s="2" t="s">
        <v>122</v>
      </c>
      <c r="E1688" s="2">
        <v>28</v>
      </c>
      <c r="F1688" s="2">
        <v>523.04</v>
      </c>
    </row>
    <row r="1689" spans="3:6" x14ac:dyDescent="0.25">
      <c r="C1689" s="2" t="s">
        <v>3610</v>
      </c>
      <c r="D1689" s="2" t="s">
        <v>122</v>
      </c>
      <c r="E1689" s="2">
        <v>37</v>
      </c>
      <c r="F1689" s="2">
        <v>704.29</v>
      </c>
    </row>
    <row r="1690" spans="3:6" x14ac:dyDescent="0.25">
      <c r="C1690" s="2" t="s">
        <v>3611</v>
      </c>
      <c r="D1690" s="2" t="s">
        <v>122</v>
      </c>
      <c r="E1690" s="2">
        <v>69</v>
      </c>
      <c r="F1690" s="2">
        <v>1305.49</v>
      </c>
    </row>
    <row r="1691" spans="3:6" x14ac:dyDescent="0.25">
      <c r="C1691" s="2" t="s">
        <v>3612</v>
      </c>
      <c r="D1691" s="2" t="s">
        <v>122</v>
      </c>
      <c r="E1691" s="2">
        <v>65</v>
      </c>
      <c r="F1691" s="2">
        <v>1328.13</v>
      </c>
    </row>
    <row r="1692" spans="3:6" x14ac:dyDescent="0.25">
      <c r="C1692" s="2" t="s">
        <v>3613</v>
      </c>
      <c r="D1692" s="2" t="s">
        <v>122</v>
      </c>
      <c r="E1692" s="2">
        <v>60</v>
      </c>
      <c r="F1692" s="2">
        <v>1180.61</v>
      </c>
    </row>
    <row r="1693" spans="3:6" x14ac:dyDescent="0.25">
      <c r="C1693" s="2" t="s">
        <v>3614</v>
      </c>
      <c r="D1693" s="2" t="s">
        <v>122</v>
      </c>
      <c r="E1693" s="2">
        <v>42</v>
      </c>
      <c r="F1693" s="2">
        <v>797.59</v>
      </c>
    </row>
    <row r="1694" spans="3:6" x14ac:dyDescent="0.25">
      <c r="C1694" s="2" t="s">
        <v>3615</v>
      </c>
      <c r="D1694" s="2" t="s">
        <v>122</v>
      </c>
      <c r="E1694" s="2">
        <v>75</v>
      </c>
      <c r="F1694" s="2">
        <v>1526.54</v>
      </c>
    </row>
    <row r="1695" spans="3:6" x14ac:dyDescent="0.25">
      <c r="C1695" s="2" t="s">
        <v>3616</v>
      </c>
      <c r="D1695" s="2" t="s">
        <v>122</v>
      </c>
      <c r="E1695" s="2">
        <v>46</v>
      </c>
      <c r="F1695" s="2">
        <v>873.899</v>
      </c>
    </row>
    <row r="1696" spans="3:6" x14ac:dyDescent="0.25">
      <c r="C1696" s="2" t="s">
        <v>3617</v>
      </c>
      <c r="D1696" s="2" t="s">
        <v>122</v>
      </c>
      <c r="E1696" s="2">
        <v>29</v>
      </c>
      <c r="F1696" s="2">
        <v>115.368</v>
      </c>
    </row>
    <row r="1697" spans="3:6" x14ac:dyDescent="0.25">
      <c r="C1697" s="2" t="s">
        <v>3618</v>
      </c>
      <c r="D1697" s="2" t="s">
        <v>122</v>
      </c>
      <c r="E1697" s="2">
        <v>56</v>
      </c>
      <c r="F1697" s="2">
        <v>239.039</v>
      </c>
    </row>
    <row r="1698" spans="3:6" x14ac:dyDescent="0.25">
      <c r="C1698" s="2" t="s">
        <v>3619</v>
      </c>
      <c r="D1698" s="2" t="s">
        <v>122</v>
      </c>
      <c r="E1698" s="2">
        <v>56</v>
      </c>
      <c r="F1698" s="2">
        <v>114.12</v>
      </c>
    </row>
    <row r="1699" spans="3:6" x14ac:dyDescent="0.25">
      <c r="C1699" s="2" t="s">
        <v>3620</v>
      </c>
      <c r="D1699" s="2" t="s">
        <v>122</v>
      </c>
      <c r="E1699" s="2">
        <v>33</v>
      </c>
      <c r="F1699" s="2">
        <v>251.492</v>
      </c>
    </row>
    <row r="1700" spans="3:6" x14ac:dyDescent="0.25">
      <c r="C1700" s="2" t="s">
        <v>3621</v>
      </c>
      <c r="D1700" s="2" t="s">
        <v>122</v>
      </c>
      <c r="E1700" s="2">
        <v>30</v>
      </c>
      <c r="F1700" s="2">
        <v>601.21</v>
      </c>
    </row>
    <row r="1701" spans="3:6" x14ac:dyDescent="0.25">
      <c r="C1701" s="2" t="s">
        <v>3622</v>
      </c>
      <c r="D1701" s="2" t="s">
        <v>122</v>
      </c>
      <c r="E1701" s="2">
        <v>22</v>
      </c>
      <c r="F1701" s="2">
        <v>430.959</v>
      </c>
    </row>
    <row r="1702" spans="3:6" x14ac:dyDescent="0.25">
      <c r="C1702" s="2" t="s">
        <v>3623</v>
      </c>
      <c r="D1702" s="2" t="s">
        <v>122</v>
      </c>
      <c r="E1702" s="2">
        <v>26</v>
      </c>
      <c r="F1702" s="2">
        <v>526.68</v>
      </c>
    </row>
    <row r="1703" spans="3:6" x14ac:dyDescent="0.25">
      <c r="C1703" s="2" t="s">
        <v>3624</v>
      </c>
      <c r="D1703" s="2" t="s">
        <v>122</v>
      </c>
      <c r="E1703" s="2">
        <v>25</v>
      </c>
      <c r="F1703" s="2">
        <v>474.66</v>
      </c>
    </row>
    <row r="1704" spans="3:6" x14ac:dyDescent="0.25">
      <c r="C1704" s="2" t="s">
        <v>3625</v>
      </c>
      <c r="D1704" s="2" t="s">
        <v>122</v>
      </c>
      <c r="E1704" s="2">
        <v>24</v>
      </c>
      <c r="F1704" s="2">
        <v>473.5</v>
      </c>
    </row>
    <row r="1705" spans="3:6" x14ac:dyDescent="0.25">
      <c r="C1705" s="2" t="s">
        <v>3626</v>
      </c>
      <c r="D1705" s="2" t="s">
        <v>122</v>
      </c>
      <c r="E1705" s="2">
        <v>61</v>
      </c>
      <c r="F1705" s="2">
        <v>1210.68</v>
      </c>
    </row>
    <row r="1706" spans="3:6" x14ac:dyDescent="0.25">
      <c r="C1706" s="2" t="s">
        <v>3627</v>
      </c>
      <c r="D1706" s="2" t="s">
        <v>122</v>
      </c>
      <c r="E1706" s="2">
        <v>36</v>
      </c>
      <c r="F1706" s="2">
        <v>744.25</v>
      </c>
    </row>
    <row r="1707" spans="3:6" x14ac:dyDescent="0.25">
      <c r="C1707" s="2" t="s">
        <v>3628</v>
      </c>
      <c r="D1707" s="2" t="s">
        <v>122</v>
      </c>
      <c r="E1707" s="2">
        <v>35</v>
      </c>
      <c r="F1707" s="2">
        <v>693.84</v>
      </c>
    </row>
    <row r="1708" spans="3:6" x14ac:dyDescent="0.25">
      <c r="C1708" s="2" t="s">
        <v>3629</v>
      </c>
      <c r="D1708" s="2" t="s">
        <v>122</v>
      </c>
      <c r="E1708" s="2">
        <v>9</v>
      </c>
      <c r="F1708" s="2">
        <v>182.63</v>
      </c>
    </row>
    <row r="1709" spans="3:6" x14ac:dyDescent="0.25">
      <c r="C1709" s="2" t="s">
        <v>3630</v>
      </c>
      <c r="D1709" s="2" t="s">
        <v>122</v>
      </c>
      <c r="E1709" s="2">
        <v>20</v>
      </c>
      <c r="F1709" s="2">
        <v>142.571</v>
      </c>
    </row>
    <row r="1710" spans="3:6" x14ac:dyDescent="0.25">
      <c r="C1710" s="2" t="s">
        <v>3631</v>
      </c>
      <c r="D1710" s="2" t="s">
        <v>122</v>
      </c>
      <c r="E1710" s="2">
        <v>82</v>
      </c>
      <c r="F1710" s="2">
        <v>1727.91</v>
      </c>
    </row>
    <row r="1711" spans="3:6" x14ac:dyDescent="0.25">
      <c r="C1711" s="2" t="s">
        <v>3632</v>
      </c>
      <c r="D1711" s="2" t="s">
        <v>122</v>
      </c>
      <c r="E1711" s="2">
        <v>82</v>
      </c>
      <c r="F1711" s="2">
        <v>1680.97</v>
      </c>
    </row>
    <row r="1712" spans="3:6" x14ac:dyDescent="0.25">
      <c r="C1712" s="2" t="s">
        <v>3633</v>
      </c>
      <c r="D1712" s="2" t="s">
        <v>122</v>
      </c>
      <c r="E1712" s="2">
        <v>6</v>
      </c>
      <c r="F1712" s="2">
        <v>111.44</v>
      </c>
    </row>
    <row r="1713" spans="3:6" x14ac:dyDescent="0.25">
      <c r="C1713" s="2" t="s">
        <v>3634</v>
      </c>
      <c r="D1713" s="2" t="s">
        <v>122</v>
      </c>
      <c r="E1713" s="2">
        <v>14</v>
      </c>
      <c r="F1713" s="2">
        <v>252.29</v>
      </c>
    </row>
    <row r="1714" spans="3:6" x14ac:dyDescent="0.25">
      <c r="C1714" s="2" t="s">
        <v>3635</v>
      </c>
      <c r="D1714" s="2" t="s">
        <v>122</v>
      </c>
      <c r="E1714" s="2">
        <v>46</v>
      </c>
      <c r="F1714" s="2">
        <v>970.71</v>
      </c>
    </row>
    <row r="1715" spans="3:6" x14ac:dyDescent="0.25">
      <c r="C1715" s="2" t="s">
        <v>3636</v>
      </c>
      <c r="D1715" s="2" t="s">
        <v>122</v>
      </c>
      <c r="E1715" s="2">
        <v>8</v>
      </c>
      <c r="F1715" s="2">
        <v>149.7</v>
      </c>
    </row>
    <row r="1716" spans="3:6" x14ac:dyDescent="0.25">
      <c r="C1716" s="2" t="s">
        <v>3637</v>
      </c>
      <c r="D1716" s="2" t="s">
        <v>122</v>
      </c>
      <c r="E1716" s="2">
        <v>48</v>
      </c>
      <c r="F1716" s="2">
        <v>956.28</v>
      </c>
    </row>
    <row r="1717" spans="3:6" x14ac:dyDescent="0.25">
      <c r="C1717" s="2" t="s">
        <v>3638</v>
      </c>
      <c r="D1717" s="2" t="s">
        <v>122</v>
      </c>
      <c r="E1717" s="2">
        <v>141</v>
      </c>
      <c r="F1717" s="2">
        <v>2956.36</v>
      </c>
    </row>
    <row r="1718" spans="3:6" x14ac:dyDescent="0.25">
      <c r="C1718" s="2" t="s">
        <v>3639</v>
      </c>
      <c r="D1718" s="2" t="s">
        <v>122</v>
      </c>
      <c r="E1718" s="2">
        <v>141</v>
      </c>
      <c r="F1718" s="2">
        <v>2824.93</v>
      </c>
    </row>
    <row r="1719" spans="3:6" x14ac:dyDescent="0.25">
      <c r="C1719" s="2" t="s">
        <v>3640</v>
      </c>
      <c r="D1719" s="2" t="s">
        <v>122</v>
      </c>
      <c r="E1719" s="2">
        <v>78</v>
      </c>
      <c r="F1719" s="2">
        <v>1597.99</v>
      </c>
    </row>
    <row r="1720" spans="3:6" x14ac:dyDescent="0.25">
      <c r="C1720" s="2" t="s">
        <v>3641</v>
      </c>
      <c r="D1720" s="2" t="s">
        <v>122</v>
      </c>
      <c r="E1720" s="2">
        <v>63</v>
      </c>
      <c r="F1720" s="2">
        <v>1247.289</v>
      </c>
    </row>
    <row r="1721" spans="3:6" x14ac:dyDescent="0.25">
      <c r="C1721" s="2" t="s">
        <v>3642</v>
      </c>
      <c r="D1721" s="2" t="s">
        <v>122</v>
      </c>
      <c r="E1721" s="2">
        <v>43</v>
      </c>
      <c r="F1721" s="2">
        <v>830.92</v>
      </c>
    </row>
    <row r="1722" spans="3:6" x14ac:dyDescent="0.25">
      <c r="C1722" s="2" t="s">
        <v>3643</v>
      </c>
      <c r="D1722" s="2" t="s">
        <v>122</v>
      </c>
      <c r="E1722" s="2">
        <v>40</v>
      </c>
      <c r="F1722" s="2">
        <v>724.43</v>
      </c>
    </row>
    <row r="1723" spans="3:6" x14ac:dyDescent="0.25">
      <c r="C1723" s="2" t="s">
        <v>3644</v>
      </c>
      <c r="D1723" s="2" t="s">
        <v>122</v>
      </c>
      <c r="E1723" s="2">
        <v>25</v>
      </c>
      <c r="F1723" s="2">
        <v>432.579</v>
      </c>
    </row>
    <row r="1724" spans="3:6" x14ac:dyDescent="0.25">
      <c r="C1724" s="2" t="s">
        <v>3645</v>
      </c>
      <c r="D1724" s="2" t="s">
        <v>122</v>
      </c>
      <c r="E1724" s="2">
        <v>17</v>
      </c>
      <c r="F1724" s="2">
        <v>358.83</v>
      </c>
    </row>
    <row r="1725" spans="3:6" x14ac:dyDescent="0.25">
      <c r="C1725" s="2" t="s">
        <v>3646</v>
      </c>
      <c r="D1725" s="2" t="s">
        <v>122</v>
      </c>
      <c r="E1725" s="2">
        <v>16</v>
      </c>
      <c r="F1725" s="2">
        <v>327.039</v>
      </c>
    </row>
    <row r="1726" spans="3:6" x14ac:dyDescent="0.25">
      <c r="C1726" s="2" t="s">
        <v>3647</v>
      </c>
      <c r="D1726" s="2" t="s">
        <v>122</v>
      </c>
      <c r="E1726" s="2">
        <v>45</v>
      </c>
      <c r="F1726" s="2">
        <v>939.02</v>
      </c>
    </row>
    <row r="1727" spans="3:6" x14ac:dyDescent="0.25">
      <c r="C1727" s="2" t="s">
        <v>3648</v>
      </c>
      <c r="D1727" s="2" t="s">
        <v>122</v>
      </c>
      <c r="E1727" s="2">
        <v>45</v>
      </c>
      <c r="F1727" s="2">
        <v>947.21</v>
      </c>
    </row>
    <row r="1728" spans="3:6" x14ac:dyDescent="0.25">
      <c r="C1728" s="2" t="s">
        <v>3649</v>
      </c>
      <c r="D1728" s="2" t="s">
        <v>122</v>
      </c>
      <c r="E1728" s="2">
        <v>29</v>
      </c>
      <c r="F1728" s="2">
        <v>613.37</v>
      </c>
    </row>
    <row r="1729" spans="3:6" x14ac:dyDescent="0.25">
      <c r="C1729" s="2" t="s">
        <v>3650</v>
      </c>
      <c r="D1729" s="2" t="s">
        <v>122</v>
      </c>
      <c r="E1729" s="2">
        <v>22</v>
      </c>
      <c r="F1729" s="2">
        <v>449.59</v>
      </c>
    </row>
    <row r="1730" spans="3:6" x14ac:dyDescent="0.25">
      <c r="C1730" s="2" t="s">
        <v>3651</v>
      </c>
      <c r="D1730" s="2" t="s">
        <v>122</v>
      </c>
      <c r="E1730" s="2">
        <v>24</v>
      </c>
      <c r="F1730" s="2">
        <v>495.14</v>
      </c>
    </row>
    <row r="1731" spans="3:6" x14ac:dyDescent="0.25">
      <c r="C1731" s="2" t="s">
        <v>3652</v>
      </c>
      <c r="D1731" s="2" t="s">
        <v>122</v>
      </c>
      <c r="E1731" s="2">
        <v>23</v>
      </c>
      <c r="F1731" s="2">
        <v>436.69</v>
      </c>
    </row>
    <row r="1732" spans="3:6" x14ac:dyDescent="0.25">
      <c r="C1732" s="2" t="s">
        <v>3653</v>
      </c>
      <c r="D1732" s="2" t="s">
        <v>122</v>
      </c>
      <c r="E1732" s="2">
        <v>18</v>
      </c>
      <c r="F1732" s="2">
        <v>374.08</v>
      </c>
    </row>
    <row r="1733" spans="3:6" x14ac:dyDescent="0.25">
      <c r="C1733" s="2" t="s">
        <v>3654</v>
      </c>
      <c r="D1733" s="2" t="s">
        <v>122</v>
      </c>
      <c r="E1733" s="2">
        <v>17</v>
      </c>
      <c r="F1733" s="2">
        <v>331.139</v>
      </c>
    </row>
    <row r="1734" spans="3:6" x14ac:dyDescent="0.25">
      <c r="C1734" s="2" t="s">
        <v>3655</v>
      </c>
      <c r="D1734" s="2" t="s">
        <v>122</v>
      </c>
      <c r="E1734" s="2">
        <v>14</v>
      </c>
      <c r="F1734" s="2">
        <v>286.73</v>
      </c>
    </row>
    <row r="1735" spans="3:6" x14ac:dyDescent="0.25">
      <c r="C1735" s="2" t="s">
        <v>3656</v>
      </c>
      <c r="D1735" s="2" t="s">
        <v>122</v>
      </c>
      <c r="E1735" s="2">
        <v>12</v>
      </c>
      <c r="F1735" s="2">
        <v>260.9</v>
      </c>
    </row>
    <row r="1736" spans="3:6" x14ac:dyDescent="0.25">
      <c r="C1736" s="2" t="s">
        <v>3657</v>
      </c>
      <c r="D1736" s="2" t="s">
        <v>122</v>
      </c>
      <c r="E1736" s="2">
        <v>10</v>
      </c>
      <c r="F1736" s="2">
        <v>200.28</v>
      </c>
    </row>
    <row r="1737" spans="3:6" x14ac:dyDescent="0.25">
      <c r="C1737" s="2" t="s">
        <v>3658</v>
      </c>
      <c r="D1737" s="2" t="s">
        <v>122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398</v>
      </c>
      <c r="C1739" s="2" t="s">
        <v>3659</v>
      </c>
      <c r="D1739" s="2" t="s">
        <v>12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3660</v>
      </c>
      <c r="D1740" s="2" t="s">
        <v>12</v>
      </c>
      <c r="E1740" s="2">
        <v>150</v>
      </c>
      <c r="F1740" s="2">
        <v>3106.84</v>
      </c>
    </row>
    <row r="1741" spans="3:6" x14ac:dyDescent="0.25">
      <c r="C1741" s="2" t="s">
        <v>3661</v>
      </c>
      <c r="D1741" s="2" t="s">
        <v>12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10</v>
      </c>
      <c r="C1743" s="2" t="s">
        <v>3662</v>
      </c>
      <c r="D1743" s="2" t="s">
        <v>12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3663</v>
      </c>
      <c r="D1744" s="2" t="s">
        <v>12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2094</v>
      </c>
      <c r="C1746" s="2" t="s">
        <v>3664</v>
      </c>
      <c r="D1746" s="2" t="s">
        <v>297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324</v>
      </c>
      <c r="C1748" s="2" t="s">
        <v>3665</v>
      </c>
      <c r="D1748" s="2" t="s">
        <v>27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3666</v>
      </c>
      <c r="D1749" s="2" t="s">
        <v>27</v>
      </c>
      <c r="E1749" s="2">
        <v>15</v>
      </c>
      <c r="F1749" s="2">
        <v>244.59</v>
      </c>
    </row>
    <row r="1750" spans="3:6" x14ac:dyDescent="0.25">
      <c r="C1750" s="2" t="s">
        <v>3667</v>
      </c>
      <c r="D1750" s="2" t="s">
        <v>27</v>
      </c>
      <c r="E1750" s="2">
        <v>51</v>
      </c>
      <c r="F1750" s="2">
        <v>847.771</v>
      </c>
    </row>
    <row r="1751" spans="3:6" x14ac:dyDescent="0.25">
      <c r="C1751" s="2" t="s">
        <v>3668</v>
      </c>
      <c r="D1751" s="2" t="s">
        <v>27</v>
      </c>
      <c r="E1751" s="2">
        <v>6</v>
      </c>
      <c r="F1751" s="2">
        <v>141.65</v>
      </c>
    </row>
    <row r="1752" spans="3:6" x14ac:dyDescent="0.25">
      <c r="C1752" s="2" t="s">
        <v>3669</v>
      </c>
      <c r="D1752" s="2" t="s">
        <v>27</v>
      </c>
      <c r="E1752" s="2">
        <v>17</v>
      </c>
      <c r="F1752" s="2">
        <v>273.83</v>
      </c>
    </row>
    <row r="1753" spans="3:6" x14ac:dyDescent="0.25">
      <c r="C1753" s="2" t="s">
        <v>3670</v>
      </c>
      <c r="D1753" s="2" t="s">
        <v>27</v>
      </c>
      <c r="E1753" s="2">
        <v>69</v>
      </c>
      <c r="F1753" s="2">
        <v>1181.527</v>
      </c>
    </row>
    <row r="1754" spans="3:6" x14ac:dyDescent="0.25">
      <c r="C1754" s="2" t="s">
        <v>3671</v>
      </c>
      <c r="D1754" s="2" t="s">
        <v>27</v>
      </c>
      <c r="E1754" s="2">
        <v>21</v>
      </c>
      <c r="F1754" s="2">
        <v>431.1</v>
      </c>
    </row>
    <row r="1755" spans="3:6" x14ac:dyDescent="0.25">
      <c r="C1755" s="2" t="s">
        <v>3672</v>
      </c>
      <c r="D1755" s="2" t="s">
        <v>27</v>
      </c>
      <c r="E1755" s="2">
        <v>68</v>
      </c>
      <c r="F1755" s="2">
        <v>1391.479</v>
      </c>
    </row>
    <row r="1756" spans="3:6" x14ac:dyDescent="0.25">
      <c r="C1756" s="2" t="s">
        <v>3673</v>
      </c>
      <c r="D1756" s="2" t="s">
        <v>27</v>
      </c>
      <c r="E1756" s="2">
        <v>42</v>
      </c>
      <c r="F1756" s="2">
        <v>895.84</v>
      </c>
    </row>
    <row r="1757" spans="3:6" x14ac:dyDescent="0.25">
      <c r="C1757" s="2" t="s">
        <v>3674</v>
      </c>
      <c r="D1757" s="2" t="s">
        <v>27</v>
      </c>
      <c r="E1757" s="2">
        <v>42</v>
      </c>
      <c r="F1757" s="2">
        <v>763.18</v>
      </c>
    </row>
    <row r="1758" spans="3:6" x14ac:dyDescent="0.25">
      <c r="C1758" s="2" t="s">
        <v>3675</v>
      </c>
      <c r="D1758" s="2" t="s">
        <v>27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120</v>
      </c>
      <c r="C1760" s="2" t="s">
        <v>3676</v>
      </c>
      <c r="D1760" s="2" t="s">
        <v>122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3677</v>
      </c>
      <c r="D1761" s="2" t="s">
        <v>122</v>
      </c>
      <c r="E1761" s="2">
        <v>24</v>
      </c>
      <c r="F1761" s="2">
        <v>466.69</v>
      </c>
    </row>
    <row r="1762" spans="3:6" x14ac:dyDescent="0.25">
      <c r="C1762" s="2" t="s">
        <v>3678</v>
      </c>
      <c r="D1762" s="2" t="s">
        <v>122</v>
      </c>
      <c r="E1762" s="2">
        <v>13</v>
      </c>
      <c r="F1762" s="2">
        <v>246.11</v>
      </c>
    </row>
    <row r="1763" spans="3:6" x14ac:dyDescent="0.25">
      <c r="C1763" s="2" t="s">
        <v>3679</v>
      </c>
      <c r="D1763" s="2" t="s">
        <v>122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3680</v>
      </c>
      <c r="D1764" s="2" t="s">
        <v>122</v>
      </c>
      <c r="E1764" s="2">
        <v>25</v>
      </c>
      <c r="F1764" s="2">
        <v>519.5</v>
      </c>
    </row>
    <row r="1765" spans="3:6" x14ac:dyDescent="0.25">
      <c r="C1765" s="2" t="s">
        <v>3681</v>
      </c>
      <c r="D1765" s="2" t="s">
        <v>122</v>
      </c>
      <c r="E1765" s="2">
        <v>83</v>
      </c>
      <c r="F1765" s="2">
        <f>32.9+373.965</f>
        <v>406.86499999999995</v>
      </c>
    </row>
    <row r="1766" spans="3:6" x14ac:dyDescent="0.25">
      <c r="C1766" s="2" t="s">
        <v>3682</v>
      </c>
      <c r="D1766" s="2" t="s">
        <v>122</v>
      </c>
      <c r="E1766" s="2">
        <v>47</v>
      </c>
      <c r="F1766" s="2">
        <v>1012.3</v>
      </c>
    </row>
    <row r="1767" spans="3:6" x14ac:dyDescent="0.25">
      <c r="C1767" s="2" t="s">
        <v>3683</v>
      </c>
      <c r="D1767" s="2" t="s">
        <v>122</v>
      </c>
      <c r="E1767" s="2">
        <v>141</v>
      </c>
      <c r="F1767" s="2">
        <v>2631.79</v>
      </c>
    </row>
    <row r="1768" spans="3:6" x14ac:dyDescent="0.25">
      <c r="C1768" s="2" t="s">
        <v>3684</v>
      </c>
      <c r="D1768" s="2" t="s">
        <v>122</v>
      </c>
      <c r="E1768" s="2">
        <v>91</v>
      </c>
      <c r="F1768" s="2">
        <v>1908.55</v>
      </c>
    </row>
    <row r="1769" spans="3:6" x14ac:dyDescent="0.25">
      <c r="C1769" s="2" t="s">
        <v>3685</v>
      </c>
      <c r="D1769" s="2" t="s">
        <v>122</v>
      </c>
      <c r="E1769" s="2">
        <v>102</v>
      </c>
      <c r="F1769" s="2">
        <v>2100.75</v>
      </c>
    </row>
    <row r="1770" spans="3:6" x14ac:dyDescent="0.25">
      <c r="C1770" s="2" t="s">
        <v>3686</v>
      </c>
      <c r="D1770" s="2" t="s">
        <v>122</v>
      </c>
      <c r="E1770" s="2">
        <v>70</v>
      </c>
      <c r="F1770" s="2">
        <v>1448.64</v>
      </c>
    </row>
    <row r="1771" spans="3:6" x14ac:dyDescent="0.25">
      <c r="C1771" s="2" t="s">
        <v>3687</v>
      </c>
      <c r="D1771" s="2" t="s">
        <v>122</v>
      </c>
      <c r="E1771" s="2">
        <v>32</v>
      </c>
      <c r="F1771" s="2">
        <v>611.42</v>
      </c>
    </row>
    <row r="1772" spans="3:6" x14ac:dyDescent="0.25">
      <c r="C1772" s="2" t="s">
        <v>3688</v>
      </c>
      <c r="D1772" s="2" t="s">
        <v>122</v>
      </c>
      <c r="E1772" s="2">
        <v>42</v>
      </c>
      <c r="F1772" s="2">
        <v>625.212</v>
      </c>
    </row>
    <row r="1773" spans="3:6" x14ac:dyDescent="0.25">
      <c r="C1773" s="2" t="s">
        <v>3689</v>
      </c>
      <c r="D1773" s="2" t="s">
        <v>122</v>
      </c>
      <c r="E1773" s="2">
        <v>41</v>
      </c>
      <c r="F1773" s="2">
        <v>812.18</v>
      </c>
    </row>
    <row r="1774" spans="3:6" x14ac:dyDescent="0.25">
      <c r="C1774" s="2" t="s">
        <v>3690</v>
      </c>
      <c r="D1774" s="2" t="s">
        <v>122</v>
      </c>
      <c r="E1774" s="2">
        <v>70</v>
      </c>
      <c r="F1774" s="2">
        <f>757.9+503.55</f>
        <v>1261.45</v>
      </c>
    </row>
    <row r="1775" spans="3:6" x14ac:dyDescent="0.25">
      <c r="C1775" s="2" t="s">
        <v>3691</v>
      </c>
      <c r="D1775" s="2" t="s">
        <v>122</v>
      </c>
      <c r="E1775" s="2">
        <v>7</v>
      </c>
      <c r="F1775" s="2">
        <v>146.15</v>
      </c>
    </row>
    <row r="1776" spans="3:6" x14ac:dyDescent="0.25">
      <c r="C1776" s="2" t="s">
        <v>3692</v>
      </c>
      <c r="D1776" s="2" t="s">
        <v>122</v>
      </c>
      <c r="E1776" s="2">
        <v>7</v>
      </c>
      <c r="F1776" s="2">
        <f>74.8+60.85</f>
        <v>135.65</v>
      </c>
    </row>
    <row r="1777" spans="3:6" x14ac:dyDescent="0.25">
      <c r="C1777" s="2" t="s">
        <v>3693</v>
      </c>
      <c r="D1777" s="2" t="s">
        <v>122</v>
      </c>
      <c r="E1777" s="2">
        <v>8</v>
      </c>
      <c r="F1777" s="2">
        <f>50.8+80.27</f>
        <v>131.07</v>
      </c>
    </row>
    <row r="1778" spans="3:6" x14ac:dyDescent="0.25">
      <c r="C1778" s="2" t="s">
        <v>3694</v>
      </c>
      <c r="D1778" s="2" t="s">
        <v>122</v>
      </c>
      <c r="E1778" s="2">
        <v>4</v>
      </c>
      <c r="F1778" s="2">
        <f>8.55+37.43</f>
        <v>45.980000000000004</v>
      </c>
    </row>
    <row r="1779" spans="3:6" x14ac:dyDescent="0.25">
      <c r="C1779" s="2" t="s">
        <v>3695</v>
      </c>
      <c r="D1779" s="2" t="s">
        <v>122</v>
      </c>
      <c r="E1779" s="2">
        <v>7</v>
      </c>
      <c r="F1779" s="2">
        <v>133.49</v>
      </c>
    </row>
    <row r="1780" spans="3:6" x14ac:dyDescent="0.25">
      <c r="C1780" s="2" t="s">
        <v>3696</v>
      </c>
      <c r="D1780" s="2" t="s">
        <v>122</v>
      </c>
      <c r="E1780" s="2">
        <v>102</v>
      </c>
      <c r="F1780" s="2">
        <v>430.849</v>
      </c>
    </row>
    <row r="1781" spans="3:6" x14ac:dyDescent="0.25">
      <c r="C1781" s="2" t="s">
        <v>3697</v>
      </c>
      <c r="D1781" s="2" t="s">
        <v>122</v>
      </c>
      <c r="E1781" s="2">
        <v>58</v>
      </c>
      <c r="F1781" s="2">
        <v>233.169</v>
      </c>
    </row>
    <row r="1782" spans="3:6" x14ac:dyDescent="0.25">
      <c r="C1782" s="2" t="s">
        <v>3698</v>
      </c>
      <c r="D1782" s="2" t="s">
        <v>122</v>
      </c>
      <c r="E1782" s="2">
        <v>65</v>
      </c>
      <c r="F1782" s="2">
        <v>1272.1</v>
      </c>
    </row>
    <row r="1783" spans="3:6" x14ac:dyDescent="0.25">
      <c r="C1783" s="2" t="s">
        <v>3699</v>
      </c>
      <c r="D1783" s="2" t="s">
        <v>122</v>
      </c>
      <c r="E1783" s="2">
        <v>10</v>
      </c>
      <c r="F1783" s="2">
        <v>205.39</v>
      </c>
    </row>
    <row r="1784" spans="3:6" x14ac:dyDescent="0.25">
      <c r="C1784" s="2" t="s">
        <v>3700</v>
      </c>
      <c r="D1784" s="2" t="s">
        <v>122</v>
      </c>
      <c r="E1784" s="2">
        <v>121</v>
      </c>
      <c r="F1784" s="2">
        <v>2427.849</v>
      </c>
    </row>
    <row r="1785" spans="3:6" x14ac:dyDescent="0.25">
      <c r="C1785" s="2" t="s">
        <v>3701</v>
      </c>
      <c r="D1785" s="2" t="s">
        <v>122</v>
      </c>
      <c r="E1785" s="2">
        <v>41</v>
      </c>
      <c r="F1785" s="2">
        <v>829.46</v>
      </c>
    </row>
    <row r="1786" spans="3:6" x14ac:dyDescent="0.25">
      <c r="C1786" s="2" t="s">
        <v>3702</v>
      </c>
      <c r="D1786" s="2" t="s">
        <v>122</v>
      </c>
      <c r="E1786" s="2">
        <v>40</v>
      </c>
      <c r="F1786" s="2">
        <v>812.4</v>
      </c>
    </row>
    <row r="1787" spans="3:6" x14ac:dyDescent="0.25">
      <c r="C1787" s="2" t="s">
        <v>3703</v>
      </c>
      <c r="D1787" s="2" t="s">
        <v>122</v>
      </c>
      <c r="E1787" s="2">
        <v>40</v>
      </c>
      <c r="F1787" s="2">
        <v>831.1</v>
      </c>
    </row>
    <row r="1788" spans="3:6" x14ac:dyDescent="0.25">
      <c r="C1788" s="2" t="s">
        <v>3704</v>
      </c>
      <c r="D1788" s="2" t="s">
        <v>122</v>
      </c>
      <c r="E1788" s="2">
        <v>141</v>
      </c>
      <c r="F1788" s="2">
        <v>2928.08</v>
      </c>
    </row>
    <row r="1789" spans="3:6" x14ac:dyDescent="0.25">
      <c r="C1789" s="2" t="s">
        <v>3705</v>
      </c>
      <c r="D1789" s="2" t="s">
        <v>122</v>
      </c>
      <c r="E1789" s="2">
        <v>141</v>
      </c>
      <c r="F1789" s="2">
        <v>2780.58</v>
      </c>
    </row>
    <row r="1790" spans="3:6" x14ac:dyDescent="0.25">
      <c r="C1790" s="2" t="s">
        <v>3706</v>
      </c>
      <c r="D1790" s="2" t="s">
        <v>122</v>
      </c>
      <c r="E1790" s="2">
        <v>80</v>
      </c>
      <c r="F1790" s="2">
        <v>1615.319</v>
      </c>
    </row>
    <row r="1791" spans="3:6" x14ac:dyDescent="0.25">
      <c r="C1791" s="2" t="s">
        <v>3707</v>
      </c>
      <c r="D1791" s="2" t="s">
        <v>122</v>
      </c>
      <c r="E1791" s="2">
        <v>61</v>
      </c>
      <c r="F1791" s="2">
        <v>1203.99</v>
      </c>
    </row>
    <row r="1792" spans="3:6" x14ac:dyDescent="0.25">
      <c r="C1792" s="2" t="s">
        <v>3708</v>
      </c>
      <c r="D1792" s="2" t="s">
        <v>122</v>
      </c>
      <c r="E1792" s="2">
        <v>73</v>
      </c>
      <c r="F1792" s="2">
        <v>1476.23</v>
      </c>
    </row>
    <row r="1793" spans="3:6" x14ac:dyDescent="0.25">
      <c r="C1793" s="2" t="s">
        <v>3709</v>
      </c>
      <c r="D1793" s="2" t="s">
        <v>122</v>
      </c>
      <c r="E1793" s="2">
        <v>17</v>
      </c>
      <c r="F1793" s="2">
        <v>337.38</v>
      </c>
    </row>
    <row r="1794" spans="3:6" x14ac:dyDescent="0.25">
      <c r="C1794" s="2" t="s">
        <v>3710</v>
      </c>
      <c r="D1794" s="2" t="s">
        <v>122</v>
      </c>
      <c r="E1794" s="2">
        <v>37</v>
      </c>
      <c r="F1794" s="2">
        <v>642.11</v>
      </c>
    </row>
    <row r="1795" spans="3:6" x14ac:dyDescent="0.25">
      <c r="C1795" s="2" t="s">
        <v>3711</v>
      </c>
      <c r="D1795" s="2" t="s">
        <v>122</v>
      </c>
      <c r="E1795" s="2">
        <v>14</v>
      </c>
      <c r="F1795" s="2">
        <v>283.74</v>
      </c>
    </row>
    <row r="1796" spans="3:6" x14ac:dyDescent="0.25">
      <c r="C1796" s="2" t="s">
        <v>3712</v>
      </c>
      <c r="D1796" s="2" t="s">
        <v>122</v>
      </c>
      <c r="E1796" s="2">
        <v>69</v>
      </c>
      <c r="F1796" s="2">
        <v>1375.26</v>
      </c>
    </row>
    <row r="1797" spans="3:6" x14ac:dyDescent="0.25">
      <c r="C1797" s="2" t="s">
        <v>3713</v>
      </c>
      <c r="D1797" s="2" t="s">
        <v>122</v>
      </c>
      <c r="E1797" s="2">
        <v>37</v>
      </c>
      <c r="F1797" s="2">
        <v>747.21</v>
      </c>
    </row>
    <row r="1798" spans="3:6" x14ac:dyDescent="0.25">
      <c r="C1798" s="2" t="s">
        <v>3714</v>
      </c>
      <c r="D1798" s="2" t="s">
        <v>122</v>
      </c>
      <c r="E1798" s="2">
        <v>23</v>
      </c>
      <c r="F1798" s="2">
        <v>452.47</v>
      </c>
    </row>
    <row r="1799" spans="3:6" x14ac:dyDescent="0.25">
      <c r="C1799" s="2" t="s">
        <v>3715</v>
      </c>
      <c r="D1799" s="2" t="s">
        <v>122</v>
      </c>
      <c r="E1799" s="2">
        <v>12</v>
      </c>
      <c r="F1799" s="2">
        <v>244.23</v>
      </c>
    </row>
    <row r="1800" spans="3:6" x14ac:dyDescent="0.25">
      <c r="C1800" s="2" t="s">
        <v>3716</v>
      </c>
      <c r="D1800" s="2" t="s">
        <v>122</v>
      </c>
      <c r="E1800" s="2">
        <v>47</v>
      </c>
      <c r="F1800" s="2">
        <v>951.51</v>
      </c>
    </row>
    <row r="1801" spans="3:6" x14ac:dyDescent="0.25">
      <c r="C1801" s="2" t="s">
        <v>3717</v>
      </c>
      <c r="D1801" s="2" t="s">
        <v>122</v>
      </c>
      <c r="E1801" s="2">
        <v>36</v>
      </c>
      <c r="F1801" s="2">
        <v>723.24</v>
      </c>
    </row>
    <row r="1802" spans="3:6" x14ac:dyDescent="0.25">
      <c r="C1802" s="2" t="s">
        <v>3718</v>
      </c>
      <c r="D1802" s="2" t="s">
        <v>122</v>
      </c>
      <c r="E1802" s="2">
        <v>48</v>
      </c>
      <c r="F1802" s="2">
        <v>933.36</v>
      </c>
    </row>
    <row r="1803" spans="3:6" x14ac:dyDescent="0.25">
      <c r="C1803" s="2" t="s">
        <v>3719</v>
      </c>
      <c r="D1803" s="2" t="s">
        <v>122</v>
      </c>
      <c r="E1803" s="2">
        <v>10</v>
      </c>
      <c r="F1803" s="2">
        <v>219.13</v>
      </c>
    </row>
    <row r="1804" spans="3:6" x14ac:dyDescent="0.25">
      <c r="C1804" s="2" t="s">
        <v>3720</v>
      </c>
      <c r="D1804" s="2" t="s">
        <v>122</v>
      </c>
      <c r="E1804" s="2">
        <v>51</v>
      </c>
      <c r="F1804" s="2">
        <v>1485.9</v>
      </c>
    </row>
    <row r="1805" spans="3:6" x14ac:dyDescent="0.25">
      <c r="C1805" s="2" t="s">
        <v>3721</v>
      </c>
      <c r="D1805" s="2" t="s">
        <v>122</v>
      </c>
      <c r="E1805" s="2">
        <v>41</v>
      </c>
      <c r="F1805" s="2">
        <v>530.995</v>
      </c>
    </row>
    <row r="1806" spans="3:6" x14ac:dyDescent="0.25">
      <c r="C1806" s="2" t="s">
        <v>3722</v>
      </c>
      <c r="D1806" s="2" t="s">
        <v>122</v>
      </c>
      <c r="E1806" s="2">
        <v>31</v>
      </c>
      <c r="F1806" s="2">
        <v>666.48</v>
      </c>
    </row>
    <row r="1807" spans="3:6" x14ac:dyDescent="0.25">
      <c r="C1807" s="2" t="s">
        <v>3723</v>
      </c>
      <c r="D1807" s="2" t="s">
        <v>122</v>
      </c>
      <c r="E1807" s="2">
        <v>26</v>
      </c>
      <c r="F1807" s="2">
        <v>463.49</v>
      </c>
    </row>
    <row r="1808" spans="3:6" x14ac:dyDescent="0.25">
      <c r="C1808" s="2" t="s">
        <v>3724</v>
      </c>
      <c r="D1808" s="2" t="s">
        <v>122</v>
      </c>
      <c r="E1808" s="2">
        <v>21</v>
      </c>
      <c r="F1808" s="2">
        <v>414.579</v>
      </c>
    </row>
    <row r="1809" spans="3:6" x14ac:dyDescent="0.25">
      <c r="C1809" s="2" t="s">
        <v>3725</v>
      </c>
      <c r="D1809" s="2" t="s">
        <v>122</v>
      </c>
      <c r="E1809" s="2">
        <v>22</v>
      </c>
      <c r="F1809" s="2">
        <v>398.62</v>
      </c>
    </row>
    <row r="1810" spans="3:6" x14ac:dyDescent="0.25">
      <c r="C1810" s="2" t="s">
        <v>3726</v>
      </c>
      <c r="D1810" s="2" t="s">
        <v>122</v>
      </c>
      <c r="E1810" s="2">
        <v>30</v>
      </c>
      <c r="F1810" s="2">
        <v>607.56</v>
      </c>
    </row>
    <row r="1811" spans="3:6" x14ac:dyDescent="0.25">
      <c r="C1811" s="2" t="s">
        <v>3727</v>
      </c>
      <c r="D1811" s="2" t="s">
        <v>122</v>
      </c>
      <c r="E1811" s="2">
        <v>44</v>
      </c>
      <c r="F1811" s="2">
        <v>653.216</v>
      </c>
    </row>
    <row r="1812" spans="3:6" x14ac:dyDescent="0.25">
      <c r="C1812" s="2" t="s">
        <v>3728</v>
      </c>
      <c r="D1812" s="2" t="s">
        <v>122</v>
      </c>
      <c r="E1812" s="2">
        <v>47</v>
      </c>
      <c r="F1812" s="2">
        <v>1141.654</v>
      </c>
    </row>
    <row r="1813" spans="3:6" x14ac:dyDescent="0.25">
      <c r="C1813" s="2" t="s">
        <v>3729</v>
      </c>
      <c r="D1813" s="2" t="s">
        <v>122</v>
      </c>
      <c r="E1813" s="2">
        <v>9</v>
      </c>
      <c r="F1813" s="2">
        <v>187.74</v>
      </c>
    </row>
    <row r="1814" spans="3:6" x14ac:dyDescent="0.25">
      <c r="C1814" s="2" t="s">
        <v>3730</v>
      </c>
      <c r="D1814" s="2" t="s">
        <v>122</v>
      </c>
      <c r="E1814" s="2">
        <v>37</v>
      </c>
      <c r="F1814" s="2">
        <v>762.18</v>
      </c>
    </row>
    <row r="1815" spans="3:6" x14ac:dyDescent="0.25">
      <c r="C1815" s="2" t="s">
        <v>3731</v>
      </c>
      <c r="D1815" s="2" t="s">
        <v>122</v>
      </c>
      <c r="E1815" s="2">
        <v>43</v>
      </c>
      <c r="F1815" s="2">
        <v>834.51</v>
      </c>
    </row>
    <row r="1816" spans="3:6" x14ac:dyDescent="0.25">
      <c r="C1816" s="2" t="s">
        <v>3732</v>
      </c>
      <c r="D1816" s="2" t="s">
        <v>122</v>
      </c>
      <c r="E1816" s="2">
        <v>31</v>
      </c>
      <c r="F1816" s="2">
        <v>577.51</v>
      </c>
    </row>
    <row r="1817" spans="3:6" x14ac:dyDescent="0.25">
      <c r="C1817" s="2" t="s">
        <v>3733</v>
      </c>
      <c r="D1817" s="2" t="s">
        <v>122</v>
      </c>
      <c r="E1817" s="2">
        <v>10</v>
      </c>
      <c r="F1817" s="2">
        <v>193.39</v>
      </c>
    </row>
    <row r="1818" spans="3:6" x14ac:dyDescent="0.25">
      <c r="C1818" s="2" t="s">
        <v>3734</v>
      </c>
      <c r="D1818" s="2" t="s">
        <v>122</v>
      </c>
      <c r="E1818" s="2">
        <v>16</v>
      </c>
      <c r="F1818" s="2">
        <v>342.75</v>
      </c>
    </row>
    <row r="1819" spans="3:6" x14ac:dyDescent="0.25">
      <c r="C1819" s="2" t="s">
        <v>3735</v>
      </c>
      <c r="D1819" s="2" t="s">
        <v>122</v>
      </c>
      <c r="E1819" s="2">
        <v>61</v>
      </c>
      <c r="F1819" s="2">
        <v>843.037</v>
      </c>
    </row>
    <row r="1820" spans="3:6" x14ac:dyDescent="0.25">
      <c r="C1820" s="2" t="s">
        <v>3736</v>
      </c>
      <c r="D1820" s="2" t="s">
        <v>122</v>
      </c>
      <c r="E1820" s="2">
        <v>16</v>
      </c>
      <c r="F1820" s="2">
        <v>310.17</v>
      </c>
    </row>
    <row r="1821" spans="3:6" x14ac:dyDescent="0.25">
      <c r="C1821" s="2" t="s">
        <v>3737</v>
      </c>
      <c r="D1821" s="2" t="s">
        <v>122</v>
      </c>
      <c r="E1821" s="2">
        <v>17</v>
      </c>
      <c r="F1821" s="2">
        <v>333.95</v>
      </c>
    </row>
    <row r="1822" spans="3:6" x14ac:dyDescent="0.25">
      <c r="C1822" s="2" t="s">
        <v>3738</v>
      </c>
      <c r="D1822" s="2" t="s">
        <v>122</v>
      </c>
      <c r="E1822" s="2">
        <v>8</v>
      </c>
      <c r="F1822" s="2">
        <v>158.28</v>
      </c>
    </row>
    <row r="1823" spans="3:6" x14ac:dyDescent="0.25">
      <c r="C1823" s="2" t="s">
        <v>3739</v>
      </c>
      <c r="D1823" s="2" t="s">
        <v>122</v>
      </c>
      <c r="E1823" s="2">
        <v>6</v>
      </c>
      <c r="F1823" s="2">
        <v>119.25</v>
      </c>
    </row>
    <row r="1824" spans="3:6" x14ac:dyDescent="0.25">
      <c r="C1824" s="2" t="s">
        <v>3740</v>
      </c>
      <c r="D1824" s="2" t="s">
        <v>122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90</v>
      </c>
      <c r="C1826" s="2" t="s">
        <v>3741</v>
      </c>
      <c r="D1826" s="2" t="s">
        <v>42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3742</v>
      </c>
      <c r="D1827" s="2" t="s">
        <v>42</v>
      </c>
      <c r="E1827" s="2">
        <v>26</v>
      </c>
      <c r="F1827" s="2">
        <v>501.07</v>
      </c>
    </row>
    <row r="1828" spans="3:6" x14ac:dyDescent="0.25">
      <c r="C1828" s="2" t="s">
        <v>3743</v>
      </c>
      <c r="D1828" s="2" t="s">
        <v>42</v>
      </c>
      <c r="E1828" s="2">
        <v>123</v>
      </c>
      <c r="F1828" s="2">
        <v>2403.96</v>
      </c>
    </row>
    <row r="1829" spans="3:6" x14ac:dyDescent="0.25">
      <c r="C1829" s="2" t="s">
        <v>3744</v>
      </c>
      <c r="D1829" s="2" t="s">
        <v>42</v>
      </c>
      <c r="E1829" s="2">
        <v>123</v>
      </c>
      <c r="F1829" s="2">
        <v>2512.61</v>
      </c>
    </row>
    <row r="1830" spans="3:6" x14ac:dyDescent="0.25">
      <c r="C1830" s="2" t="s">
        <v>3745</v>
      </c>
      <c r="D1830" s="2" t="s">
        <v>42</v>
      </c>
      <c r="E1830" s="2">
        <v>123</v>
      </c>
      <c r="F1830" s="2">
        <v>2429.859</v>
      </c>
    </row>
    <row r="1831" spans="3:6" x14ac:dyDescent="0.25">
      <c r="C1831" s="2" t="s">
        <v>3746</v>
      </c>
      <c r="D1831" s="2" t="s">
        <v>42</v>
      </c>
      <c r="E1831" s="2">
        <v>129</v>
      </c>
      <c r="F1831" s="2">
        <v>2032.414</v>
      </c>
    </row>
    <row r="1832" spans="3:6" x14ac:dyDescent="0.25">
      <c r="C1832" s="2" t="s">
        <v>3747</v>
      </c>
      <c r="D1832" s="2" t="s">
        <v>42</v>
      </c>
      <c r="E1832" s="2">
        <v>141</v>
      </c>
      <c r="F1832" s="2">
        <v>2804.05</v>
      </c>
    </row>
    <row r="1833" spans="3:6" x14ac:dyDescent="0.25">
      <c r="C1833" s="2" t="s">
        <v>3748</v>
      </c>
      <c r="D1833" s="2" t="s">
        <v>42</v>
      </c>
      <c r="E1833" s="2">
        <v>50</v>
      </c>
      <c r="F1833" s="2">
        <v>261.9</v>
      </c>
    </row>
    <row r="1834" spans="3:6" x14ac:dyDescent="0.25">
      <c r="C1834" s="2" t="s">
        <v>3749</v>
      </c>
      <c r="D1834" s="2" t="s">
        <v>42</v>
      </c>
      <c r="E1834" s="2">
        <v>141</v>
      </c>
      <c r="F1834" s="2">
        <v>2649.59</v>
      </c>
    </row>
    <row r="1835" spans="3:6" x14ac:dyDescent="0.25">
      <c r="C1835" s="2" t="s">
        <v>3750</v>
      </c>
      <c r="D1835" s="2" t="s">
        <v>42</v>
      </c>
      <c r="E1835" s="2">
        <v>141</v>
      </c>
      <c r="F1835" s="2">
        <v>2919.219</v>
      </c>
    </row>
    <row r="1836" spans="3:6" x14ac:dyDescent="0.25">
      <c r="C1836" s="2" t="s">
        <v>3751</v>
      </c>
      <c r="D1836" s="2" t="s">
        <v>42</v>
      </c>
      <c r="E1836" s="2">
        <v>141</v>
      </c>
      <c r="F1836" s="2">
        <v>2733.149</v>
      </c>
    </row>
    <row r="1837" spans="3:6" x14ac:dyDescent="0.25">
      <c r="C1837" s="2" t="s">
        <v>3752</v>
      </c>
      <c r="D1837" s="2" t="s">
        <v>42</v>
      </c>
      <c r="E1837" s="2">
        <v>45</v>
      </c>
      <c r="F1837" s="2">
        <v>226.76</v>
      </c>
    </row>
    <row r="1838" spans="3:6" x14ac:dyDescent="0.25">
      <c r="C1838" s="2" t="s">
        <v>3753</v>
      </c>
      <c r="D1838" s="2" t="s">
        <v>42</v>
      </c>
      <c r="E1838" s="2">
        <v>141</v>
      </c>
      <c r="F1838" s="2">
        <v>3264.15</v>
      </c>
    </row>
    <row r="1839" spans="3:6" x14ac:dyDescent="0.25">
      <c r="C1839" s="2" t="s">
        <v>3754</v>
      </c>
      <c r="D1839" s="2" t="s">
        <v>42</v>
      </c>
      <c r="E1839" s="2">
        <v>121</v>
      </c>
      <c r="F1839" s="2">
        <v>2395.46</v>
      </c>
    </row>
    <row r="1840" spans="3:6" x14ac:dyDescent="0.25">
      <c r="C1840" s="2" t="s">
        <v>3755</v>
      </c>
      <c r="D1840" s="2" t="s">
        <v>42</v>
      </c>
      <c r="E1840" s="2">
        <v>20</v>
      </c>
      <c r="F1840" s="2">
        <v>443.9</v>
      </c>
    </row>
    <row r="1841" spans="3:6" x14ac:dyDescent="0.25">
      <c r="C1841" s="2" t="s">
        <v>3756</v>
      </c>
      <c r="D1841" s="2" t="s">
        <v>42</v>
      </c>
      <c r="E1841" s="2">
        <v>128</v>
      </c>
      <c r="F1841" s="2">
        <v>2203.501</v>
      </c>
    </row>
    <row r="1842" spans="3:6" x14ac:dyDescent="0.25">
      <c r="C1842" s="2" t="s">
        <v>3757</v>
      </c>
      <c r="D1842" s="2" t="s">
        <v>42</v>
      </c>
      <c r="E1842" s="2">
        <v>45</v>
      </c>
      <c r="F1842" s="2">
        <v>211.89</v>
      </c>
    </row>
    <row r="1843" spans="3:6" x14ac:dyDescent="0.25">
      <c r="C1843" s="2" t="s">
        <v>3758</v>
      </c>
      <c r="D1843" s="2" t="s">
        <v>42</v>
      </c>
      <c r="E1843" s="2">
        <v>141</v>
      </c>
      <c r="F1843" s="2">
        <v>2716.56</v>
      </c>
    </row>
    <row r="1844" spans="3:6" x14ac:dyDescent="0.25">
      <c r="C1844" s="2" t="s">
        <v>3759</v>
      </c>
      <c r="D1844" s="2" t="s">
        <v>42</v>
      </c>
      <c r="E1844" s="2">
        <v>141</v>
      </c>
      <c r="F1844" s="2">
        <v>2774.849</v>
      </c>
    </row>
    <row r="1845" spans="3:6" x14ac:dyDescent="0.25">
      <c r="C1845" s="2" t="s">
        <v>3760</v>
      </c>
      <c r="D1845" s="2" t="s">
        <v>42</v>
      </c>
      <c r="E1845" s="2">
        <v>103</v>
      </c>
      <c r="F1845" s="2">
        <v>2046.88</v>
      </c>
    </row>
    <row r="1846" spans="3:6" x14ac:dyDescent="0.25">
      <c r="C1846" s="2" t="s">
        <v>3761</v>
      </c>
      <c r="D1846" s="2" t="s">
        <v>42</v>
      </c>
      <c r="E1846" s="2">
        <v>37</v>
      </c>
      <c r="F1846" s="2">
        <v>855.66</v>
      </c>
    </row>
    <row r="1847" spans="3:6" x14ac:dyDescent="0.25">
      <c r="C1847" s="2" t="s">
        <v>3762</v>
      </c>
      <c r="D1847" s="2" t="s">
        <v>42</v>
      </c>
      <c r="E1847" s="2">
        <v>81</v>
      </c>
      <c r="F1847" s="2">
        <v>1469.916</v>
      </c>
    </row>
    <row r="1848" spans="3:6" x14ac:dyDescent="0.25">
      <c r="C1848" s="2" t="s">
        <v>3763</v>
      </c>
      <c r="D1848" s="2" t="s">
        <v>42</v>
      </c>
      <c r="E1848" s="2">
        <v>44</v>
      </c>
      <c r="F1848" s="2">
        <v>873.73</v>
      </c>
    </row>
    <row r="1849" spans="3:6" x14ac:dyDescent="0.25">
      <c r="C1849" s="2" t="s">
        <v>3764</v>
      </c>
      <c r="D1849" s="2" t="s">
        <v>42</v>
      </c>
      <c r="E1849" s="2">
        <v>60</v>
      </c>
      <c r="F1849" s="2">
        <v>291.12</v>
      </c>
    </row>
    <row r="1850" spans="3:6" x14ac:dyDescent="0.25">
      <c r="C1850" s="2" t="s">
        <v>3765</v>
      </c>
      <c r="D1850" s="2" t="s">
        <v>42</v>
      </c>
      <c r="E1850" s="2">
        <v>82</v>
      </c>
      <c r="F1850" s="2">
        <v>1478.829</v>
      </c>
    </row>
    <row r="1851" spans="3:6" x14ac:dyDescent="0.25">
      <c r="C1851" s="2" t="s">
        <v>3766</v>
      </c>
      <c r="D1851" s="2" t="s">
        <v>42</v>
      </c>
      <c r="E1851" s="2">
        <v>22</v>
      </c>
      <c r="F1851" s="2">
        <v>389.92</v>
      </c>
    </row>
    <row r="1852" spans="3:6" x14ac:dyDescent="0.25">
      <c r="C1852" s="2" t="s">
        <v>3767</v>
      </c>
      <c r="D1852" s="2" t="s">
        <v>42</v>
      </c>
      <c r="E1852" s="2">
        <v>32</v>
      </c>
      <c r="F1852" s="2">
        <v>566.92</v>
      </c>
    </row>
    <row r="1853" spans="3:6" x14ac:dyDescent="0.25">
      <c r="C1853" s="2" t="s">
        <v>3768</v>
      </c>
      <c r="D1853" s="2" t="s">
        <v>42</v>
      </c>
      <c r="E1853" s="2">
        <v>100</v>
      </c>
      <c r="F1853" s="2">
        <v>1914.32</v>
      </c>
    </row>
    <row r="1854" spans="3:6" x14ac:dyDescent="0.25">
      <c r="C1854" s="2" t="s">
        <v>3769</v>
      </c>
      <c r="D1854" s="2" t="s">
        <v>42</v>
      </c>
      <c r="E1854" s="2">
        <v>82</v>
      </c>
      <c r="F1854" s="2">
        <v>1542.4</v>
      </c>
    </row>
    <row r="1855" spans="3:6" x14ac:dyDescent="0.25">
      <c r="C1855" s="2" t="s">
        <v>3770</v>
      </c>
      <c r="D1855" s="2" t="s">
        <v>42</v>
      </c>
      <c r="E1855" s="2">
        <v>18</v>
      </c>
      <c r="F1855" s="2">
        <v>329.94</v>
      </c>
    </row>
    <row r="1856" spans="3:6" x14ac:dyDescent="0.25">
      <c r="C1856" s="2" t="s">
        <v>3771</v>
      </c>
      <c r="D1856" s="2" t="s">
        <v>42</v>
      </c>
      <c r="E1856" s="2">
        <v>67</v>
      </c>
      <c r="F1856" s="2">
        <v>1258.36</v>
      </c>
    </row>
    <row r="1857" spans="3:6" x14ac:dyDescent="0.25">
      <c r="C1857" s="2" t="s">
        <v>3772</v>
      </c>
      <c r="D1857" s="2" t="s">
        <v>42</v>
      </c>
      <c r="E1857" s="2">
        <v>33</v>
      </c>
      <c r="F1857" s="2">
        <v>676.059</v>
      </c>
    </row>
    <row r="1858" spans="3:6" x14ac:dyDescent="0.25">
      <c r="C1858" s="2" t="s">
        <v>3773</v>
      </c>
      <c r="D1858" s="2" t="s">
        <v>42</v>
      </c>
      <c r="E1858" s="2">
        <v>67</v>
      </c>
      <c r="F1858" s="2">
        <v>1323.63</v>
      </c>
    </row>
    <row r="1859" spans="3:6" x14ac:dyDescent="0.25">
      <c r="C1859" s="2" t="s">
        <v>3774</v>
      </c>
      <c r="D1859" s="2" t="s">
        <v>42</v>
      </c>
      <c r="E1859" s="2">
        <v>32</v>
      </c>
      <c r="F1859" s="2">
        <v>612.49</v>
      </c>
    </row>
    <row r="1860" spans="3:6" x14ac:dyDescent="0.25">
      <c r="C1860" s="2" t="s">
        <v>3775</v>
      </c>
      <c r="D1860" s="2" t="s">
        <v>42</v>
      </c>
      <c r="E1860" s="2">
        <v>35</v>
      </c>
      <c r="F1860" s="2">
        <v>634.57</v>
      </c>
    </row>
    <row r="1861" spans="3:6" x14ac:dyDescent="0.25">
      <c r="C1861" s="2" t="s">
        <v>3776</v>
      </c>
      <c r="D1861" s="2" t="s">
        <v>42</v>
      </c>
      <c r="E1861" s="2">
        <v>65</v>
      </c>
      <c r="F1861" s="2">
        <v>1158.459</v>
      </c>
    </row>
    <row r="1862" spans="3:6" x14ac:dyDescent="0.25">
      <c r="C1862" s="2" t="s">
        <v>3777</v>
      </c>
      <c r="D1862" s="2" t="s">
        <v>42</v>
      </c>
      <c r="E1862" s="2">
        <v>52</v>
      </c>
      <c r="F1862" s="2">
        <v>1017.59</v>
      </c>
    </row>
    <row r="1863" spans="3:6" x14ac:dyDescent="0.25">
      <c r="C1863" s="2" t="s">
        <v>3778</v>
      </c>
      <c r="D1863" s="2" t="s">
        <v>42</v>
      </c>
      <c r="E1863" s="2">
        <v>11</v>
      </c>
      <c r="F1863" s="2">
        <v>100.53</v>
      </c>
    </row>
    <row r="1864" spans="3:6" x14ac:dyDescent="0.25">
      <c r="C1864" s="2" t="s">
        <v>3779</v>
      </c>
      <c r="D1864" s="2" t="s">
        <v>42</v>
      </c>
      <c r="E1864" s="2">
        <v>11</v>
      </c>
      <c r="F1864" s="2">
        <v>43.64</v>
      </c>
    </row>
    <row r="1865" spans="3:6" x14ac:dyDescent="0.25">
      <c r="C1865" s="2" t="s">
        <v>3780</v>
      </c>
      <c r="D1865" s="2" t="s">
        <v>42</v>
      </c>
      <c r="E1865" s="2">
        <v>5</v>
      </c>
      <c r="F1865" s="2">
        <v>61.34</v>
      </c>
    </row>
    <row r="1866" spans="3:6" x14ac:dyDescent="0.25">
      <c r="C1866" s="2" t="s">
        <v>3781</v>
      </c>
      <c r="D1866" s="2" t="s">
        <v>42</v>
      </c>
      <c r="E1866" s="2">
        <v>4</v>
      </c>
      <c r="F1866" s="2">
        <v>64.64</v>
      </c>
    </row>
    <row r="1867" spans="3:6" x14ac:dyDescent="0.25">
      <c r="C1867" s="2" t="s">
        <v>3782</v>
      </c>
      <c r="D1867" s="2" t="s">
        <v>42</v>
      </c>
      <c r="E1867" s="2">
        <v>13</v>
      </c>
      <c r="F1867" s="2">
        <v>247.57</v>
      </c>
    </row>
    <row r="1868" spans="3:6" x14ac:dyDescent="0.25">
      <c r="C1868" s="2" t="s">
        <v>3783</v>
      </c>
      <c r="D1868" s="2" t="s">
        <v>42</v>
      </c>
      <c r="E1868" s="2">
        <v>32</v>
      </c>
      <c r="F1868" s="2">
        <v>626.41</v>
      </c>
    </row>
    <row r="1869" spans="3:6" x14ac:dyDescent="0.25">
      <c r="C1869" s="2" t="s">
        <v>3784</v>
      </c>
      <c r="D1869" s="2" t="s">
        <v>42</v>
      </c>
      <c r="E1869" s="2">
        <v>43</v>
      </c>
      <c r="F1869" s="2">
        <v>827.89</v>
      </c>
    </row>
    <row r="1870" spans="3:6" x14ac:dyDescent="0.25">
      <c r="C1870" s="2" t="s">
        <v>3785</v>
      </c>
      <c r="D1870" s="2" t="s">
        <v>42</v>
      </c>
      <c r="E1870" s="2">
        <v>12</v>
      </c>
      <c r="F1870" s="2">
        <v>240.664</v>
      </c>
    </row>
    <row r="1871" spans="3:6" x14ac:dyDescent="0.25">
      <c r="C1871" s="2" t="s">
        <v>3786</v>
      </c>
      <c r="D1871" s="2" t="s">
        <v>42</v>
      </c>
      <c r="E1871" s="2">
        <v>13</v>
      </c>
      <c r="F1871" s="2">
        <v>246.51</v>
      </c>
    </row>
    <row r="1872" spans="3:6" x14ac:dyDescent="0.25">
      <c r="C1872" s="2" t="s">
        <v>3787</v>
      </c>
      <c r="D1872" s="2" t="s">
        <v>42</v>
      </c>
      <c r="E1872" s="2">
        <v>17</v>
      </c>
      <c r="F1872" s="2">
        <v>301.89</v>
      </c>
    </row>
    <row r="1873" spans="3:6" x14ac:dyDescent="0.25">
      <c r="C1873" s="2" t="s">
        <v>3788</v>
      </c>
      <c r="D1873" s="2" t="s">
        <v>42</v>
      </c>
      <c r="E1873" s="2">
        <v>10</v>
      </c>
      <c r="F1873" s="2">
        <v>170.045</v>
      </c>
    </row>
    <row r="1874" spans="3:6" x14ac:dyDescent="0.25">
      <c r="C1874" s="2" t="s">
        <v>3789</v>
      </c>
      <c r="D1874" s="2" t="s">
        <v>42</v>
      </c>
      <c r="E1874" s="2">
        <v>34</v>
      </c>
      <c r="F1874" s="2">
        <v>665.6</v>
      </c>
    </row>
    <row r="1875" spans="3:6" x14ac:dyDescent="0.25">
      <c r="C1875" s="2" t="s">
        <v>3790</v>
      </c>
      <c r="D1875" s="2" t="s">
        <v>42</v>
      </c>
      <c r="E1875" s="2">
        <v>67</v>
      </c>
      <c r="F1875" s="2">
        <v>1283.22</v>
      </c>
    </row>
    <row r="1876" spans="3:6" x14ac:dyDescent="0.25">
      <c r="C1876" s="2" t="s">
        <v>3791</v>
      </c>
      <c r="D1876" s="2" t="s">
        <v>42</v>
      </c>
      <c r="E1876" s="2">
        <v>34</v>
      </c>
      <c r="F1876" s="2">
        <v>671.6</v>
      </c>
    </row>
    <row r="1877" spans="3:6" x14ac:dyDescent="0.25">
      <c r="C1877" s="2" t="s">
        <v>3792</v>
      </c>
      <c r="D1877" s="2" t="s">
        <v>42</v>
      </c>
      <c r="E1877" s="2">
        <v>9</v>
      </c>
      <c r="F1877" s="2">
        <v>192.8</v>
      </c>
    </row>
    <row r="1878" spans="3:6" x14ac:dyDescent="0.25">
      <c r="C1878" s="2" t="s">
        <v>3793</v>
      </c>
      <c r="D1878" s="2" t="s">
        <v>42</v>
      </c>
      <c r="E1878" s="2">
        <v>72</v>
      </c>
      <c r="F1878" s="2">
        <v>1157.81</v>
      </c>
    </row>
    <row r="1879" spans="3:6" x14ac:dyDescent="0.25">
      <c r="C1879" s="2" t="s">
        <v>3794</v>
      </c>
      <c r="D1879" s="2" t="s">
        <v>42</v>
      </c>
      <c r="E1879" s="2">
        <v>26</v>
      </c>
      <c r="F1879" s="2">
        <v>613.795</v>
      </c>
    </row>
    <row r="1880" spans="3:6" x14ac:dyDescent="0.25">
      <c r="C1880" s="2" t="s">
        <v>3795</v>
      </c>
      <c r="D1880" s="2" t="s">
        <v>42</v>
      </c>
      <c r="E1880" s="2">
        <v>75</v>
      </c>
      <c r="F1880" s="2">
        <v>1487</v>
      </c>
    </row>
    <row r="1881" spans="3:6" x14ac:dyDescent="0.25">
      <c r="C1881" s="2" t="s">
        <v>3796</v>
      </c>
      <c r="D1881" s="2" t="s">
        <v>42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10</v>
      </c>
      <c r="C1883" s="2" t="s">
        <v>3797</v>
      </c>
      <c r="D1883" s="2" t="s">
        <v>12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3798</v>
      </c>
      <c r="D1884" s="2" t="s">
        <v>12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834</v>
      </c>
      <c r="C1886" s="2" t="s">
        <v>3799</v>
      </c>
      <c r="D1886" s="2" t="s">
        <v>204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3800</v>
      </c>
      <c r="D1887" s="2" t="s">
        <v>204</v>
      </c>
      <c r="E1887" s="2">
        <v>99</v>
      </c>
      <c r="F1887" s="2">
        <v>2082.15</v>
      </c>
    </row>
    <row r="1888" spans="3:6" x14ac:dyDescent="0.25">
      <c r="C1888" s="2" t="s">
        <v>3801</v>
      </c>
      <c r="D1888" s="2" t="s">
        <v>204</v>
      </c>
      <c r="E1888" s="2">
        <v>41</v>
      </c>
      <c r="F1888" s="2">
        <v>939.36</v>
      </c>
    </row>
    <row r="1890" spans="2:7" x14ac:dyDescent="0.25">
      <c r="B1890" s="2" t="s">
        <v>2077</v>
      </c>
      <c r="C1890" s="2" t="s">
        <v>3802</v>
      </c>
      <c r="D1890" s="2" t="s">
        <v>204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375</v>
      </c>
      <c r="C1892" s="2" t="s">
        <v>3803</v>
      </c>
      <c r="D1892" s="2" t="s">
        <v>216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3804</v>
      </c>
      <c r="D1893" s="2" t="s">
        <v>347</v>
      </c>
      <c r="E1893" s="2">
        <v>48</v>
      </c>
      <c r="F1893" s="2">
        <v>885.629</v>
      </c>
    </row>
    <row r="1894" spans="3:6" x14ac:dyDescent="0.25">
      <c r="C1894" s="2" t="s">
        <v>3805</v>
      </c>
      <c r="D1894" s="2" t="s">
        <v>347</v>
      </c>
      <c r="E1894" s="2">
        <v>57</v>
      </c>
      <c r="F1894" s="2">
        <v>1117.37</v>
      </c>
    </row>
    <row r="1895" spans="3:6" x14ac:dyDescent="0.25">
      <c r="C1895" s="2" t="s">
        <v>3806</v>
      </c>
      <c r="D1895" s="2" t="s">
        <v>342</v>
      </c>
      <c r="E1895" s="2">
        <v>105</v>
      </c>
      <c r="F1895" s="2">
        <v>2104.12</v>
      </c>
    </row>
    <row r="1896" spans="3:6" x14ac:dyDescent="0.25">
      <c r="C1896" s="2" t="s">
        <v>3807</v>
      </c>
      <c r="D1896" s="2" t="s">
        <v>204</v>
      </c>
      <c r="E1896" s="2">
        <v>105</v>
      </c>
      <c r="F1896" s="2">
        <v>468.081</v>
      </c>
    </row>
    <row r="1897" spans="3:6" x14ac:dyDescent="0.25">
      <c r="C1897" s="2" t="s">
        <v>3808</v>
      </c>
      <c r="D1897" s="2" t="s">
        <v>347</v>
      </c>
      <c r="E1897" s="2">
        <v>53</v>
      </c>
      <c r="F1897" s="2">
        <v>1055.33</v>
      </c>
    </row>
    <row r="1898" spans="3:6" x14ac:dyDescent="0.25">
      <c r="C1898" s="2" t="s">
        <v>3809</v>
      </c>
      <c r="D1898" s="2" t="s">
        <v>347</v>
      </c>
      <c r="E1898" s="2">
        <v>91</v>
      </c>
      <c r="F1898" s="2">
        <v>1705.55</v>
      </c>
    </row>
    <row r="1899" spans="3:6" x14ac:dyDescent="0.25">
      <c r="C1899" s="2" t="s">
        <v>3810</v>
      </c>
      <c r="D1899" s="2" t="s">
        <v>347</v>
      </c>
      <c r="E1899" s="2">
        <v>12</v>
      </c>
      <c r="F1899" s="2">
        <v>228.42</v>
      </c>
    </row>
    <row r="1900" spans="3:6" x14ac:dyDescent="0.25">
      <c r="C1900" s="2" t="s">
        <v>3811</v>
      </c>
      <c r="D1900" s="2" t="s">
        <v>204</v>
      </c>
      <c r="E1900" s="2">
        <v>120</v>
      </c>
      <c r="F1900" s="2">
        <v>556.408</v>
      </c>
    </row>
    <row r="1901" spans="3:6" x14ac:dyDescent="0.25">
      <c r="C1901" s="2" t="s">
        <v>3812</v>
      </c>
      <c r="D1901" s="2" t="s">
        <v>214</v>
      </c>
      <c r="E1901" s="2">
        <v>156</v>
      </c>
      <c r="F1901" s="2">
        <v>2921.677</v>
      </c>
    </row>
    <row r="1902" spans="3:6" x14ac:dyDescent="0.25">
      <c r="C1902" s="2" t="s">
        <v>3813</v>
      </c>
      <c r="D1902" s="2" t="s">
        <v>236</v>
      </c>
      <c r="E1902" s="2">
        <v>80</v>
      </c>
      <c r="F1902" s="2">
        <v>1488.97</v>
      </c>
    </row>
    <row r="1903" spans="3:6" x14ac:dyDescent="0.25">
      <c r="C1903" s="2" t="s">
        <v>3814</v>
      </c>
      <c r="D1903" s="2" t="s">
        <v>236</v>
      </c>
      <c r="E1903" s="2">
        <v>25</v>
      </c>
      <c r="F1903" s="2">
        <v>422.03</v>
      </c>
    </row>
    <row r="1904" spans="3:6" x14ac:dyDescent="0.25">
      <c r="C1904" s="2" t="s">
        <v>3815</v>
      </c>
      <c r="D1904" s="2" t="s">
        <v>236</v>
      </c>
      <c r="E1904" s="2">
        <v>60</v>
      </c>
      <c r="F1904" s="2">
        <v>1088.11</v>
      </c>
    </row>
    <row r="1905" spans="3:6" x14ac:dyDescent="0.25">
      <c r="C1905" s="2" t="s">
        <v>3816</v>
      </c>
      <c r="D1905" s="2" t="s">
        <v>236</v>
      </c>
      <c r="E1905" s="2">
        <v>45</v>
      </c>
      <c r="F1905" s="2">
        <v>771.629</v>
      </c>
    </row>
    <row r="1906" spans="3:6" x14ac:dyDescent="0.25">
      <c r="C1906" s="2" t="s">
        <v>3817</v>
      </c>
      <c r="D1906" s="2" t="s">
        <v>236</v>
      </c>
      <c r="E1906" s="2">
        <v>45</v>
      </c>
      <c r="F1906" s="2">
        <v>828.82</v>
      </c>
    </row>
    <row r="1907" spans="3:6" x14ac:dyDescent="0.25">
      <c r="C1907" s="2" t="s">
        <v>3818</v>
      </c>
      <c r="D1907" s="2" t="s">
        <v>236</v>
      </c>
      <c r="E1907" s="2">
        <v>60</v>
      </c>
      <c r="F1907" s="2">
        <v>1051.249</v>
      </c>
    </row>
    <row r="1908" spans="3:6" x14ac:dyDescent="0.25">
      <c r="C1908" s="2" t="s">
        <v>3819</v>
      </c>
      <c r="D1908" s="2" t="s">
        <v>216</v>
      </c>
      <c r="E1908" s="2">
        <v>134</v>
      </c>
      <c r="F1908" s="2">
        <v>2791.16</v>
      </c>
    </row>
    <row r="1909" spans="3:6" x14ac:dyDescent="0.25">
      <c r="C1909" s="2" t="s">
        <v>3820</v>
      </c>
      <c r="D1909" s="2" t="s">
        <v>216</v>
      </c>
      <c r="E1909" s="2">
        <v>134</v>
      </c>
      <c r="F1909" s="2">
        <v>2701.63</v>
      </c>
    </row>
    <row r="1910" spans="3:6" x14ac:dyDescent="0.25">
      <c r="C1910" s="2" t="s">
        <v>3821</v>
      </c>
      <c r="D1910" s="2" t="s">
        <v>216</v>
      </c>
      <c r="E1910" s="2">
        <v>134</v>
      </c>
      <c r="F1910" s="2">
        <v>2749.43</v>
      </c>
    </row>
    <row r="1911" spans="3:6" x14ac:dyDescent="0.25">
      <c r="C1911" s="2" t="s">
        <v>3822</v>
      </c>
      <c r="D1911" s="2" t="s">
        <v>216</v>
      </c>
      <c r="E1911" s="2">
        <v>134</v>
      </c>
      <c r="F1911" s="2">
        <v>2777.99</v>
      </c>
    </row>
    <row r="1912" spans="3:6" x14ac:dyDescent="0.25">
      <c r="C1912" s="2" t="s">
        <v>3823</v>
      </c>
      <c r="D1912" s="2" t="s">
        <v>204</v>
      </c>
      <c r="E1912" s="2">
        <v>80</v>
      </c>
      <c r="F1912" s="2">
        <v>1209.6</v>
      </c>
    </row>
    <row r="1913" spans="3:6" x14ac:dyDescent="0.25">
      <c r="C1913" s="2" t="s">
        <v>3824</v>
      </c>
      <c r="D1913" s="2" t="s">
        <v>204</v>
      </c>
      <c r="E1913" s="2">
        <v>163</v>
      </c>
      <c r="F1913" s="2">
        <v>3100.419</v>
      </c>
    </row>
    <row r="1914" spans="3:6" x14ac:dyDescent="0.25">
      <c r="C1914" s="2" t="s">
        <v>3825</v>
      </c>
      <c r="D1914" s="2" t="s">
        <v>216</v>
      </c>
      <c r="E1914" s="2">
        <v>134</v>
      </c>
      <c r="F1914" s="2">
        <v>2692.35</v>
      </c>
    </row>
    <row r="1915" spans="3:6" x14ac:dyDescent="0.25">
      <c r="C1915" s="2" t="s">
        <v>3826</v>
      </c>
      <c r="D1915" s="2" t="s">
        <v>216</v>
      </c>
      <c r="E1915" s="2">
        <v>134</v>
      </c>
      <c r="F1915" s="2">
        <v>2633.04</v>
      </c>
    </row>
    <row r="1916" spans="3:6" x14ac:dyDescent="0.25">
      <c r="C1916" s="2" t="s">
        <v>3827</v>
      </c>
      <c r="D1916" s="2" t="s">
        <v>214</v>
      </c>
      <c r="E1916" s="2">
        <v>56</v>
      </c>
      <c r="F1916" s="2">
        <v>1058.939</v>
      </c>
    </row>
    <row r="1917" spans="3:6" x14ac:dyDescent="0.25">
      <c r="C1917" s="2" t="s">
        <v>3828</v>
      </c>
      <c r="D1917" s="2" t="s">
        <v>214</v>
      </c>
      <c r="E1917" s="2">
        <v>100</v>
      </c>
      <c r="F1917" s="2">
        <v>1858.17</v>
      </c>
    </row>
    <row r="1918" spans="3:6" x14ac:dyDescent="0.25">
      <c r="C1918" s="2" t="s">
        <v>3829</v>
      </c>
      <c r="D1918" s="2" t="s">
        <v>214</v>
      </c>
      <c r="E1918" s="2">
        <v>56</v>
      </c>
      <c r="F1918" s="2">
        <v>944.279</v>
      </c>
    </row>
    <row r="1919" spans="3:6" x14ac:dyDescent="0.25">
      <c r="C1919" s="2" t="s">
        <v>3830</v>
      </c>
      <c r="D1919" s="2" t="s">
        <v>214</v>
      </c>
      <c r="E1919" s="2">
        <v>100</v>
      </c>
      <c r="F1919" s="2">
        <v>1875.529</v>
      </c>
    </row>
    <row r="1920" spans="3:6" x14ac:dyDescent="0.25">
      <c r="C1920" s="2" t="s">
        <v>3554</v>
      </c>
      <c r="D1920" s="2" t="s">
        <v>204</v>
      </c>
      <c r="E1920" s="2">
        <v>117</v>
      </c>
      <c r="F1920" s="2">
        <v>2604.06</v>
      </c>
    </row>
    <row r="1921" spans="3:6" x14ac:dyDescent="0.25">
      <c r="C1921" s="2" t="s">
        <v>3831</v>
      </c>
      <c r="D1921" s="2" t="s">
        <v>342</v>
      </c>
      <c r="E1921" s="2">
        <v>156</v>
      </c>
      <c r="F1921" s="2">
        <v>3069.97</v>
      </c>
    </row>
    <row r="1922" spans="3:6" x14ac:dyDescent="0.25">
      <c r="C1922" s="2" t="s">
        <v>3832</v>
      </c>
      <c r="D1922" s="2" t="s">
        <v>342</v>
      </c>
      <c r="E1922" s="2">
        <v>156</v>
      </c>
      <c r="F1922" s="2">
        <v>3210.249</v>
      </c>
    </row>
    <row r="1924" spans="2:7" x14ac:dyDescent="0.25">
      <c r="B1924" s="2" t="s">
        <v>2077</v>
      </c>
      <c r="C1924" s="2" t="s">
        <v>3833</v>
      </c>
      <c r="D1924" s="2" t="s">
        <v>216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3834</v>
      </c>
      <c r="D1925" s="2" t="s">
        <v>216</v>
      </c>
      <c r="E1925" s="2">
        <v>105</v>
      </c>
      <c r="F1925" s="2">
        <v>1828.61</v>
      </c>
    </row>
    <row r="1926" spans="3:6" x14ac:dyDescent="0.25">
      <c r="C1926" s="2" t="s">
        <v>3835</v>
      </c>
      <c r="D1926" s="2" t="s">
        <v>216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18</v>
      </c>
      <c r="C1928" s="2" t="s">
        <v>3836</v>
      </c>
      <c r="D1928" s="2" t="s">
        <v>20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3837</v>
      </c>
      <c r="D1929" s="2" t="s">
        <v>20</v>
      </c>
      <c r="E1929" s="2">
        <v>234</v>
      </c>
      <c r="F1929" s="2">
        <v>4518.769</v>
      </c>
    </row>
    <row r="1930" spans="3:6" x14ac:dyDescent="0.25">
      <c r="C1930" s="2" t="s">
        <v>3838</v>
      </c>
      <c r="D1930" s="2" t="s">
        <v>20</v>
      </c>
      <c r="E1930" s="2">
        <v>244</v>
      </c>
      <c r="F1930" s="2">
        <v>4884.337</v>
      </c>
    </row>
    <row r="1931" spans="3:6" x14ac:dyDescent="0.25">
      <c r="C1931" s="2" t="s">
        <v>3839</v>
      </c>
      <c r="D1931" s="2" t="s">
        <v>20</v>
      </c>
      <c r="E1931" s="2">
        <v>244</v>
      </c>
      <c r="F1931" s="2">
        <v>4708.488</v>
      </c>
    </row>
    <row r="1932" spans="3:6" x14ac:dyDescent="0.25">
      <c r="C1932" s="2" t="s">
        <v>3840</v>
      </c>
      <c r="D1932" s="2" t="s">
        <v>20</v>
      </c>
      <c r="E1932" s="2">
        <v>102</v>
      </c>
      <c r="F1932" s="2">
        <v>1993.529</v>
      </c>
    </row>
    <row r="1933" spans="3:6" x14ac:dyDescent="0.25">
      <c r="C1933" s="2" t="s">
        <v>3841</v>
      </c>
      <c r="D1933" s="2" t="s">
        <v>20</v>
      </c>
      <c r="E1933" s="2">
        <v>102</v>
      </c>
      <c r="F1933" s="2">
        <v>1908.2</v>
      </c>
    </row>
    <row r="1934" spans="3:6" x14ac:dyDescent="0.25">
      <c r="C1934" s="2" t="s">
        <v>3842</v>
      </c>
      <c r="D1934" s="2" t="s">
        <v>20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324</v>
      </c>
      <c r="C1936" s="2" t="s">
        <v>3843</v>
      </c>
      <c r="D1936" s="2" t="s">
        <v>27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3844</v>
      </c>
      <c r="D1937" s="2" t="s">
        <v>27</v>
      </c>
      <c r="E1937" s="2">
        <v>92</v>
      </c>
      <c r="F1937" s="2">
        <v>1891.768</v>
      </c>
    </row>
    <row r="1938" spans="3:6" x14ac:dyDescent="0.25">
      <c r="C1938" s="2" t="s">
        <v>3845</v>
      </c>
      <c r="D1938" s="2" t="s">
        <v>27</v>
      </c>
      <c r="E1938" s="2">
        <v>53</v>
      </c>
      <c r="F1938" s="2">
        <v>1042.38</v>
      </c>
    </row>
    <row r="1939" spans="3:6" x14ac:dyDescent="0.25">
      <c r="C1939" s="2" t="s">
        <v>3846</v>
      </c>
      <c r="D1939" s="2" t="s">
        <v>27</v>
      </c>
      <c r="E1939" s="2">
        <v>32</v>
      </c>
      <c r="F1939" s="2">
        <v>560.52</v>
      </c>
    </row>
    <row r="1940" spans="3:6" x14ac:dyDescent="0.25">
      <c r="C1940" s="2" t="s">
        <v>3847</v>
      </c>
      <c r="D1940" s="2" t="s">
        <v>27</v>
      </c>
      <c r="E1940" s="2">
        <v>9</v>
      </c>
      <c r="F1940" s="2">
        <v>205.85</v>
      </c>
    </row>
    <row r="1941" spans="3:6" x14ac:dyDescent="0.25">
      <c r="C1941" s="2" t="s">
        <v>3848</v>
      </c>
      <c r="D1941" s="2" t="s">
        <v>27</v>
      </c>
      <c r="E1941" s="2">
        <v>79</v>
      </c>
      <c r="F1941" s="2">
        <v>1643.53</v>
      </c>
    </row>
    <row r="1942" spans="3:6" x14ac:dyDescent="0.25">
      <c r="C1942" s="2" t="s">
        <v>3849</v>
      </c>
      <c r="D1942" s="2" t="s">
        <v>27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10</v>
      </c>
      <c r="C1944" s="2" t="s">
        <v>3850</v>
      </c>
      <c r="D1944" s="2" t="s">
        <v>12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3851</v>
      </c>
      <c r="D1945" s="2" t="s">
        <v>12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338</v>
      </c>
      <c r="C1947" s="2" t="s">
        <v>3852</v>
      </c>
      <c r="D1947" s="2" t="s">
        <v>9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238</v>
      </c>
      <c r="C1949" s="2" t="s">
        <v>3853</v>
      </c>
      <c r="D1949" s="2" t="s">
        <v>342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3854</v>
      </c>
      <c r="D1950" s="2" t="s">
        <v>204</v>
      </c>
      <c r="E1950" s="2">
        <v>105</v>
      </c>
      <c r="F1950" s="2">
        <v>2239.4</v>
      </c>
    </row>
    <row r="1951" spans="3:6" x14ac:dyDescent="0.25">
      <c r="C1951" s="2" t="s">
        <v>3855</v>
      </c>
      <c r="D1951" s="2" t="s">
        <v>204</v>
      </c>
      <c r="E1951" s="2">
        <v>105</v>
      </c>
      <c r="F1951" s="2">
        <v>2057.44</v>
      </c>
    </row>
    <row r="1952" spans="3:6" x14ac:dyDescent="0.25">
      <c r="C1952" s="2" t="s">
        <v>3856</v>
      </c>
      <c r="D1952" s="2" t="s">
        <v>204</v>
      </c>
      <c r="E1952" s="2">
        <v>70</v>
      </c>
      <c r="F1952" s="2">
        <v>1529.701</v>
      </c>
    </row>
    <row r="1953" spans="3:6" x14ac:dyDescent="0.25">
      <c r="C1953" s="2" t="s">
        <v>3857</v>
      </c>
      <c r="D1953" s="2" t="s">
        <v>204</v>
      </c>
      <c r="E1953" s="2">
        <v>110</v>
      </c>
      <c r="F1953" s="2">
        <v>545.489</v>
      </c>
    </row>
    <row r="1954" spans="3:6" x14ac:dyDescent="0.25">
      <c r="C1954" s="2" t="s">
        <v>3858</v>
      </c>
      <c r="D1954" s="2" t="s">
        <v>204</v>
      </c>
      <c r="E1954" s="2">
        <v>163</v>
      </c>
      <c r="F1954" s="2">
        <v>2997.639</v>
      </c>
    </row>
    <row r="1955" spans="3:6" x14ac:dyDescent="0.25">
      <c r="C1955" s="2" t="s">
        <v>3859</v>
      </c>
      <c r="D1955" s="2" t="s">
        <v>204</v>
      </c>
      <c r="E1955" s="2">
        <v>163</v>
      </c>
      <c r="F1955" s="2">
        <v>3210.679</v>
      </c>
    </row>
    <row r="1956" spans="3:6" x14ac:dyDescent="0.25">
      <c r="C1956" s="2" t="s">
        <v>3860</v>
      </c>
      <c r="D1956" s="2" t="s">
        <v>236</v>
      </c>
      <c r="E1956" s="2">
        <v>45</v>
      </c>
      <c r="F1956" s="2">
        <v>817.919</v>
      </c>
    </row>
    <row r="1957" spans="3:6" x14ac:dyDescent="0.25">
      <c r="C1957" s="2" t="s">
        <v>3861</v>
      </c>
      <c r="D1957" s="2" t="s">
        <v>236</v>
      </c>
      <c r="E1957" s="2">
        <v>60</v>
      </c>
      <c r="F1957" s="2">
        <v>1081.6</v>
      </c>
    </row>
    <row r="1958" spans="3:6" x14ac:dyDescent="0.25">
      <c r="C1958" s="2" t="s">
        <v>3862</v>
      </c>
      <c r="D1958" s="2" t="s">
        <v>204</v>
      </c>
      <c r="E1958" s="2">
        <v>77</v>
      </c>
      <c r="F1958" s="2">
        <v>1825.359</v>
      </c>
    </row>
    <row r="1959" spans="3:6" x14ac:dyDescent="0.25">
      <c r="C1959" s="2" t="s">
        <v>3863</v>
      </c>
      <c r="D1959" s="2" t="s">
        <v>204</v>
      </c>
      <c r="E1959" s="2">
        <v>67</v>
      </c>
      <c r="F1959" s="2">
        <v>1305.749</v>
      </c>
    </row>
    <row r="1960" spans="3:6" x14ac:dyDescent="0.25">
      <c r="C1960" s="2" t="s">
        <v>3864</v>
      </c>
      <c r="D1960" s="2" t="s">
        <v>204</v>
      </c>
      <c r="E1960" s="2">
        <v>67</v>
      </c>
      <c r="F1960" s="2">
        <v>1279.7</v>
      </c>
    </row>
    <row r="1961" spans="3:6" x14ac:dyDescent="0.25">
      <c r="C1961" s="2" t="s">
        <v>3865</v>
      </c>
      <c r="D1961" s="2" t="s">
        <v>204</v>
      </c>
      <c r="E1961" s="2">
        <v>83</v>
      </c>
      <c r="F1961" s="2">
        <v>1660.369</v>
      </c>
    </row>
    <row r="1962" spans="3:6" x14ac:dyDescent="0.25">
      <c r="C1962" s="2" t="s">
        <v>3866</v>
      </c>
      <c r="D1962" s="2" t="s">
        <v>204</v>
      </c>
      <c r="E1962" s="2">
        <v>163</v>
      </c>
      <c r="F1962" s="2">
        <v>2920.399</v>
      </c>
    </row>
    <row r="1963" spans="3:6" x14ac:dyDescent="0.25">
      <c r="C1963" s="2" t="s">
        <v>3867</v>
      </c>
      <c r="D1963" s="2" t="s">
        <v>204</v>
      </c>
      <c r="E1963" s="2">
        <v>134</v>
      </c>
      <c r="F1963" s="2">
        <v>2582.92</v>
      </c>
    </row>
    <row r="1964" spans="3:6" x14ac:dyDescent="0.25">
      <c r="C1964" s="2" t="s">
        <v>3868</v>
      </c>
      <c r="D1964" s="2" t="s">
        <v>204</v>
      </c>
      <c r="E1964" s="2">
        <v>163</v>
      </c>
      <c r="F1964" s="2">
        <v>3156.06</v>
      </c>
    </row>
    <row r="1965" spans="3:6" x14ac:dyDescent="0.25">
      <c r="C1965" s="2" t="s">
        <v>3869</v>
      </c>
      <c r="D1965" s="2" t="s">
        <v>204</v>
      </c>
      <c r="E1965" s="2">
        <v>163</v>
      </c>
      <c r="F1965" s="2">
        <v>3107.83</v>
      </c>
    </row>
    <row r="1966" spans="3:6" x14ac:dyDescent="0.25">
      <c r="C1966" s="2" t="s">
        <v>3870</v>
      </c>
      <c r="D1966" s="2" t="s">
        <v>236</v>
      </c>
      <c r="E1966" s="2">
        <v>45</v>
      </c>
      <c r="F1966" s="2">
        <v>775.429</v>
      </c>
    </row>
    <row r="1967" spans="3:6" x14ac:dyDescent="0.25">
      <c r="C1967" s="2" t="s">
        <v>3871</v>
      </c>
      <c r="D1967" s="2" t="s">
        <v>236</v>
      </c>
      <c r="E1967" s="2">
        <v>60</v>
      </c>
      <c r="F1967" s="2">
        <v>1088.269</v>
      </c>
    </row>
    <row r="1968" spans="3:6" x14ac:dyDescent="0.25">
      <c r="C1968" s="2" t="s">
        <v>3872</v>
      </c>
      <c r="D1968" s="2" t="s">
        <v>204</v>
      </c>
      <c r="E1968" s="2">
        <v>86</v>
      </c>
      <c r="F1968" s="2">
        <v>1813.96</v>
      </c>
    </row>
    <row r="1969" spans="3:6" x14ac:dyDescent="0.25">
      <c r="C1969" s="2" t="s">
        <v>3873</v>
      </c>
      <c r="D1969" s="2" t="s">
        <v>204</v>
      </c>
      <c r="E1969" s="2">
        <v>134</v>
      </c>
      <c r="F1969" s="2">
        <v>2509.35</v>
      </c>
    </row>
    <row r="1970" spans="3:6" x14ac:dyDescent="0.25">
      <c r="C1970" s="2" t="s">
        <v>3874</v>
      </c>
      <c r="D1970" s="2" t="s">
        <v>214</v>
      </c>
      <c r="E1970" s="2">
        <v>100</v>
      </c>
      <c r="F1970" s="2">
        <v>1804.37</v>
      </c>
    </row>
    <row r="1971" spans="3:6" x14ac:dyDescent="0.25">
      <c r="C1971" s="2" t="s">
        <v>3875</v>
      </c>
      <c r="D1971" s="2" t="s">
        <v>214</v>
      </c>
      <c r="E1971" s="2">
        <v>56</v>
      </c>
      <c r="F1971" s="2">
        <v>1013.52</v>
      </c>
    </row>
    <row r="1972" spans="3:6" x14ac:dyDescent="0.25">
      <c r="C1972" s="2" t="s">
        <v>3876</v>
      </c>
      <c r="D1972" s="2" t="s">
        <v>214</v>
      </c>
      <c r="E1972" s="2">
        <v>156</v>
      </c>
      <c r="F1972" s="2">
        <v>3176.319</v>
      </c>
    </row>
    <row r="1973" spans="3:6" x14ac:dyDescent="0.25">
      <c r="C1973" s="2" t="s">
        <v>3877</v>
      </c>
      <c r="D1973" s="2" t="s">
        <v>204</v>
      </c>
      <c r="E1973" s="2">
        <v>163</v>
      </c>
      <c r="F1973" s="2">
        <v>3312.09</v>
      </c>
    </row>
    <row r="1974" spans="3:6" x14ac:dyDescent="0.25">
      <c r="C1974" s="2" t="s">
        <v>3878</v>
      </c>
      <c r="D1974" s="2" t="s">
        <v>204</v>
      </c>
      <c r="E1974" s="2">
        <v>163</v>
      </c>
      <c r="F1974" s="2">
        <v>3141.54</v>
      </c>
    </row>
    <row r="1975" spans="3:6" x14ac:dyDescent="0.25">
      <c r="C1975" s="2" t="s">
        <v>3879</v>
      </c>
      <c r="D1975" s="2" t="s">
        <v>204</v>
      </c>
      <c r="E1975" s="2">
        <v>163</v>
      </c>
      <c r="F1975" s="2">
        <v>2966.507</v>
      </c>
    </row>
    <row r="1976" spans="3:6" x14ac:dyDescent="0.25">
      <c r="C1976" s="2" t="s">
        <v>3880</v>
      </c>
      <c r="D1976" s="2" t="s">
        <v>204</v>
      </c>
      <c r="E1976" s="2">
        <v>163</v>
      </c>
      <c r="F1976" s="2">
        <v>3163.669</v>
      </c>
    </row>
    <row r="1977" spans="3:6" x14ac:dyDescent="0.25">
      <c r="C1977" s="2" t="s">
        <v>3881</v>
      </c>
      <c r="D1977" s="2" t="s">
        <v>204</v>
      </c>
      <c r="E1977" s="2">
        <v>163</v>
      </c>
      <c r="F1977" s="2">
        <v>3230.858</v>
      </c>
    </row>
    <row r="1978" spans="3:6" x14ac:dyDescent="0.25">
      <c r="C1978" s="2" t="s">
        <v>3882</v>
      </c>
      <c r="D1978" s="2" t="s">
        <v>204</v>
      </c>
      <c r="E1978" s="2">
        <v>163</v>
      </c>
      <c r="F1978" s="2">
        <v>2796.08</v>
      </c>
    </row>
    <row r="1979" spans="3:6" x14ac:dyDescent="0.25">
      <c r="C1979" s="2" t="s">
        <v>3883</v>
      </c>
      <c r="D1979" s="2" t="s">
        <v>236</v>
      </c>
      <c r="E1979" s="2">
        <v>60</v>
      </c>
      <c r="F1979" s="2">
        <v>1070.62</v>
      </c>
    </row>
    <row r="1980" spans="3:6" x14ac:dyDescent="0.25">
      <c r="C1980" s="2" t="s">
        <v>3884</v>
      </c>
      <c r="D1980" s="2" t="s">
        <v>236</v>
      </c>
      <c r="E1980" s="2">
        <v>45</v>
      </c>
      <c r="F1980" s="2">
        <v>779</v>
      </c>
    </row>
    <row r="1981" spans="3:6" x14ac:dyDescent="0.25">
      <c r="C1981" s="2" t="s">
        <v>3885</v>
      </c>
      <c r="D1981" s="2" t="s">
        <v>214</v>
      </c>
      <c r="E1981" s="2">
        <v>156</v>
      </c>
      <c r="F1981" s="2">
        <v>3062.879</v>
      </c>
    </row>
    <row r="1982" spans="3:6" x14ac:dyDescent="0.25">
      <c r="C1982" s="2" t="s">
        <v>3886</v>
      </c>
      <c r="D1982" s="2" t="s">
        <v>204</v>
      </c>
      <c r="E1982" s="2">
        <v>163</v>
      </c>
      <c r="F1982" s="2">
        <v>3260.73</v>
      </c>
    </row>
    <row r="1983" spans="3:6" x14ac:dyDescent="0.25">
      <c r="C1983" s="2" t="s">
        <v>3824</v>
      </c>
      <c r="D1983" s="2" t="s">
        <v>204</v>
      </c>
      <c r="E1983" s="2">
        <v>163</v>
      </c>
      <c r="F1983" s="2">
        <v>3100.419</v>
      </c>
    </row>
    <row r="1984" spans="3:6" x14ac:dyDescent="0.25">
      <c r="C1984" s="2" t="s">
        <v>3887</v>
      </c>
      <c r="D1984" s="2" t="s">
        <v>204</v>
      </c>
      <c r="E1984" s="2">
        <v>22</v>
      </c>
      <c r="F1984" s="2">
        <v>415</v>
      </c>
    </row>
    <row r="1986" spans="3:7" x14ac:dyDescent="0.25">
      <c r="C1986" s="2" t="s">
        <v>3888</v>
      </c>
      <c r="D1986" s="2" t="s">
        <v>342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3889</v>
      </c>
      <c r="D1988" s="2" t="s">
        <v>342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3890</v>
      </c>
      <c r="D1989" s="2" t="s">
        <v>342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2023</v>
      </c>
      <c r="C1991" s="2" t="s">
        <v>3891</v>
      </c>
      <c r="D1991" s="2" t="s">
        <v>20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3892</v>
      </c>
      <c r="D1992" s="2" t="s">
        <v>20</v>
      </c>
      <c r="E1992" s="2">
        <v>261</v>
      </c>
      <c r="F1992" s="2">
        <v>5000.957</v>
      </c>
    </row>
    <row r="1993" spans="3:6" x14ac:dyDescent="0.25">
      <c r="C1993" s="2" t="s">
        <v>3893</v>
      </c>
      <c r="D1993" s="2" t="s">
        <v>20</v>
      </c>
      <c r="E1993" s="2">
        <v>154</v>
      </c>
      <c r="F1993" s="2">
        <v>2835.59</v>
      </c>
    </row>
    <row r="1994" spans="3:6" x14ac:dyDescent="0.25">
      <c r="C1994" s="2" t="s">
        <v>3894</v>
      </c>
      <c r="D1994" s="2" t="s">
        <v>20</v>
      </c>
      <c r="E1994" s="2">
        <v>105</v>
      </c>
      <c r="F1994" s="2">
        <v>2044.578</v>
      </c>
    </row>
    <row r="1995" spans="3:6" x14ac:dyDescent="0.25">
      <c r="C1995" s="2" t="s">
        <v>3895</v>
      </c>
      <c r="D1995" s="2" t="s">
        <v>20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1289</v>
      </c>
      <c r="C1997" s="2" t="s">
        <v>3896</v>
      </c>
      <c r="D1997" s="2" t="s">
        <v>9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3897</v>
      </c>
      <c r="D1998" s="2" t="s">
        <v>9</v>
      </c>
      <c r="E1998" s="2">
        <v>96</v>
      </c>
      <c r="F1998" s="2">
        <v>1914.989</v>
      </c>
    </row>
    <row r="1999" spans="3:6" x14ac:dyDescent="0.25">
      <c r="C1999" s="2" t="s">
        <v>3898</v>
      </c>
      <c r="D1999" s="2" t="s">
        <v>9</v>
      </c>
      <c r="E1999" s="2">
        <v>17</v>
      </c>
      <c r="F1999" s="2">
        <v>299.443</v>
      </c>
    </row>
    <row r="2000" spans="3:6" x14ac:dyDescent="0.25">
      <c r="C2000" s="2" t="s">
        <v>3899</v>
      </c>
      <c r="D2000" s="2" t="s">
        <v>9</v>
      </c>
      <c r="E2000" s="2">
        <v>101</v>
      </c>
      <c r="F2000" s="2">
        <v>1920.872</v>
      </c>
    </row>
    <row r="2001" spans="3:6" x14ac:dyDescent="0.25">
      <c r="C2001" s="2" t="s">
        <v>3900</v>
      </c>
      <c r="D2001" s="2" t="s">
        <v>9</v>
      </c>
      <c r="E2001" s="2">
        <v>123</v>
      </c>
      <c r="F2001" s="2">
        <v>2514.22</v>
      </c>
    </row>
    <row r="2002" spans="3:6" x14ac:dyDescent="0.25">
      <c r="C2002" s="2" t="s">
        <v>3901</v>
      </c>
      <c r="D2002" s="2" t="s">
        <v>9</v>
      </c>
      <c r="E2002" s="2">
        <v>134</v>
      </c>
      <c r="F2002" s="2">
        <v>2750.269</v>
      </c>
    </row>
    <row r="2003" spans="3:6" x14ac:dyDescent="0.25">
      <c r="C2003" s="2" t="s">
        <v>3902</v>
      </c>
      <c r="D2003" s="2" t="s">
        <v>9</v>
      </c>
      <c r="E2003" s="2">
        <v>45</v>
      </c>
      <c r="F2003" s="2">
        <v>177.71</v>
      </c>
    </row>
    <row r="2004" spans="3:6" x14ac:dyDescent="0.25">
      <c r="C2004" s="2" t="s">
        <v>3903</v>
      </c>
      <c r="D2004" s="2" t="s">
        <v>9</v>
      </c>
      <c r="E2004" s="2">
        <v>79</v>
      </c>
      <c r="F2004" s="2">
        <v>1487.9</v>
      </c>
    </row>
    <row r="2005" spans="3:6" x14ac:dyDescent="0.25">
      <c r="C2005" s="2" t="s">
        <v>3904</v>
      </c>
      <c r="D2005" s="2" t="s">
        <v>9</v>
      </c>
      <c r="E2005" s="2">
        <v>69</v>
      </c>
      <c r="F2005" s="2">
        <v>1413.889</v>
      </c>
    </row>
    <row r="2006" spans="3:6" x14ac:dyDescent="0.25">
      <c r="C2006" s="2" t="s">
        <v>3905</v>
      </c>
      <c r="D2006" s="2" t="s">
        <v>9</v>
      </c>
      <c r="E2006" s="2">
        <v>97</v>
      </c>
      <c r="F2006" s="2">
        <v>2009.259</v>
      </c>
    </row>
    <row r="2007" spans="3:6" x14ac:dyDescent="0.25">
      <c r="C2007" s="2" t="s">
        <v>3906</v>
      </c>
      <c r="D2007" s="2" t="s">
        <v>9</v>
      </c>
      <c r="E2007" s="2">
        <v>44</v>
      </c>
      <c r="F2007" s="2">
        <v>877.99</v>
      </c>
    </row>
    <row r="2008" spans="3:6" x14ac:dyDescent="0.25">
      <c r="C2008" s="2" t="s">
        <v>3907</v>
      </c>
      <c r="D2008" s="2" t="s">
        <v>9</v>
      </c>
      <c r="E2008" s="2">
        <v>102</v>
      </c>
      <c r="F2008" s="2">
        <v>2056.05</v>
      </c>
    </row>
    <row r="2009" spans="3:6" x14ac:dyDescent="0.25">
      <c r="C2009" s="2" t="s">
        <v>3908</v>
      </c>
      <c r="D2009" s="2" t="s">
        <v>9</v>
      </c>
      <c r="E2009" s="2">
        <v>22</v>
      </c>
      <c r="F2009" s="2">
        <v>431.66</v>
      </c>
    </row>
    <row r="2010" spans="3:6" x14ac:dyDescent="0.25">
      <c r="C2010" s="2" t="s">
        <v>3909</v>
      </c>
      <c r="D2010" s="2" t="s">
        <v>9</v>
      </c>
      <c r="E2010" s="2">
        <v>41</v>
      </c>
      <c r="F2010" s="2">
        <v>816.63</v>
      </c>
    </row>
    <row r="2011" spans="3:6" x14ac:dyDescent="0.25">
      <c r="C2011" s="2" t="s">
        <v>3910</v>
      </c>
      <c r="D2011" s="2" t="s">
        <v>9</v>
      </c>
      <c r="E2011" s="2">
        <v>39</v>
      </c>
      <c r="F2011" s="2">
        <v>695.948</v>
      </c>
    </row>
    <row r="2012" spans="3:6" x14ac:dyDescent="0.25">
      <c r="C2012" s="2" t="s">
        <v>3911</v>
      </c>
      <c r="D2012" s="2" t="s">
        <v>9</v>
      </c>
      <c r="E2012" s="2">
        <v>141</v>
      </c>
      <c r="F2012" s="2">
        <v>2877.23</v>
      </c>
    </row>
    <row r="2013" spans="3:6" x14ac:dyDescent="0.25">
      <c r="C2013" s="2" t="s">
        <v>3912</v>
      </c>
      <c r="D2013" s="2" t="s">
        <v>9</v>
      </c>
      <c r="E2013" s="2">
        <v>141</v>
      </c>
      <c r="F2013" s="2">
        <v>2907.89</v>
      </c>
    </row>
    <row r="2014" spans="3:6" x14ac:dyDescent="0.25">
      <c r="C2014" s="2" t="s">
        <v>3913</v>
      </c>
      <c r="D2014" s="2" t="s">
        <v>9</v>
      </c>
      <c r="E2014" s="2">
        <v>60</v>
      </c>
      <c r="F2014" s="2">
        <v>1255.749</v>
      </c>
    </row>
    <row r="2015" spans="3:6" x14ac:dyDescent="0.25">
      <c r="C2015" s="2" t="s">
        <v>3914</v>
      </c>
      <c r="D2015" s="2" t="s">
        <v>9</v>
      </c>
      <c r="E2015" s="2">
        <v>81</v>
      </c>
      <c r="F2015" s="2">
        <v>1647.12</v>
      </c>
    </row>
    <row r="2016" spans="3:6" x14ac:dyDescent="0.25">
      <c r="C2016" s="2" t="s">
        <v>3915</v>
      </c>
      <c r="D2016" s="2" t="s">
        <v>9</v>
      </c>
      <c r="E2016" s="2">
        <v>55</v>
      </c>
      <c r="F2016" s="2">
        <v>950.579</v>
      </c>
    </row>
    <row r="2017" spans="3:6" x14ac:dyDescent="0.25">
      <c r="C2017" s="2" t="s">
        <v>3916</v>
      </c>
      <c r="D2017" s="2" t="s">
        <v>9</v>
      </c>
      <c r="E2017" s="2">
        <v>26</v>
      </c>
      <c r="F2017" s="2">
        <v>501.549</v>
      </c>
    </row>
    <row r="2018" spans="3:6" x14ac:dyDescent="0.25">
      <c r="C2018" s="2" t="s">
        <v>3917</v>
      </c>
      <c r="D2018" s="2" t="s">
        <v>9</v>
      </c>
      <c r="E2018" s="2">
        <v>16</v>
      </c>
      <c r="F2018" s="2">
        <v>348.47</v>
      </c>
    </row>
    <row r="2019" spans="3:6" x14ac:dyDescent="0.25">
      <c r="C2019" s="2" t="s">
        <v>3918</v>
      </c>
      <c r="D2019" s="2" t="s">
        <v>9</v>
      </c>
      <c r="E2019" s="2">
        <v>85</v>
      </c>
      <c r="F2019" s="2">
        <v>1792.71</v>
      </c>
    </row>
    <row r="2020" spans="3:6" x14ac:dyDescent="0.25">
      <c r="C2020" s="2" t="s">
        <v>3919</v>
      </c>
      <c r="D2020" s="2" t="s">
        <v>9</v>
      </c>
      <c r="E2020" s="2">
        <v>19</v>
      </c>
      <c r="F2020" s="2">
        <v>338.422</v>
      </c>
    </row>
    <row r="2021" spans="3:6" x14ac:dyDescent="0.25">
      <c r="C2021" s="2" t="s">
        <v>3920</v>
      </c>
      <c r="D2021" s="2" t="s">
        <v>9</v>
      </c>
      <c r="E2021" s="2">
        <v>17</v>
      </c>
      <c r="F2021" s="2">
        <v>319.08</v>
      </c>
    </row>
    <row r="2022" spans="3:6" x14ac:dyDescent="0.25">
      <c r="C2022" s="2" t="s">
        <v>3921</v>
      </c>
      <c r="D2022" s="2" t="s">
        <v>9</v>
      </c>
      <c r="E2022" s="2">
        <v>123</v>
      </c>
      <c r="F2022" s="2">
        <v>2373.55</v>
      </c>
    </row>
    <row r="2023" spans="3:6" x14ac:dyDescent="0.25">
      <c r="C2023" s="2" t="s">
        <v>3922</v>
      </c>
      <c r="D2023" s="2" t="s">
        <v>9</v>
      </c>
      <c r="E2023" s="2">
        <v>28</v>
      </c>
      <c r="F2023" s="2">
        <v>571.3</v>
      </c>
    </row>
    <row r="2024" spans="3:6" x14ac:dyDescent="0.25">
      <c r="C2024" s="2" t="s">
        <v>3923</v>
      </c>
      <c r="D2024" s="2" t="s">
        <v>9</v>
      </c>
      <c r="E2024" s="2">
        <v>29</v>
      </c>
      <c r="F2024" s="2">
        <v>559.78</v>
      </c>
    </row>
    <row r="2025" spans="3:6" x14ac:dyDescent="0.25">
      <c r="C2025" s="2" t="s">
        <v>3924</v>
      </c>
      <c r="D2025" s="2" t="s">
        <v>9</v>
      </c>
      <c r="E2025" s="2">
        <v>85</v>
      </c>
      <c r="F2025" s="2">
        <v>1508.48</v>
      </c>
    </row>
    <row r="2026" spans="3:6" x14ac:dyDescent="0.25">
      <c r="C2026" s="2" t="s">
        <v>3925</v>
      </c>
      <c r="D2026" s="2" t="s">
        <v>9</v>
      </c>
      <c r="E2026" s="2">
        <v>116</v>
      </c>
      <c r="F2026" s="2">
        <v>1008.968</v>
      </c>
    </row>
    <row r="2027" spans="3:6" x14ac:dyDescent="0.25">
      <c r="C2027" s="2" t="s">
        <v>3926</v>
      </c>
      <c r="D2027" s="2" t="s">
        <v>9</v>
      </c>
      <c r="E2027" s="2">
        <v>104</v>
      </c>
      <c r="F2027" s="2">
        <v>2159.846</v>
      </c>
    </row>
    <row r="2028" spans="3:6" x14ac:dyDescent="0.25">
      <c r="C2028" s="2" t="s">
        <v>3927</v>
      </c>
      <c r="D2028" s="2" t="s">
        <v>9</v>
      </c>
      <c r="E2028" s="2">
        <v>141</v>
      </c>
      <c r="F2028" s="2">
        <v>2530.533</v>
      </c>
    </row>
    <row r="2029" spans="3:6" x14ac:dyDescent="0.25">
      <c r="C2029" s="2" t="s">
        <v>3928</v>
      </c>
      <c r="D2029" s="2" t="s">
        <v>9</v>
      </c>
      <c r="E2029" s="2">
        <v>102</v>
      </c>
      <c r="F2029" s="2">
        <v>2068.73</v>
      </c>
    </row>
    <row r="2030" spans="3:6" x14ac:dyDescent="0.25">
      <c r="C2030" s="2" t="s">
        <v>3929</v>
      </c>
      <c r="D2030" s="2" t="s">
        <v>9</v>
      </c>
      <c r="E2030" s="2">
        <v>39</v>
      </c>
      <c r="F2030" s="2">
        <v>786.36</v>
      </c>
    </row>
    <row r="2031" spans="3:6" x14ac:dyDescent="0.25">
      <c r="C2031" s="2" t="s">
        <v>3930</v>
      </c>
      <c r="D2031" s="2" t="s">
        <v>9</v>
      </c>
      <c r="E2031" s="2">
        <v>102</v>
      </c>
      <c r="F2031" s="2">
        <v>1975.37</v>
      </c>
    </row>
    <row r="2032" spans="3:6" x14ac:dyDescent="0.25">
      <c r="C2032" s="2" t="s">
        <v>3931</v>
      </c>
      <c r="D2032" s="2" t="s">
        <v>9</v>
      </c>
      <c r="E2032" s="2">
        <v>25</v>
      </c>
      <c r="F2032" s="2">
        <v>523.94</v>
      </c>
    </row>
    <row r="2033" spans="3:6" x14ac:dyDescent="0.25">
      <c r="C2033" s="2" t="s">
        <v>3932</v>
      </c>
      <c r="D2033" s="2" t="s">
        <v>9</v>
      </c>
      <c r="E2033" s="2">
        <v>116</v>
      </c>
      <c r="F2033" s="2">
        <v>2353.669</v>
      </c>
    </row>
    <row r="2034" spans="3:6" x14ac:dyDescent="0.25">
      <c r="C2034" s="2" t="s">
        <v>3933</v>
      </c>
      <c r="D2034" s="2" t="s">
        <v>9</v>
      </c>
      <c r="E2034" s="2">
        <v>77</v>
      </c>
      <c r="F2034" s="2">
        <v>1591.29</v>
      </c>
    </row>
    <row r="2035" spans="3:6" x14ac:dyDescent="0.25">
      <c r="C2035" s="2" t="s">
        <v>3934</v>
      </c>
      <c r="D2035" s="2" t="s">
        <v>9</v>
      </c>
      <c r="E2035" s="2">
        <v>62</v>
      </c>
      <c r="F2035" s="2">
        <v>1272.948</v>
      </c>
    </row>
    <row r="2036" spans="3:6" x14ac:dyDescent="0.25">
      <c r="C2036" s="2" t="s">
        <v>3935</v>
      </c>
      <c r="D2036" s="2" t="s">
        <v>9</v>
      </c>
      <c r="E2036" s="2">
        <v>44</v>
      </c>
      <c r="F2036" s="2">
        <v>802.412</v>
      </c>
    </row>
    <row r="2037" spans="3:6" x14ac:dyDescent="0.25">
      <c r="C2037" s="2" t="s">
        <v>3936</v>
      </c>
      <c r="D2037" s="2" t="s">
        <v>9</v>
      </c>
      <c r="E2037" s="2">
        <v>40</v>
      </c>
      <c r="F2037" s="2">
        <v>811.631</v>
      </c>
    </row>
    <row r="2038" spans="3:6" x14ac:dyDescent="0.25">
      <c r="C2038" s="2" t="s">
        <v>3937</v>
      </c>
      <c r="D2038" s="2" t="s">
        <v>9</v>
      </c>
      <c r="E2038" s="2">
        <v>7</v>
      </c>
      <c r="F2038" s="2">
        <v>142.74</v>
      </c>
    </row>
    <row r="2039" spans="3:4" x14ac:dyDescent="0.25">
      <c r="C2039" s="2" t="s">
        <v>3938</v>
      </c>
      <c r="D2039" s="2" t="s">
        <v>9</v>
      </c>
    </row>
    <row r="2040" spans="3:4" x14ac:dyDescent="0.25">
      <c r="C2040" s="2" t="s">
        <v>3939</v>
      </c>
      <c r="D2040" s="2" t="s">
        <v>9</v>
      </c>
    </row>
    <row r="2041" spans="3:6" x14ac:dyDescent="0.25">
      <c r="C2041" s="2" t="s">
        <v>3940</v>
      </c>
      <c r="D2041" s="2" t="s">
        <v>9</v>
      </c>
      <c r="E2041" s="2">
        <v>34</v>
      </c>
      <c r="F2041" s="2">
        <v>667.81</v>
      </c>
    </row>
    <row r="2042" spans="3:6" x14ac:dyDescent="0.25">
      <c r="C2042" s="2" t="s">
        <v>3941</v>
      </c>
      <c r="D2042" s="2" t="s">
        <v>9</v>
      </c>
      <c r="E2042" s="2">
        <v>18</v>
      </c>
      <c r="F2042" s="2">
        <v>387.1</v>
      </c>
    </row>
    <row r="2043" spans="3:6" x14ac:dyDescent="0.25">
      <c r="C2043" s="2" t="s">
        <v>3942</v>
      </c>
      <c r="D2043" s="2" t="s">
        <v>9</v>
      </c>
      <c r="E2043" s="2">
        <v>49</v>
      </c>
      <c r="F2043" s="2">
        <v>990.245</v>
      </c>
    </row>
    <row r="2044" spans="3:6" x14ac:dyDescent="0.25">
      <c r="C2044" s="2" t="s">
        <v>3943</v>
      </c>
      <c r="D2044" s="2" t="s">
        <v>9</v>
      </c>
      <c r="E2044" s="2">
        <v>30</v>
      </c>
      <c r="F2044" s="2">
        <v>505.86</v>
      </c>
    </row>
    <row r="2045" spans="3:6" x14ac:dyDescent="0.25">
      <c r="C2045" s="2" t="s">
        <v>3944</v>
      </c>
      <c r="D2045" s="2" t="s">
        <v>9</v>
      </c>
      <c r="E2045" s="2">
        <v>93</v>
      </c>
      <c r="F2045" s="2">
        <v>515.915</v>
      </c>
    </row>
    <row r="2046" spans="3:6" x14ac:dyDescent="0.25">
      <c r="C2046" s="2" t="s">
        <v>3945</v>
      </c>
      <c r="D2046" s="2" t="s">
        <v>9</v>
      </c>
      <c r="E2046" s="2">
        <v>21</v>
      </c>
      <c r="F2046" s="2">
        <v>551.878</v>
      </c>
    </row>
    <row r="2047" spans="3:6" x14ac:dyDescent="0.25">
      <c r="C2047" s="2" t="s">
        <v>3946</v>
      </c>
      <c r="D2047" s="2" t="s">
        <v>9</v>
      </c>
      <c r="E2047" s="2">
        <v>34</v>
      </c>
      <c r="F2047" s="2">
        <v>626.32</v>
      </c>
    </row>
    <row r="2048" spans="3:6" x14ac:dyDescent="0.25">
      <c r="C2048" s="2" t="s">
        <v>3947</v>
      </c>
      <c r="D2048" s="2" t="s">
        <v>9</v>
      </c>
      <c r="E2048" s="2">
        <v>105</v>
      </c>
      <c r="F2048" s="2">
        <v>2093.53</v>
      </c>
    </row>
    <row r="2049" spans="3:6" x14ac:dyDescent="0.25">
      <c r="C2049" s="2" t="s">
        <v>3948</v>
      </c>
      <c r="D2049" s="2" t="s">
        <v>9</v>
      </c>
      <c r="E2049" s="2">
        <v>42</v>
      </c>
      <c r="F2049" s="2">
        <v>813.96</v>
      </c>
    </row>
    <row r="2050" spans="3:6" x14ac:dyDescent="0.25">
      <c r="C2050" s="2" t="s">
        <v>3949</v>
      </c>
      <c r="D2050" s="2" t="s">
        <v>9</v>
      </c>
      <c r="E2050" s="2">
        <v>58</v>
      </c>
      <c r="F2050" s="2">
        <v>1147.06</v>
      </c>
    </row>
    <row r="2051" spans="3:6" x14ac:dyDescent="0.25">
      <c r="C2051" s="2" t="s">
        <v>3950</v>
      </c>
      <c r="D2051" s="2" t="s">
        <v>9</v>
      </c>
      <c r="E2051" s="2">
        <v>12</v>
      </c>
      <c r="F2051" s="2">
        <v>222.72</v>
      </c>
    </row>
    <row r="2052" spans="3:6" x14ac:dyDescent="0.25">
      <c r="C2052" s="2" t="s">
        <v>3951</v>
      </c>
      <c r="D2052" s="2" t="s">
        <v>9</v>
      </c>
      <c r="E2052" s="2">
        <v>10</v>
      </c>
      <c r="F2052" s="2">
        <v>203.94</v>
      </c>
    </row>
    <row r="2053" spans="3:6" x14ac:dyDescent="0.25">
      <c r="C2053" s="2" t="s">
        <v>3952</v>
      </c>
      <c r="D2053" s="2" t="s">
        <v>9</v>
      </c>
      <c r="E2053" s="2">
        <v>69</v>
      </c>
      <c r="F2053" s="2">
        <v>1348.899</v>
      </c>
    </row>
    <row r="2054" spans="3:6" x14ac:dyDescent="0.25">
      <c r="C2054" s="2" t="s">
        <v>3953</v>
      </c>
      <c r="D2054" s="2" t="s">
        <v>9</v>
      </c>
      <c r="E2054" s="2">
        <v>32</v>
      </c>
      <c r="F2054" s="2">
        <v>586.15</v>
      </c>
    </row>
    <row r="2055" spans="3:6" x14ac:dyDescent="0.25">
      <c r="C2055" s="2" t="s">
        <v>3954</v>
      </c>
      <c r="D2055" s="2" t="s">
        <v>9</v>
      </c>
      <c r="E2055" s="2">
        <v>17</v>
      </c>
      <c r="F2055" s="2">
        <v>358.16</v>
      </c>
    </row>
    <row r="2056" spans="3:6" x14ac:dyDescent="0.25">
      <c r="C2056" s="2" t="s">
        <v>3955</v>
      </c>
      <c r="D2056" s="2" t="s">
        <v>9</v>
      </c>
      <c r="E2056" s="2">
        <v>13</v>
      </c>
      <c r="F2056" s="2">
        <v>250.55</v>
      </c>
    </row>
    <row r="2057" spans="3:6" x14ac:dyDescent="0.25">
      <c r="C2057" s="2" t="s">
        <v>3956</v>
      </c>
      <c r="D2057" s="2" t="s">
        <v>9</v>
      </c>
      <c r="E2057" s="2">
        <v>43</v>
      </c>
      <c r="F2057" s="2">
        <v>844.79</v>
      </c>
    </row>
    <row r="2058" spans="3:6" x14ac:dyDescent="0.25">
      <c r="C2058" s="2" t="s">
        <v>3957</v>
      </c>
      <c r="D2058" s="2" t="s">
        <v>9</v>
      </c>
      <c r="E2058" s="2">
        <v>28</v>
      </c>
      <c r="F2058" s="2">
        <v>580.21</v>
      </c>
    </row>
    <row r="2059" spans="3:6" x14ac:dyDescent="0.25">
      <c r="C2059" s="2" t="s">
        <v>3958</v>
      </c>
      <c r="D2059" s="2" t="s">
        <v>9</v>
      </c>
      <c r="E2059" s="2">
        <v>18</v>
      </c>
      <c r="F2059" s="2">
        <v>372.54</v>
      </c>
    </row>
    <row r="2060" spans="3:6" x14ac:dyDescent="0.25">
      <c r="C2060" s="2" t="s">
        <v>3959</v>
      </c>
      <c r="D2060" s="2" t="s">
        <v>9</v>
      </c>
      <c r="E2060" s="2">
        <v>12</v>
      </c>
      <c r="F2060" s="2">
        <v>231.96</v>
      </c>
    </row>
    <row r="2061" spans="3:6" x14ac:dyDescent="0.25">
      <c r="C2061" s="2" t="s">
        <v>3960</v>
      </c>
      <c r="D2061" s="2" t="s">
        <v>9</v>
      </c>
      <c r="E2061" s="2">
        <v>5</v>
      </c>
      <c r="F2061" s="2">
        <v>92.18</v>
      </c>
    </row>
    <row r="2062" spans="3:6" x14ac:dyDescent="0.25">
      <c r="C2062" s="2" t="s">
        <v>3961</v>
      </c>
      <c r="D2062" s="2" t="s">
        <v>9</v>
      </c>
      <c r="E2062" s="2">
        <v>12</v>
      </c>
      <c r="F2062" s="2">
        <v>200.03</v>
      </c>
    </row>
    <row r="2063" spans="3:6" x14ac:dyDescent="0.25">
      <c r="C2063" s="2" t="s">
        <v>3962</v>
      </c>
      <c r="D2063" s="2" t="s">
        <v>9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10</v>
      </c>
      <c r="C2065" s="2" t="s">
        <v>3963</v>
      </c>
      <c r="D2065" s="2" t="s">
        <v>12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3964</v>
      </c>
      <c r="D2066" s="2" t="s">
        <v>12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1101</v>
      </c>
      <c r="C2068" s="2" t="s">
        <v>3965</v>
      </c>
      <c r="D2068" s="2" t="s">
        <v>20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3966</v>
      </c>
      <c r="D2069" s="2" t="s">
        <v>20</v>
      </c>
      <c r="E2069" s="2">
        <v>156</v>
      </c>
      <c r="F2069" s="2">
        <v>3022.2</v>
      </c>
    </row>
    <row r="2070" spans="3:6" x14ac:dyDescent="0.25">
      <c r="C2070" s="2" t="s">
        <v>3967</v>
      </c>
      <c r="D2070" s="2" t="s">
        <v>20</v>
      </c>
      <c r="E2070" s="2">
        <v>105</v>
      </c>
      <c r="F2070" s="2">
        <v>2057.29</v>
      </c>
    </row>
    <row r="2071" spans="3:6" x14ac:dyDescent="0.25">
      <c r="C2071" s="2" t="s">
        <v>3968</v>
      </c>
      <c r="D2071" s="2" t="s">
        <v>20</v>
      </c>
      <c r="E2071" s="2">
        <v>156</v>
      </c>
      <c r="F2071" s="2">
        <v>2977.19</v>
      </c>
    </row>
    <row r="2072" spans="3:6" x14ac:dyDescent="0.25">
      <c r="C2072" s="2" t="s">
        <v>3969</v>
      </c>
      <c r="D2072" s="2" t="s">
        <v>20</v>
      </c>
      <c r="E2072" s="2">
        <v>261</v>
      </c>
      <c r="F2072" s="2">
        <v>5230.629</v>
      </c>
    </row>
    <row r="2073" spans="3:6" x14ac:dyDescent="0.25">
      <c r="C2073" s="2" t="s">
        <v>3970</v>
      </c>
      <c r="D2073" s="2" t="s">
        <v>20</v>
      </c>
      <c r="E2073" s="2">
        <v>96</v>
      </c>
      <c r="F2073" s="2">
        <v>1902.29</v>
      </c>
    </row>
    <row r="2074" spans="3:6" x14ac:dyDescent="0.25">
      <c r="C2074" s="2" t="s">
        <v>3971</v>
      </c>
      <c r="D2074" s="2" t="s">
        <v>20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335</v>
      </c>
      <c r="C2076" s="2" t="s">
        <v>3972</v>
      </c>
      <c r="D2076" s="2" t="s">
        <v>20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3973</v>
      </c>
      <c r="D2077" s="2" t="s">
        <v>20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172</v>
      </c>
      <c r="C2079" s="2" t="s">
        <v>3974</v>
      </c>
      <c r="D2079" s="2" t="s">
        <v>122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3975</v>
      </c>
      <c r="D2080" s="2" t="s">
        <v>122</v>
      </c>
      <c r="E2080" s="2">
        <v>121</v>
      </c>
      <c r="F2080" s="2">
        <v>2512.79</v>
      </c>
    </row>
    <row r="2081" spans="3:6" x14ac:dyDescent="0.25">
      <c r="C2081" s="2" t="s">
        <v>3976</v>
      </c>
      <c r="D2081" s="2" t="s">
        <v>122</v>
      </c>
      <c r="E2081" s="2">
        <v>121</v>
      </c>
      <c r="F2081" s="2">
        <v>2352.7</v>
      </c>
    </row>
    <row r="2082" spans="3:6" x14ac:dyDescent="0.25">
      <c r="C2082" s="2" t="s">
        <v>3977</v>
      </c>
      <c r="D2082" s="2" t="s">
        <v>122</v>
      </c>
      <c r="E2082" s="2">
        <v>121</v>
      </c>
      <c r="F2082" s="2">
        <v>2435.01</v>
      </c>
    </row>
    <row r="2083" spans="3:6" x14ac:dyDescent="0.25">
      <c r="C2083" s="2" t="s">
        <v>3978</v>
      </c>
      <c r="D2083" s="2" t="s">
        <v>122</v>
      </c>
      <c r="E2083" s="2">
        <v>134</v>
      </c>
      <c r="F2083" s="2">
        <v>2822.31</v>
      </c>
    </row>
    <row r="2084" spans="3:6" x14ac:dyDescent="0.25">
      <c r="C2084" s="2" t="s">
        <v>3979</v>
      </c>
      <c r="D2084" s="2" t="s">
        <v>122</v>
      </c>
      <c r="E2084" s="2">
        <v>108</v>
      </c>
      <c r="F2084" s="2">
        <v>2165.82</v>
      </c>
    </row>
    <row r="2085" spans="3:6" x14ac:dyDescent="0.25">
      <c r="C2085" s="2" t="s">
        <v>3980</v>
      </c>
      <c r="D2085" s="2" t="s">
        <v>122</v>
      </c>
      <c r="E2085" s="2">
        <v>33</v>
      </c>
      <c r="F2085" s="2">
        <v>635.46</v>
      </c>
    </row>
    <row r="2086" spans="3:6" x14ac:dyDescent="0.25">
      <c r="C2086" s="2" t="s">
        <v>3981</v>
      </c>
      <c r="D2086" s="2" t="s">
        <v>122</v>
      </c>
      <c r="E2086" s="2">
        <v>108</v>
      </c>
      <c r="F2086" s="2">
        <v>2090.41</v>
      </c>
    </row>
    <row r="2087" spans="3:6" x14ac:dyDescent="0.25">
      <c r="C2087" s="2" t="s">
        <v>3982</v>
      </c>
      <c r="D2087" s="2" t="s">
        <v>122</v>
      </c>
      <c r="E2087" s="2">
        <v>33</v>
      </c>
      <c r="F2087" s="2">
        <v>685.14</v>
      </c>
    </row>
    <row r="2088" spans="3:6" x14ac:dyDescent="0.25">
      <c r="C2088" s="2" t="s">
        <v>3983</v>
      </c>
      <c r="D2088" s="2" t="s">
        <v>122</v>
      </c>
      <c r="E2088" s="2">
        <v>73</v>
      </c>
      <c r="F2088" s="2">
        <v>1519.96</v>
      </c>
    </row>
    <row r="2089" spans="3:6" x14ac:dyDescent="0.25">
      <c r="C2089" s="2" t="s">
        <v>3984</v>
      </c>
      <c r="D2089" s="2" t="s">
        <v>122</v>
      </c>
      <c r="E2089" s="2">
        <v>49</v>
      </c>
      <c r="F2089" s="2">
        <v>1022.15</v>
      </c>
    </row>
    <row r="2090" spans="3:6" x14ac:dyDescent="0.25">
      <c r="C2090" s="2" t="s">
        <v>3985</v>
      </c>
      <c r="D2090" s="2" t="s">
        <v>122</v>
      </c>
      <c r="E2090" s="2">
        <v>19</v>
      </c>
      <c r="F2090" s="2">
        <v>368.99</v>
      </c>
    </row>
    <row r="2091" spans="3:6" x14ac:dyDescent="0.25">
      <c r="C2091" s="2" t="s">
        <v>3986</v>
      </c>
      <c r="D2091" s="2" t="s">
        <v>122</v>
      </c>
      <c r="E2091" s="2">
        <v>64</v>
      </c>
      <c r="F2091" s="2">
        <v>1303.73</v>
      </c>
    </row>
    <row r="2092" spans="3:6" x14ac:dyDescent="0.25">
      <c r="C2092" s="2" t="s">
        <v>3987</v>
      </c>
      <c r="D2092" s="2" t="s">
        <v>122</v>
      </c>
      <c r="E2092" s="2">
        <v>43</v>
      </c>
      <c r="F2092" s="2">
        <v>884.64</v>
      </c>
    </row>
    <row r="2093" spans="3:6" x14ac:dyDescent="0.25">
      <c r="C2093" s="2" t="s">
        <v>3988</v>
      </c>
      <c r="D2093" s="2" t="s">
        <v>122</v>
      </c>
      <c r="E2093" s="2">
        <v>34</v>
      </c>
      <c r="F2093" s="2">
        <v>636.89</v>
      </c>
    </row>
    <row r="2094" spans="3:6" x14ac:dyDescent="0.25">
      <c r="C2094" s="2" t="s">
        <v>3989</v>
      </c>
      <c r="D2094" s="2" t="s">
        <v>122</v>
      </c>
      <c r="E2094" s="2">
        <v>101</v>
      </c>
      <c r="F2094" s="2">
        <v>2033.089</v>
      </c>
    </row>
    <row r="2095" spans="3:6" x14ac:dyDescent="0.25">
      <c r="C2095" s="2" t="s">
        <v>3990</v>
      </c>
      <c r="D2095" s="2" t="s">
        <v>122</v>
      </c>
      <c r="E2095" s="2">
        <v>40</v>
      </c>
      <c r="F2095" s="2">
        <v>806.489</v>
      </c>
    </row>
    <row r="2096" spans="3:6" x14ac:dyDescent="0.25">
      <c r="C2096" s="2" t="s">
        <v>3991</v>
      </c>
      <c r="D2096" s="2" t="s">
        <v>122</v>
      </c>
      <c r="E2096" s="2">
        <v>124</v>
      </c>
      <c r="F2096" s="2">
        <v>2529.89</v>
      </c>
    </row>
    <row r="2097" spans="3:6" x14ac:dyDescent="0.25">
      <c r="C2097" s="2" t="s">
        <v>3992</v>
      </c>
      <c r="D2097" s="2" t="s">
        <v>122</v>
      </c>
      <c r="E2097" s="2">
        <v>17</v>
      </c>
      <c r="F2097" s="2">
        <v>359.99</v>
      </c>
    </row>
    <row r="2098" spans="3:6" x14ac:dyDescent="0.25">
      <c r="C2098" s="2" t="s">
        <v>3993</v>
      </c>
      <c r="D2098" s="2" t="s">
        <v>122</v>
      </c>
      <c r="E2098" s="2">
        <v>89</v>
      </c>
      <c r="F2098" s="2">
        <v>1828.58</v>
      </c>
    </row>
    <row r="2099" spans="3:6" x14ac:dyDescent="0.25">
      <c r="C2099" s="2" t="s">
        <v>3994</v>
      </c>
      <c r="D2099" s="2" t="s">
        <v>122</v>
      </c>
      <c r="E2099" s="2">
        <v>44</v>
      </c>
      <c r="F2099" s="2">
        <v>918.542</v>
      </c>
    </row>
    <row r="2100" spans="3:6" x14ac:dyDescent="0.25">
      <c r="C2100" s="2" t="s">
        <v>3995</v>
      </c>
      <c r="D2100" s="2" t="s">
        <v>122</v>
      </c>
      <c r="E2100" s="2">
        <v>50</v>
      </c>
      <c r="F2100" s="2">
        <v>1017.67</v>
      </c>
    </row>
    <row r="2101" spans="3:6" x14ac:dyDescent="0.25">
      <c r="C2101" s="2" t="s">
        <v>3996</v>
      </c>
      <c r="D2101" s="2" t="s">
        <v>122</v>
      </c>
      <c r="E2101" s="2">
        <v>28</v>
      </c>
      <c r="F2101" s="2">
        <v>586.01</v>
      </c>
    </row>
    <row r="2102" spans="3:6" x14ac:dyDescent="0.25">
      <c r="C2102" s="2" t="s">
        <v>3997</v>
      </c>
      <c r="D2102" s="2" t="s">
        <v>122</v>
      </c>
      <c r="E2102" s="2">
        <v>22</v>
      </c>
      <c r="F2102" s="2">
        <v>422.97</v>
      </c>
    </row>
    <row r="2103" spans="3:6" x14ac:dyDescent="0.25">
      <c r="C2103" s="2" t="s">
        <v>3998</v>
      </c>
      <c r="D2103" s="2" t="s">
        <v>122</v>
      </c>
      <c r="E2103" s="2">
        <v>8</v>
      </c>
      <c r="F2103" s="2">
        <v>160.16</v>
      </c>
    </row>
    <row r="2104" spans="3:6" x14ac:dyDescent="0.25">
      <c r="C2104" s="2" t="s">
        <v>3999</v>
      </c>
      <c r="D2104" s="2" t="s">
        <v>122</v>
      </c>
      <c r="E2104" s="2">
        <v>9</v>
      </c>
      <c r="F2104" s="2">
        <v>167.42</v>
      </c>
    </row>
    <row r="2105" spans="3:6" x14ac:dyDescent="0.25">
      <c r="C2105" s="2" t="s">
        <v>4000</v>
      </c>
      <c r="D2105" s="2" t="s">
        <v>122</v>
      </c>
      <c r="E2105" s="2">
        <v>24</v>
      </c>
      <c r="F2105" s="2">
        <v>439.19</v>
      </c>
    </row>
    <row r="2106" spans="3:6" x14ac:dyDescent="0.25">
      <c r="C2106" s="2" t="s">
        <v>4001</v>
      </c>
      <c r="D2106" s="2" t="s">
        <v>122</v>
      </c>
      <c r="E2106" s="2">
        <v>80</v>
      </c>
      <c r="F2106" s="2">
        <v>1142.834</v>
      </c>
    </row>
    <row r="2107" spans="3:6" x14ac:dyDescent="0.25">
      <c r="C2107" s="2" t="s">
        <v>4002</v>
      </c>
      <c r="D2107" s="2" t="s">
        <v>122</v>
      </c>
      <c r="E2107" s="2">
        <v>23</v>
      </c>
      <c r="F2107" s="2">
        <v>411.8</v>
      </c>
    </row>
    <row r="2108" spans="3:6" x14ac:dyDescent="0.25">
      <c r="C2108" s="2" t="s">
        <v>4003</v>
      </c>
      <c r="D2108" s="2" t="s">
        <v>122</v>
      </c>
      <c r="E2108" s="2">
        <v>6</v>
      </c>
      <c r="F2108" s="2">
        <v>92.34</v>
      </c>
    </row>
    <row r="2109" spans="3:6" x14ac:dyDescent="0.25">
      <c r="C2109" s="2" t="s">
        <v>4004</v>
      </c>
      <c r="D2109" s="2" t="s">
        <v>122</v>
      </c>
      <c r="E2109" s="2">
        <v>14</v>
      </c>
      <c r="F2109" s="2">
        <v>277.23</v>
      </c>
    </row>
    <row r="2110" spans="3:6" x14ac:dyDescent="0.25">
      <c r="C2110" s="2" t="s">
        <v>4005</v>
      </c>
      <c r="D2110" s="2" t="s">
        <v>122</v>
      </c>
      <c r="E2110" s="2">
        <v>69</v>
      </c>
      <c r="F2110" s="2">
        <v>1270.03</v>
      </c>
    </row>
    <row r="2111" spans="3:6" x14ac:dyDescent="0.25">
      <c r="C2111" s="2" t="s">
        <v>4006</v>
      </c>
      <c r="D2111" s="2" t="s">
        <v>122</v>
      </c>
      <c r="E2111" s="2">
        <v>13</v>
      </c>
      <c r="F2111" s="2">
        <v>272.54</v>
      </c>
    </row>
    <row r="2112" spans="3:6" x14ac:dyDescent="0.25">
      <c r="C2112" s="2" t="s">
        <v>4007</v>
      </c>
      <c r="D2112" s="2" t="s">
        <v>122</v>
      </c>
      <c r="E2112" s="2">
        <v>25</v>
      </c>
      <c r="F2112" s="2">
        <v>483.4</v>
      </c>
    </row>
    <row r="2113" spans="3:6" x14ac:dyDescent="0.25">
      <c r="C2113" s="2" t="s">
        <v>4008</v>
      </c>
      <c r="D2113" s="2" t="s">
        <v>122</v>
      </c>
      <c r="E2113" s="2">
        <v>25</v>
      </c>
      <c r="F2113" s="2">
        <v>523.13</v>
      </c>
    </row>
    <row r="2114" spans="3:6" x14ac:dyDescent="0.25">
      <c r="C2114" s="2" t="s">
        <v>4009</v>
      </c>
      <c r="D2114" s="2" t="s">
        <v>122</v>
      </c>
      <c r="E2114" s="2">
        <v>25</v>
      </c>
      <c r="F2114" s="2">
        <v>457.36</v>
      </c>
    </row>
    <row r="2115" spans="3:6" x14ac:dyDescent="0.25">
      <c r="C2115" s="2" t="s">
        <v>4010</v>
      </c>
      <c r="D2115" s="2" t="s">
        <v>122</v>
      </c>
      <c r="E2115" s="2">
        <v>104</v>
      </c>
      <c r="F2115" s="2">
        <v>434.658</v>
      </c>
    </row>
    <row r="2116" spans="3:6" x14ac:dyDescent="0.25">
      <c r="C2116" s="2" t="s">
        <v>4011</v>
      </c>
      <c r="D2116" s="2" t="s">
        <v>122</v>
      </c>
      <c r="E2116" s="2">
        <v>46</v>
      </c>
      <c r="F2116" s="2">
        <v>194.75</v>
      </c>
    </row>
    <row r="2117" spans="3:6" x14ac:dyDescent="0.25">
      <c r="C2117" s="2" t="s">
        <v>4012</v>
      </c>
      <c r="D2117" s="2" t="s">
        <v>122</v>
      </c>
      <c r="E2117" s="2">
        <v>88</v>
      </c>
      <c r="F2117" s="2">
        <v>1728.8</v>
      </c>
    </row>
    <row r="2118" spans="3:6" x14ac:dyDescent="0.25">
      <c r="C2118" s="2" t="s">
        <v>4013</v>
      </c>
      <c r="D2118" s="2" t="s">
        <v>122</v>
      </c>
      <c r="E2118" s="2">
        <v>53</v>
      </c>
      <c r="F2118" s="2">
        <v>1016.54</v>
      </c>
    </row>
    <row r="2119" spans="3:6" x14ac:dyDescent="0.25">
      <c r="C2119" s="2" t="s">
        <v>4014</v>
      </c>
      <c r="D2119" s="2" t="s">
        <v>122</v>
      </c>
      <c r="E2119" s="2">
        <v>30</v>
      </c>
      <c r="F2119" s="2">
        <v>631.6</v>
      </c>
    </row>
    <row r="2120" spans="3:6" x14ac:dyDescent="0.25">
      <c r="C2120" s="2" t="s">
        <v>4015</v>
      </c>
      <c r="D2120" s="2" t="s">
        <v>122</v>
      </c>
      <c r="E2120" s="2">
        <v>76</v>
      </c>
      <c r="F2120" s="2">
        <v>1475.649</v>
      </c>
    </row>
    <row r="2121" spans="3:6" x14ac:dyDescent="0.25">
      <c r="C2121" s="2" t="s">
        <v>4016</v>
      </c>
      <c r="D2121" s="2" t="s">
        <v>122</v>
      </c>
      <c r="E2121" s="2">
        <v>20</v>
      </c>
      <c r="F2121" s="2">
        <v>404.61</v>
      </c>
    </row>
    <row r="2122" spans="3:6" x14ac:dyDescent="0.25">
      <c r="C2122" s="2" t="s">
        <v>4017</v>
      </c>
      <c r="D2122" s="2" t="s">
        <v>122</v>
      </c>
      <c r="E2122" s="2">
        <v>15</v>
      </c>
      <c r="F2122" s="2">
        <v>314.87</v>
      </c>
    </row>
    <row r="2123" spans="3:6" x14ac:dyDescent="0.25">
      <c r="C2123" s="2" t="s">
        <v>4018</v>
      </c>
      <c r="D2123" s="2" t="s">
        <v>122</v>
      </c>
      <c r="E2123" s="2">
        <v>65</v>
      </c>
      <c r="F2123" s="2">
        <v>1144.342</v>
      </c>
    </row>
    <row r="2124" spans="3:6" x14ac:dyDescent="0.25">
      <c r="C2124" s="2" t="s">
        <v>4019</v>
      </c>
      <c r="D2124" s="2" t="s">
        <v>122</v>
      </c>
      <c r="E2124" s="2">
        <v>27</v>
      </c>
      <c r="F2124" s="2">
        <v>715.41</v>
      </c>
    </row>
    <row r="2125" spans="3:6" x14ac:dyDescent="0.25">
      <c r="C2125" s="2" t="s">
        <v>4020</v>
      </c>
      <c r="D2125" s="2" t="s">
        <v>122</v>
      </c>
      <c r="E2125" s="2">
        <v>13</v>
      </c>
      <c r="F2125" s="2">
        <v>253.11</v>
      </c>
    </row>
    <row r="2126" spans="3:6" x14ac:dyDescent="0.25">
      <c r="C2126" s="2" t="s">
        <v>4021</v>
      </c>
      <c r="D2126" s="2" t="s">
        <v>122</v>
      </c>
      <c r="E2126" s="2">
        <v>102</v>
      </c>
      <c r="F2126" s="2">
        <v>2111.63</v>
      </c>
    </row>
    <row r="2127" spans="3:6" x14ac:dyDescent="0.25">
      <c r="C2127" s="2" t="s">
        <v>4022</v>
      </c>
      <c r="D2127" s="2" t="s">
        <v>122</v>
      </c>
      <c r="E2127" s="2">
        <v>32</v>
      </c>
      <c r="F2127" s="2">
        <v>666.19</v>
      </c>
    </row>
    <row r="2128" spans="3:6" x14ac:dyDescent="0.25">
      <c r="C2128" s="2" t="s">
        <v>4023</v>
      </c>
      <c r="D2128" s="2" t="s">
        <v>122</v>
      </c>
      <c r="E2128" s="2">
        <v>31</v>
      </c>
      <c r="F2128" s="2">
        <v>642.03</v>
      </c>
    </row>
    <row r="2129" spans="3:6" x14ac:dyDescent="0.25">
      <c r="C2129" s="2" t="s">
        <v>4024</v>
      </c>
      <c r="D2129" s="2" t="s">
        <v>122</v>
      </c>
      <c r="E2129" s="2">
        <v>26</v>
      </c>
      <c r="F2129" s="2">
        <v>519.69</v>
      </c>
    </row>
    <row r="2130" spans="3:6" x14ac:dyDescent="0.25">
      <c r="C2130" s="2" t="s">
        <v>4025</v>
      </c>
      <c r="D2130" s="2" t="s">
        <v>122</v>
      </c>
      <c r="E2130" s="2">
        <v>13</v>
      </c>
      <c r="F2130" s="2">
        <v>252.34</v>
      </c>
    </row>
    <row r="2131" spans="3:6" x14ac:dyDescent="0.25">
      <c r="C2131" s="2" t="s">
        <v>4026</v>
      </c>
      <c r="D2131" s="2" t="s">
        <v>122</v>
      </c>
      <c r="E2131" s="2">
        <v>102</v>
      </c>
      <c r="F2131" s="2">
        <v>2046.61</v>
      </c>
    </row>
    <row r="2132" spans="3:6" x14ac:dyDescent="0.25">
      <c r="C2132" s="2" t="s">
        <v>4027</v>
      </c>
      <c r="D2132" s="2" t="s">
        <v>122</v>
      </c>
      <c r="E2132" s="2">
        <v>30</v>
      </c>
      <c r="F2132" s="2">
        <v>614.269</v>
      </c>
    </row>
    <row r="2133" spans="3:6" x14ac:dyDescent="0.25">
      <c r="C2133" s="2" t="s">
        <v>4028</v>
      </c>
      <c r="D2133" s="2" t="s">
        <v>122</v>
      </c>
      <c r="E2133" s="2">
        <v>24</v>
      </c>
      <c r="F2133" s="2">
        <v>491.73</v>
      </c>
    </row>
    <row r="2134" spans="3:6" x14ac:dyDescent="0.25">
      <c r="C2134" s="2" t="s">
        <v>4029</v>
      </c>
      <c r="D2134" s="2" t="s">
        <v>122</v>
      </c>
      <c r="E2134" s="2">
        <v>12</v>
      </c>
      <c r="F2134" s="2">
        <v>258.29</v>
      </c>
    </row>
    <row r="2135" spans="3:6" x14ac:dyDescent="0.25">
      <c r="C2135" s="2" t="s">
        <v>4030</v>
      </c>
      <c r="D2135" s="2" t="s">
        <v>122</v>
      </c>
      <c r="E2135" s="2">
        <v>20</v>
      </c>
      <c r="F2135" s="2">
        <v>420.73</v>
      </c>
    </row>
    <row r="2136" spans="3:6" x14ac:dyDescent="0.25">
      <c r="C2136" s="2" t="s">
        <v>4031</v>
      </c>
      <c r="D2136" s="2" t="s">
        <v>122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10</v>
      </c>
      <c r="C2138" s="2" t="s">
        <v>4032</v>
      </c>
      <c r="D2138" s="2" t="s">
        <v>12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4033</v>
      </c>
      <c r="D2139" s="2" t="s">
        <v>12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1101</v>
      </c>
      <c r="C2141" s="2" t="s">
        <v>4034</v>
      </c>
      <c r="D2141" s="2" t="s">
        <v>20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4035</v>
      </c>
      <c r="D2142" s="2" t="s">
        <v>20</v>
      </c>
      <c r="E2142" s="2">
        <v>210</v>
      </c>
      <c r="F2142" s="2">
        <v>4212.129</v>
      </c>
    </row>
    <row r="2143" spans="3:6" x14ac:dyDescent="0.25">
      <c r="C2143" s="2" t="s">
        <v>4036</v>
      </c>
      <c r="D2143" s="2" t="s">
        <v>20</v>
      </c>
      <c r="E2143" s="2">
        <v>105</v>
      </c>
      <c r="F2143" s="2">
        <v>2052.481</v>
      </c>
    </row>
    <row r="2144" spans="3:6" x14ac:dyDescent="0.25">
      <c r="C2144" s="2" t="s">
        <v>4037</v>
      </c>
      <c r="D2144" s="2" t="s">
        <v>20</v>
      </c>
      <c r="E2144" s="2">
        <v>105</v>
      </c>
      <c r="F2144" s="2">
        <v>2034.35</v>
      </c>
    </row>
    <row r="2145" spans="3:6" x14ac:dyDescent="0.25">
      <c r="C2145" s="2" t="s">
        <v>4038</v>
      </c>
      <c r="D2145" s="2" t="s">
        <v>20</v>
      </c>
      <c r="E2145" s="2">
        <v>156</v>
      </c>
      <c r="F2145" s="2">
        <v>2884.949</v>
      </c>
    </row>
    <row r="2146" spans="3:6" x14ac:dyDescent="0.25">
      <c r="C2146" s="2" t="s">
        <v>4039</v>
      </c>
      <c r="D2146" s="2" t="s">
        <v>20</v>
      </c>
      <c r="E2146" s="2">
        <v>311</v>
      </c>
      <c r="F2146" s="2">
        <v>5732.217</v>
      </c>
    </row>
    <row r="2147" spans="3:6" x14ac:dyDescent="0.25">
      <c r="C2147" s="2" t="s">
        <v>4040</v>
      </c>
      <c r="D2147" s="2" t="s">
        <v>20</v>
      </c>
      <c r="E2147" s="2">
        <v>312</v>
      </c>
      <c r="F2147" s="2">
        <v>6341.229</v>
      </c>
    </row>
    <row r="2148" spans="3:6" x14ac:dyDescent="0.25">
      <c r="C2148" s="2" t="s">
        <v>4041</v>
      </c>
      <c r="D2148" s="2" t="s">
        <v>20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120</v>
      </c>
      <c r="C2150" s="2" t="s">
        <v>4042</v>
      </c>
      <c r="D2150" s="2" t="s">
        <v>122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4043</v>
      </c>
      <c r="D2151" s="2" t="s">
        <v>122</v>
      </c>
      <c r="E2151" s="2">
        <v>34</v>
      </c>
      <c r="F2151" s="2">
        <v>646.39</v>
      </c>
    </row>
    <row r="2152" spans="3:6" x14ac:dyDescent="0.25">
      <c r="C2152" s="2" t="s">
        <v>4044</v>
      </c>
      <c r="D2152" s="2" t="s">
        <v>122</v>
      </c>
      <c r="E2152" s="2">
        <v>14</v>
      </c>
      <c r="F2152" s="2">
        <v>290.34</v>
      </c>
    </row>
    <row r="2153" spans="3:6" x14ac:dyDescent="0.25">
      <c r="C2153" s="2" t="s">
        <v>4045</v>
      </c>
      <c r="D2153" s="2" t="s">
        <v>122</v>
      </c>
      <c r="E2153" s="2">
        <v>76</v>
      </c>
      <c r="F2153" s="2">
        <v>1493.789</v>
      </c>
    </row>
    <row r="2154" spans="3:6" x14ac:dyDescent="0.25">
      <c r="C2154" s="2" t="s">
        <v>4046</v>
      </c>
      <c r="D2154" s="2" t="s">
        <v>122</v>
      </c>
      <c r="E2154" s="2">
        <v>45</v>
      </c>
      <c r="F2154" s="2">
        <v>902.69</v>
      </c>
    </row>
    <row r="2155" spans="3:6" x14ac:dyDescent="0.25">
      <c r="C2155" s="2" t="s">
        <v>4047</v>
      </c>
      <c r="D2155" s="2" t="s">
        <v>122</v>
      </c>
      <c r="E2155" s="2">
        <v>30</v>
      </c>
      <c r="F2155" s="2">
        <v>611.43</v>
      </c>
    </row>
    <row r="2156" spans="3:6" x14ac:dyDescent="0.25">
      <c r="C2156" s="2" t="s">
        <v>4048</v>
      </c>
      <c r="D2156" s="2" t="s">
        <v>122</v>
      </c>
      <c r="E2156" s="2">
        <v>91</v>
      </c>
      <c r="F2156" s="2">
        <v>1829.429</v>
      </c>
    </row>
    <row r="2157" spans="3:6" x14ac:dyDescent="0.25">
      <c r="C2157" s="2" t="s">
        <v>4049</v>
      </c>
      <c r="D2157" s="2" t="s">
        <v>122</v>
      </c>
      <c r="E2157" s="2">
        <v>21</v>
      </c>
      <c r="F2157" s="2">
        <v>49.098</v>
      </c>
    </row>
    <row r="2158" spans="3:6" x14ac:dyDescent="0.25">
      <c r="C2158" s="2" t="s">
        <v>4050</v>
      </c>
      <c r="D2158" s="2" t="s">
        <v>122</v>
      </c>
      <c r="E2158" s="2">
        <v>51</v>
      </c>
      <c r="F2158" s="2">
        <v>857.62</v>
      </c>
    </row>
    <row r="2159" spans="3:6" x14ac:dyDescent="0.25">
      <c r="C2159" s="2" t="s">
        <v>4051</v>
      </c>
      <c r="D2159" s="2" t="s">
        <v>122</v>
      </c>
      <c r="E2159" s="2">
        <v>28</v>
      </c>
      <c r="F2159" s="2">
        <v>57.5</v>
      </c>
    </row>
    <row r="2160" spans="3:6" x14ac:dyDescent="0.25">
      <c r="C2160" s="2" t="s">
        <v>4052</v>
      </c>
      <c r="D2160" s="2" t="s">
        <v>122</v>
      </c>
      <c r="E2160" s="2">
        <v>7</v>
      </c>
      <c r="F2160" s="2">
        <v>134.58</v>
      </c>
    </row>
    <row r="2161" spans="3:6" x14ac:dyDescent="0.25">
      <c r="C2161" s="2" t="s">
        <v>4053</v>
      </c>
      <c r="D2161" s="2" t="s">
        <v>122</v>
      </c>
      <c r="E2161" s="2">
        <v>92</v>
      </c>
      <c r="F2161" s="2">
        <v>1673.86</v>
      </c>
    </row>
    <row r="2162" spans="3:6" x14ac:dyDescent="0.25">
      <c r="C2162" s="2" t="s">
        <v>4054</v>
      </c>
      <c r="D2162" s="2" t="s">
        <v>122</v>
      </c>
      <c r="E2162" s="2">
        <v>42</v>
      </c>
      <c r="F2162" s="2">
        <v>787.11</v>
      </c>
    </row>
    <row r="2163" spans="3:6" x14ac:dyDescent="0.25">
      <c r="C2163" s="2" t="s">
        <v>4055</v>
      </c>
      <c r="D2163" s="2" t="s">
        <v>122</v>
      </c>
      <c r="E2163" s="2">
        <v>8</v>
      </c>
      <c r="F2163" s="2">
        <v>149.02</v>
      </c>
    </row>
    <row r="2164" spans="3:6" x14ac:dyDescent="0.25">
      <c r="C2164" s="2" t="s">
        <v>4056</v>
      </c>
      <c r="D2164" s="2" t="s">
        <v>122</v>
      </c>
      <c r="E2164" s="2">
        <v>40</v>
      </c>
      <c r="F2164" s="2">
        <v>827.57</v>
      </c>
    </row>
    <row r="2165" spans="3:6" x14ac:dyDescent="0.25">
      <c r="C2165" s="2" t="s">
        <v>4057</v>
      </c>
      <c r="D2165" s="2" t="s">
        <v>122</v>
      </c>
      <c r="E2165" s="2">
        <v>27</v>
      </c>
      <c r="F2165" s="2">
        <v>521.59</v>
      </c>
    </row>
    <row r="2166" spans="3:6" x14ac:dyDescent="0.25">
      <c r="C2166" s="2" t="s">
        <v>4058</v>
      </c>
      <c r="D2166" s="2" t="s">
        <v>122</v>
      </c>
      <c r="E2166" s="2">
        <v>41</v>
      </c>
      <c r="F2166" s="2">
        <v>172.58</v>
      </c>
    </row>
    <row r="2167" spans="3:6" x14ac:dyDescent="0.25">
      <c r="C2167" s="2" t="s">
        <v>4059</v>
      </c>
      <c r="D2167" s="2" t="s">
        <v>122</v>
      </c>
      <c r="E2167" s="2">
        <v>109</v>
      </c>
      <c r="F2167" s="2">
        <v>461.317</v>
      </c>
    </row>
    <row r="2168" spans="3:6" x14ac:dyDescent="0.25">
      <c r="C2168" s="2" t="s">
        <v>4060</v>
      </c>
      <c r="D2168" s="2" t="s">
        <v>122</v>
      </c>
      <c r="E2168" s="2">
        <v>88</v>
      </c>
      <c r="F2168" s="2">
        <v>1789.6</v>
      </c>
    </row>
    <row r="2169" spans="3:6" x14ac:dyDescent="0.25">
      <c r="C2169" s="2" t="s">
        <v>4061</v>
      </c>
      <c r="D2169" s="2" t="s">
        <v>122</v>
      </c>
      <c r="E2169" s="2">
        <v>14</v>
      </c>
      <c r="F2169" s="2">
        <v>295.35</v>
      </c>
    </row>
    <row r="2170" spans="3:6" x14ac:dyDescent="0.25">
      <c r="C2170" s="2" t="s">
        <v>4062</v>
      </c>
      <c r="D2170" s="2" t="s">
        <v>122</v>
      </c>
      <c r="E2170" s="2">
        <v>64</v>
      </c>
      <c r="F2170" s="2">
        <v>1310.65</v>
      </c>
    </row>
    <row r="2171" spans="3:6" x14ac:dyDescent="0.25">
      <c r="C2171" s="2" t="s">
        <v>4063</v>
      </c>
      <c r="D2171" s="2" t="s">
        <v>122</v>
      </c>
      <c r="E2171" s="2">
        <v>38</v>
      </c>
      <c r="F2171" s="2">
        <v>766.93</v>
      </c>
    </row>
    <row r="2172" spans="3:6" x14ac:dyDescent="0.25">
      <c r="C2172" s="2" t="s">
        <v>4064</v>
      </c>
      <c r="D2172" s="2" t="s">
        <v>122</v>
      </c>
      <c r="E2172" s="2">
        <v>49</v>
      </c>
      <c r="F2172" s="2">
        <v>981.93</v>
      </c>
    </row>
    <row r="2173" spans="3:6" x14ac:dyDescent="0.25">
      <c r="C2173" s="2" t="s">
        <v>4065</v>
      </c>
      <c r="D2173" s="2" t="s">
        <v>122</v>
      </c>
      <c r="E2173" s="2">
        <v>41</v>
      </c>
      <c r="F2173" s="2">
        <v>817.23</v>
      </c>
    </row>
    <row r="2174" spans="3:6" x14ac:dyDescent="0.25">
      <c r="C2174" s="2" t="s">
        <v>4066</v>
      </c>
      <c r="D2174" s="2" t="s">
        <v>122</v>
      </c>
      <c r="E2174" s="2">
        <v>12</v>
      </c>
      <c r="F2174" s="2">
        <v>241.03</v>
      </c>
    </row>
    <row r="2175" spans="3:6" x14ac:dyDescent="0.25">
      <c r="C2175" s="2" t="s">
        <v>4067</v>
      </c>
      <c r="D2175" s="2" t="s">
        <v>122</v>
      </c>
      <c r="E2175" s="2">
        <v>95</v>
      </c>
      <c r="F2175" s="2">
        <v>1933.03</v>
      </c>
    </row>
    <row r="2176" spans="3:6" x14ac:dyDescent="0.25">
      <c r="C2176" s="2" t="s">
        <v>4068</v>
      </c>
      <c r="D2176" s="2" t="s">
        <v>122</v>
      </c>
      <c r="E2176" s="2">
        <v>7</v>
      </c>
      <c r="F2176" s="2">
        <v>139.53</v>
      </c>
    </row>
    <row r="2177" spans="3:6" x14ac:dyDescent="0.25">
      <c r="C2177" s="2" t="s">
        <v>4069</v>
      </c>
      <c r="D2177" s="2" t="s">
        <v>122</v>
      </c>
      <c r="E2177" s="2">
        <v>39</v>
      </c>
      <c r="F2177" s="2">
        <v>746.64</v>
      </c>
    </row>
    <row r="2178" spans="3:5" x14ac:dyDescent="0.25">
      <c r="C2178" s="2" t="s">
        <v>4070</v>
      </c>
      <c r="D2178" s="2" t="s">
        <v>122</v>
      </c>
      <c r="E2178" s="2">
        <v>8</v>
      </c>
    </row>
    <row r="2179" spans="3:5" x14ac:dyDescent="0.25">
      <c r="C2179" s="2" t="s">
        <v>4071</v>
      </c>
      <c r="D2179" s="2" t="s">
        <v>122</v>
      </c>
      <c r="E2179" s="2">
        <v>12</v>
      </c>
    </row>
    <row r="2180" spans="3:6" x14ac:dyDescent="0.25">
      <c r="C2180" s="2" t="s">
        <v>4072</v>
      </c>
      <c r="D2180" s="2" t="s">
        <v>122</v>
      </c>
      <c r="E2180" s="2">
        <v>43</v>
      </c>
      <c r="F2180" s="2">
        <v>479.54</v>
      </c>
    </row>
    <row r="2181" spans="3:6" x14ac:dyDescent="0.25">
      <c r="C2181" s="2" t="s">
        <v>4073</v>
      </c>
      <c r="D2181" s="2" t="s">
        <v>122</v>
      </c>
      <c r="E2181" s="2">
        <v>91</v>
      </c>
      <c r="F2181" s="2">
        <v>1781.53</v>
      </c>
    </row>
    <row r="2182" spans="3:6" x14ac:dyDescent="0.25">
      <c r="C2182" s="2" t="s">
        <v>4074</v>
      </c>
      <c r="D2182" s="2" t="s">
        <v>122</v>
      </c>
      <c r="E2182" s="2">
        <v>50</v>
      </c>
      <c r="F2182" s="2">
        <v>1034.279</v>
      </c>
    </row>
    <row r="2183" spans="3:6" x14ac:dyDescent="0.25">
      <c r="C2183" s="2" t="s">
        <v>4075</v>
      </c>
      <c r="D2183" s="2" t="s">
        <v>122</v>
      </c>
      <c r="E2183" s="2">
        <v>89</v>
      </c>
      <c r="F2183" s="2">
        <v>1646.14</v>
      </c>
    </row>
    <row r="2184" spans="3:6" x14ac:dyDescent="0.25">
      <c r="C2184" s="2" t="s">
        <v>4076</v>
      </c>
      <c r="D2184" s="2" t="s">
        <v>122</v>
      </c>
      <c r="E2184" s="2">
        <v>11</v>
      </c>
      <c r="F2184" s="2">
        <v>218.24</v>
      </c>
    </row>
    <row r="2185" spans="3:6" x14ac:dyDescent="0.25">
      <c r="C2185" s="2" t="s">
        <v>4077</v>
      </c>
      <c r="D2185" s="2" t="s">
        <v>122</v>
      </c>
      <c r="E2185" s="2">
        <v>41</v>
      </c>
      <c r="F2185" s="2">
        <v>822.04</v>
      </c>
    </row>
    <row r="2186" spans="3:6" x14ac:dyDescent="0.25">
      <c r="C2186" s="2" t="s">
        <v>4078</v>
      </c>
      <c r="D2186" s="2" t="s">
        <v>122</v>
      </c>
      <c r="E2186" s="2">
        <v>39</v>
      </c>
      <c r="F2186" s="2">
        <v>753.879</v>
      </c>
    </row>
    <row r="2187" spans="3:6" x14ac:dyDescent="0.25">
      <c r="C2187" s="2" t="s">
        <v>4079</v>
      </c>
      <c r="D2187" s="2" t="s">
        <v>122</v>
      </c>
      <c r="E2187" s="2">
        <v>102</v>
      </c>
      <c r="F2187" s="2">
        <v>2011.32</v>
      </c>
    </row>
    <row r="2188" spans="3:6" x14ac:dyDescent="0.25">
      <c r="C2188" s="2" t="s">
        <v>4080</v>
      </c>
      <c r="D2188" s="2" t="s">
        <v>122</v>
      </c>
      <c r="E2188" s="2">
        <v>125</v>
      </c>
      <c r="F2188" s="2">
        <v>2503.79</v>
      </c>
    </row>
    <row r="2189" spans="3:6" x14ac:dyDescent="0.25">
      <c r="C2189" s="2" t="s">
        <v>4081</v>
      </c>
      <c r="D2189" s="2" t="s">
        <v>122</v>
      </c>
      <c r="E2189" s="2">
        <v>16</v>
      </c>
      <c r="F2189" s="2">
        <v>291.93</v>
      </c>
    </row>
    <row r="2190" spans="3:6" x14ac:dyDescent="0.25">
      <c r="C2190" s="2" t="s">
        <v>4082</v>
      </c>
      <c r="D2190" s="2" t="s">
        <v>122</v>
      </c>
      <c r="E2190" s="2">
        <v>31</v>
      </c>
      <c r="F2190" s="2">
        <v>643.34</v>
      </c>
    </row>
    <row r="2191" spans="3:6" x14ac:dyDescent="0.25">
      <c r="C2191" s="2" t="s">
        <v>4083</v>
      </c>
      <c r="D2191" s="2" t="s">
        <v>122</v>
      </c>
      <c r="E2191" s="2">
        <v>16</v>
      </c>
      <c r="F2191" s="2">
        <v>287.37</v>
      </c>
    </row>
    <row r="2192" spans="3:6" x14ac:dyDescent="0.25">
      <c r="C2192" s="2" t="s">
        <v>4084</v>
      </c>
      <c r="D2192" s="2" t="s">
        <v>122</v>
      </c>
      <c r="E2192" s="2">
        <v>14</v>
      </c>
      <c r="F2192" s="2">
        <v>272.3</v>
      </c>
    </row>
    <row r="2193" spans="3:6" x14ac:dyDescent="0.25">
      <c r="C2193" s="2" t="s">
        <v>4085</v>
      </c>
      <c r="D2193" s="2" t="s">
        <v>122</v>
      </c>
      <c r="E2193" s="2">
        <v>40</v>
      </c>
      <c r="F2193" s="2">
        <v>722.14</v>
      </c>
    </row>
    <row r="2194" spans="3:6" x14ac:dyDescent="0.25">
      <c r="C2194" s="2" t="s">
        <v>4086</v>
      </c>
      <c r="D2194" s="2" t="s">
        <v>122</v>
      </c>
      <c r="E2194" s="2">
        <v>23</v>
      </c>
      <c r="F2194" s="2">
        <v>451.23</v>
      </c>
    </row>
    <row r="2195" spans="3:6" x14ac:dyDescent="0.25">
      <c r="C2195" s="2" t="s">
        <v>4087</v>
      </c>
      <c r="D2195" s="2" t="s">
        <v>122</v>
      </c>
      <c r="E2195" s="2">
        <v>18</v>
      </c>
      <c r="F2195" s="2">
        <v>372.02</v>
      </c>
    </row>
    <row r="2196" spans="3:6" x14ac:dyDescent="0.25">
      <c r="C2196" s="2" t="s">
        <v>4088</v>
      </c>
      <c r="D2196" s="2" t="s">
        <v>122</v>
      </c>
      <c r="E2196" s="2">
        <v>7</v>
      </c>
      <c r="F2196" s="2">
        <v>131</v>
      </c>
    </row>
    <row r="2197" spans="3:6" x14ac:dyDescent="0.25">
      <c r="C2197" s="2" t="s">
        <v>4089</v>
      </c>
      <c r="D2197" s="2" t="s">
        <v>122</v>
      </c>
      <c r="E2197" s="2">
        <v>7</v>
      </c>
      <c r="F2197" s="2">
        <v>139.3</v>
      </c>
    </row>
    <row r="2198" spans="3:6" x14ac:dyDescent="0.25">
      <c r="C2198" s="2" t="s">
        <v>4090</v>
      </c>
      <c r="D2198" s="2" t="s">
        <v>122</v>
      </c>
      <c r="E2198" s="2">
        <v>16</v>
      </c>
      <c r="F2198" s="2">
        <v>331</v>
      </c>
    </row>
    <row r="2199" spans="3:6" x14ac:dyDescent="0.25">
      <c r="C2199" s="2" t="s">
        <v>4091</v>
      </c>
      <c r="D2199" s="2" t="s">
        <v>122</v>
      </c>
      <c r="E2199" s="2">
        <v>3</v>
      </c>
      <c r="F2199" s="2">
        <v>41.7</v>
      </c>
    </row>
    <row r="2200" spans="3:6" x14ac:dyDescent="0.25">
      <c r="C2200" s="2" t="s">
        <v>4092</v>
      </c>
      <c r="D2200" s="2" t="s">
        <v>122</v>
      </c>
      <c r="E2200" s="2">
        <v>105</v>
      </c>
      <c r="F2200" s="2">
        <v>2167.45</v>
      </c>
    </row>
    <row r="2201" spans="3:6" x14ac:dyDescent="0.25">
      <c r="C2201" s="2" t="s">
        <v>4093</v>
      </c>
      <c r="D2201" s="2" t="s">
        <v>122</v>
      </c>
      <c r="E2201" s="2">
        <v>4</v>
      </c>
      <c r="F2201" s="2">
        <v>66.1</v>
      </c>
    </row>
    <row r="2202" spans="3:6" x14ac:dyDescent="0.25">
      <c r="C2202" s="2" t="s">
        <v>4094</v>
      </c>
      <c r="D2202" s="2" t="s">
        <v>122</v>
      </c>
      <c r="E2202" s="2">
        <v>5</v>
      </c>
      <c r="F2202" s="2">
        <v>93.03</v>
      </c>
    </row>
    <row r="2203" spans="3:6" x14ac:dyDescent="0.25">
      <c r="C2203" s="2" t="s">
        <v>4095</v>
      </c>
      <c r="D2203" s="2" t="s">
        <v>122</v>
      </c>
      <c r="E2203" s="2">
        <v>108</v>
      </c>
      <c r="F2203" s="2">
        <v>2275</v>
      </c>
    </row>
    <row r="2204" spans="3:6" x14ac:dyDescent="0.25">
      <c r="C2204" s="2" t="s">
        <v>4096</v>
      </c>
      <c r="D2204" s="2" t="s">
        <v>122</v>
      </c>
      <c r="E2204" s="2">
        <v>14</v>
      </c>
      <c r="F2204" s="2">
        <v>377.08</v>
      </c>
    </row>
    <row r="2205" spans="3:6" x14ac:dyDescent="0.25">
      <c r="C2205" s="2" t="s">
        <v>4097</v>
      </c>
      <c r="D2205" s="2" t="s">
        <v>122</v>
      </c>
      <c r="E2205" s="2">
        <v>92</v>
      </c>
      <c r="F2205" s="2">
        <v>1914.12</v>
      </c>
    </row>
    <row r="2206" spans="3:6" x14ac:dyDescent="0.25">
      <c r="C2206" s="2" t="s">
        <v>4098</v>
      </c>
      <c r="D2206" s="2" t="s">
        <v>122</v>
      </c>
      <c r="E2206" s="2">
        <v>49</v>
      </c>
      <c r="F2206" s="2">
        <v>991.62</v>
      </c>
    </row>
    <row r="2207" spans="3:6" x14ac:dyDescent="0.25">
      <c r="C2207" s="2" t="s">
        <v>4099</v>
      </c>
      <c r="D2207" s="2" t="s">
        <v>122</v>
      </c>
      <c r="E2207" s="2">
        <v>15</v>
      </c>
      <c r="F2207" s="2">
        <v>273.57</v>
      </c>
    </row>
    <row r="2208" spans="3:6" x14ac:dyDescent="0.25">
      <c r="C2208" s="2" t="s">
        <v>4100</v>
      </c>
      <c r="D2208" s="2" t="s">
        <v>122</v>
      </c>
      <c r="E2208" s="2">
        <v>45</v>
      </c>
      <c r="F2208" s="2">
        <v>825.47</v>
      </c>
    </row>
    <row r="2209" spans="3:6" x14ac:dyDescent="0.25">
      <c r="C2209" s="2" t="s">
        <v>4101</v>
      </c>
      <c r="D2209" s="2" t="s">
        <v>122</v>
      </c>
      <c r="E2209" s="2">
        <v>61</v>
      </c>
      <c r="F2209" s="2">
        <v>1210.17</v>
      </c>
    </row>
    <row r="2210" spans="3:6" x14ac:dyDescent="0.25">
      <c r="C2210" s="2" t="s">
        <v>4102</v>
      </c>
      <c r="D2210" s="2" t="s">
        <v>122</v>
      </c>
      <c r="E2210" s="2">
        <v>20</v>
      </c>
      <c r="F2210" s="2">
        <v>367.96</v>
      </c>
    </row>
    <row r="2211" spans="3:6" x14ac:dyDescent="0.25">
      <c r="C2211" s="2" t="s">
        <v>4103</v>
      </c>
      <c r="D2211" s="2" t="s">
        <v>122</v>
      </c>
      <c r="E2211" s="2">
        <v>30</v>
      </c>
      <c r="F2211" s="2">
        <v>595.48</v>
      </c>
    </row>
    <row r="2212" spans="3:6" x14ac:dyDescent="0.25">
      <c r="C2212" s="2" t="s">
        <v>4104</v>
      </c>
      <c r="D2212" s="2" t="s">
        <v>122</v>
      </c>
      <c r="E2212" s="2">
        <v>111</v>
      </c>
      <c r="F2212" s="2">
        <v>2233.979</v>
      </c>
    </row>
    <row r="2213" spans="3:6" x14ac:dyDescent="0.25">
      <c r="C2213" s="2" t="s">
        <v>4105</v>
      </c>
      <c r="D2213" s="2" t="s">
        <v>122</v>
      </c>
      <c r="E2213" s="2">
        <v>13</v>
      </c>
      <c r="F2213" s="2">
        <v>227.53</v>
      </c>
    </row>
    <row r="2214" spans="3:6" x14ac:dyDescent="0.25">
      <c r="C2214" s="2" t="s">
        <v>4106</v>
      </c>
      <c r="D2214" s="2" t="s">
        <v>122</v>
      </c>
      <c r="E2214" s="2">
        <v>11</v>
      </c>
      <c r="F2214" s="2">
        <v>210.03</v>
      </c>
    </row>
    <row r="2215" spans="3:6" x14ac:dyDescent="0.25">
      <c r="C2215" s="2" t="s">
        <v>4107</v>
      </c>
      <c r="D2215" s="2" t="s">
        <v>122</v>
      </c>
      <c r="E2215" s="2">
        <v>93</v>
      </c>
      <c r="F2215" s="2">
        <v>2090.527</v>
      </c>
    </row>
    <row r="2216" spans="3:6" x14ac:dyDescent="0.25">
      <c r="C2216" s="2" t="s">
        <v>4108</v>
      </c>
      <c r="D2216" s="2" t="s">
        <v>122</v>
      </c>
      <c r="E2216" s="2">
        <v>80</v>
      </c>
      <c r="F2216" s="2">
        <v>1597.869</v>
      </c>
    </row>
    <row r="2217" spans="3:6" x14ac:dyDescent="0.25">
      <c r="C2217" s="2" t="s">
        <v>4109</v>
      </c>
      <c r="D2217" s="2" t="s">
        <v>122</v>
      </c>
      <c r="E2217" s="2">
        <v>27</v>
      </c>
      <c r="F2217" s="2">
        <v>567.23</v>
      </c>
    </row>
    <row r="2218" spans="3:6" x14ac:dyDescent="0.25">
      <c r="C2218" s="2" t="s">
        <v>4110</v>
      </c>
      <c r="D2218" s="2" t="s">
        <v>122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40</v>
      </c>
      <c r="C2220" s="2" t="s">
        <v>4111</v>
      </c>
      <c r="D2220" s="2" t="s">
        <v>42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4112</v>
      </c>
      <c r="D2221" s="2" t="s">
        <v>42</v>
      </c>
      <c r="E2221" s="2">
        <v>100</v>
      </c>
      <c r="F2221" s="2">
        <v>2028.48</v>
      </c>
    </row>
    <row r="2222" spans="3:6" x14ac:dyDescent="0.25">
      <c r="C2222" s="2" t="s">
        <v>4113</v>
      </c>
      <c r="D2222" s="2" t="s">
        <v>42</v>
      </c>
      <c r="E2222" s="2">
        <v>141</v>
      </c>
      <c r="F2222" s="2">
        <v>2661.21</v>
      </c>
    </row>
    <row r="2223" spans="3:6" x14ac:dyDescent="0.25">
      <c r="C2223" s="2" t="s">
        <v>4114</v>
      </c>
      <c r="D2223" s="2" t="s">
        <v>42</v>
      </c>
      <c r="E2223" s="2">
        <v>141</v>
      </c>
      <c r="F2223" s="2">
        <v>2667.8</v>
      </c>
    </row>
    <row r="2224" spans="3:6" x14ac:dyDescent="0.25">
      <c r="C2224" s="2" t="s">
        <v>4115</v>
      </c>
      <c r="D2224" s="2" t="s">
        <v>42</v>
      </c>
      <c r="E2224" s="2">
        <v>141</v>
      </c>
      <c r="F2224" s="2">
        <v>2771.93</v>
      </c>
    </row>
    <row r="2225" spans="3:6" x14ac:dyDescent="0.25">
      <c r="C2225" s="2" t="s">
        <v>4116</v>
      </c>
      <c r="D2225" s="2" t="s">
        <v>42</v>
      </c>
      <c r="E2225" s="2">
        <v>141</v>
      </c>
      <c r="F2225" s="2">
        <v>2830.149</v>
      </c>
    </row>
    <row r="2226" spans="3:6" x14ac:dyDescent="0.25">
      <c r="C2226" s="2" t="s">
        <v>4117</v>
      </c>
      <c r="D2226" s="2" t="s">
        <v>42</v>
      </c>
      <c r="E2226" s="2">
        <v>123</v>
      </c>
      <c r="F2226" s="2">
        <v>2561.23</v>
      </c>
    </row>
    <row r="2227" spans="3:6" x14ac:dyDescent="0.25">
      <c r="C2227" s="2" t="s">
        <v>4118</v>
      </c>
      <c r="D2227" s="2" t="s">
        <v>42</v>
      </c>
      <c r="E2227" s="2">
        <v>123</v>
      </c>
      <c r="F2227" s="2">
        <v>2572.9</v>
      </c>
    </row>
    <row r="2228" spans="3:6" x14ac:dyDescent="0.25">
      <c r="C2228" s="2" t="s">
        <v>4119</v>
      </c>
      <c r="D2228" s="2" t="s">
        <v>42</v>
      </c>
      <c r="E2228" s="2">
        <v>26</v>
      </c>
      <c r="F2228" s="2">
        <v>536.43</v>
      </c>
    </row>
    <row r="2229" spans="3:6" x14ac:dyDescent="0.25">
      <c r="C2229" s="2" t="s">
        <v>4120</v>
      </c>
      <c r="D2229" s="2" t="s">
        <v>42</v>
      </c>
      <c r="E2229" s="2">
        <v>74</v>
      </c>
      <c r="F2229" s="2">
        <v>1439.759</v>
      </c>
    </row>
    <row r="2230" spans="3:6" x14ac:dyDescent="0.25">
      <c r="C2230" s="2" t="s">
        <v>4121</v>
      </c>
      <c r="D2230" s="2" t="s">
        <v>42</v>
      </c>
      <c r="E2230" s="2">
        <v>41</v>
      </c>
      <c r="F2230" s="2">
        <v>836.83</v>
      </c>
    </row>
    <row r="2231" spans="3:6" x14ac:dyDescent="0.25">
      <c r="C2231" s="2" t="s">
        <v>4122</v>
      </c>
      <c r="D2231" s="2" t="s">
        <v>42</v>
      </c>
      <c r="E2231" s="2">
        <v>128</v>
      </c>
      <c r="F2231" s="2">
        <v>2394.259</v>
      </c>
    </row>
    <row r="2232" spans="3:6" x14ac:dyDescent="0.25">
      <c r="C2232" s="2" t="s">
        <v>4123</v>
      </c>
      <c r="D2232" s="2" t="s">
        <v>42</v>
      </c>
      <c r="E2232" s="2">
        <v>98</v>
      </c>
      <c r="F2232" s="2">
        <v>1877.42</v>
      </c>
    </row>
    <row r="2233" spans="3:6" x14ac:dyDescent="0.25">
      <c r="C2233" s="2" t="s">
        <v>4124</v>
      </c>
      <c r="D2233" s="2" t="s">
        <v>42</v>
      </c>
      <c r="E2233" s="2">
        <v>141</v>
      </c>
      <c r="F2233" s="2">
        <v>2721.53</v>
      </c>
    </row>
    <row r="2234" spans="3:6" x14ac:dyDescent="0.25">
      <c r="C2234" s="2" t="s">
        <v>4125</v>
      </c>
      <c r="D2234" s="2" t="s">
        <v>42</v>
      </c>
      <c r="E2234" s="2">
        <v>50</v>
      </c>
      <c r="F2234" s="2">
        <v>249.2</v>
      </c>
    </row>
    <row r="2235" spans="3:6" x14ac:dyDescent="0.25">
      <c r="C2235" s="2" t="s">
        <v>4126</v>
      </c>
      <c r="D2235" s="2" t="s">
        <v>42</v>
      </c>
      <c r="E2235" s="2">
        <v>43</v>
      </c>
      <c r="F2235" s="2">
        <v>823.63</v>
      </c>
    </row>
    <row r="2236" spans="3:6" x14ac:dyDescent="0.25">
      <c r="C2236" s="2" t="s">
        <v>4127</v>
      </c>
      <c r="D2236" s="2" t="s">
        <v>42</v>
      </c>
      <c r="E2236" s="2">
        <v>41</v>
      </c>
      <c r="F2236" s="2">
        <v>794.3</v>
      </c>
    </row>
    <row r="2237" spans="3:6" x14ac:dyDescent="0.25">
      <c r="C2237" s="2" t="s">
        <v>4128</v>
      </c>
      <c r="D2237" s="2" t="s">
        <v>42</v>
      </c>
      <c r="E2237" s="2">
        <v>96</v>
      </c>
      <c r="F2237" s="2">
        <v>1854.79</v>
      </c>
    </row>
    <row r="2238" spans="3:6" x14ac:dyDescent="0.25">
      <c r="C2238" s="2" t="s">
        <v>4129</v>
      </c>
      <c r="D2238" s="2" t="s">
        <v>42</v>
      </c>
      <c r="E2238" s="2">
        <v>11</v>
      </c>
      <c r="F2238" s="2">
        <v>243.34</v>
      </c>
    </row>
    <row r="2239" spans="3:6" x14ac:dyDescent="0.25">
      <c r="C2239" s="2" t="s">
        <v>4130</v>
      </c>
      <c r="D2239" s="2" t="s">
        <v>42</v>
      </c>
      <c r="E2239" s="2">
        <v>45</v>
      </c>
      <c r="F2239" s="2">
        <v>907.41</v>
      </c>
    </row>
    <row r="2240" spans="3:6" x14ac:dyDescent="0.25">
      <c r="C2240" s="2" t="s">
        <v>4131</v>
      </c>
      <c r="D2240" s="2" t="s">
        <v>42</v>
      </c>
      <c r="E2240" s="2">
        <v>130</v>
      </c>
      <c r="F2240" s="2">
        <v>2898.53</v>
      </c>
    </row>
    <row r="2241" spans="3:6" x14ac:dyDescent="0.25">
      <c r="C2241" s="2" t="s">
        <v>4132</v>
      </c>
      <c r="D2241" s="2" t="s">
        <v>42</v>
      </c>
      <c r="E2241" s="2">
        <v>10</v>
      </c>
      <c r="F2241" s="2">
        <v>190.84</v>
      </c>
    </row>
    <row r="2242" spans="3:6" x14ac:dyDescent="0.25">
      <c r="C2242" s="2" t="s">
        <v>4133</v>
      </c>
      <c r="D2242" s="2" t="s">
        <v>42</v>
      </c>
      <c r="E2242" s="2">
        <v>65</v>
      </c>
      <c r="F2242" s="2">
        <v>1345.34</v>
      </c>
    </row>
    <row r="2243" spans="3:6" x14ac:dyDescent="0.25">
      <c r="C2243" s="2" t="s">
        <v>4134</v>
      </c>
      <c r="D2243" s="2" t="s">
        <v>42</v>
      </c>
      <c r="E2243" s="2">
        <v>45</v>
      </c>
      <c r="F2243" s="2">
        <v>227.9</v>
      </c>
    </row>
    <row r="2244" spans="3:6" x14ac:dyDescent="0.25">
      <c r="C2244" s="2" t="s">
        <v>4135</v>
      </c>
      <c r="D2244" s="2" t="s">
        <v>42</v>
      </c>
      <c r="E2244" s="2">
        <v>98</v>
      </c>
      <c r="F2244" s="2">
        <v>2162.66</v>
      </c>
    </row>
    <row r="2245" spans="3:6" x14ac:dyDescent="0.25">
      <c r="C2245" s="2" t="s">
        <v>4136</v>
      </c>
      <c r="D2245" s="2" t="s">
        <v>42</v>
      </c>
      <c r="E2245" s="2">
        <v>45</v>
      </c>
      <c r="F2245" s="2">
        <v>225.53</v>
      </c>
    </row>
    <row r="2246" spans="3:6" x14ac:dyDescent="0.25">
      <c r="C2246" s="2" t="s">
        <v>4137</v>
      </c>
      <c r="D2246" s="2" t="s">
        <v>42</v>
      </c>
      <c r="E2246" s="2">
        <v>35</v>
      </c>
      <c r="F2246" s="2">
        <v>764.15</v>
      </c>
    </row>
    <row r="2247" spans="3:6" x14ac:dyDescent="0.25">
      <c r="C2247" s="2" t="s">
        <v>4138</v>
      </c>
      <c r="D2247" s="2" t="s">
        <v>42</v>
      </c>
      <c r="E2247" s="2">
        <v>24</v>
      </c>
      <c r="F2247" s="2">
        <v>436.82</v>
      </c>
    </row>
    <row r="2248" spans="3:6" x14ac:dyDescent="0.25">
      <c r="C2248" s="2" t="s">
        <v>4139</v>
      </c>
      <c r="D2248" s="2" t="s">
        <v>42</v>
      </c>
      <c r="E2248" s="2">
        <v>34</v>
      </c>
      <c r="F2248" s="2">
        <v>683.48</v>
      </c>
    </row>
    <row r="2249" spans="3:6" x14ac:dyDescent="0.25">
      <c r="C2249" s="2" t="s">
        <v>4140</v>
      </c>
      <c r="D2249" s="2" t="s">
        <v>42</v>
      </c>
      <c r="E2249" s="2">
        <v>58</v>
      </c>
      <c r="F2249" s="2">
        <v>1058.01</v>
      </c>
    </row>
    <row r="2250" spans="3:6" x14ac:dyDescent="0.25">
      <c r="C2250" s="2" t="s">
        <v>4141</v>
      </c>
      <c r="D2250" s="2" t="s">
        <v>42</v>
      </c>
      <c r="E2250" s="2">
        <v>8</v>
      </c>
      <c r="F2250" s="2">
        <v>154.63</v>
      </c>
    </row>
    <row r="2251" spans="3:6" x14ac:dyDescent="0.25">
      <c r="C2251" s="2" t="s">
        <v>4142</v>
      </c>
      <c r="D2251" s="2" t="s">
        <v>42</v>
      </c>
      <c r="E2251" s="2">
        <v>34</v>
      </c>
      <c r="F2251" s="2">
        <v>672.48</v>
      </c>
    </row>
    <row r="2252" spans="3:6" x14ac:dyDescent="0.25">
      <c r="C2252" s="2" t="s">
        <v>4143</v>
      </c>
      <c r="D2252" s="2" t="s">
        <v>42</v>
      </c>
      <c r="E2252" s="2">
        <v>26</v>
      </c>
      <c r="F2252" s="2">
        <v>513.25</v>
      </c>
    </row>
    <row r="2253" spans="3:6" x14ac:dyDescent="0.25">
      <c r="C2253" s="2" t="s">
        <v>4144</v>
      </c>
      <c r="D2253" s="2" t="s">
        <v>42</v>
      </c>
      <c r="E2253" s="2">
        <v>16</v>
      </c>
      <c r="F2253" s="2">
        <v>276.315</v>
      </c>
    </row>
    <row r="2254" spans="3:6" x14ac:dyDescent="0.25">
      <c r="C2254" s="2" t="s">
        <v>4145</v>
      </c>
      <c r="D2254" s="2" t="s">
        <v>42</v>
      </c>
      <c r="E2254" s="2">
        <v>20</v>
      </c>
      <c r="F2254" s="2">
        <v>407.03</v>
      </c>
    </row>
    <row r="2255" spans="3:6" x14ac:dyDescent="0.25">
      <c r="C2255" s="2" t="s">
        <v>4146</v>
      </c>
      <c r="D2255" s="2" t="s">
        <v>42</v>
      </c>
      <c r="E2255" s="2">
        <v>121</v>
      </c>
      <c r="F2255" s="2">
        <v>2486.82</v>
      </c>
    </row>
    <row r="2256" spans="3:6" x14ac:dyDescent="0.25">
      <c r="C2256" s="2" t="s">
        <v>4147</v>
      </c>
      <c r="D2256" s="2" t="s">
        <v>42</v>
      </c>
      <c r="E2256" s="2">
        <v>123</v>
      </c>
      <c r="F2256" s="2">
        <v>2430.31</v>
      </c>
    </row>
    <row r="2257" spans="3:6" x14ac:dyDescent="0.25">
      <c r="C2257" s="2" t="s">
        <v>4148</v>
      </c>
      <c r="D2257" s="2" t="s">
        <v>42</v>
      </c>
      <c r="E2257" s="2">
        <v>15</v>
      </c>
      <c r="F2257" s="2">
        <v>315.4</v>
      </c>
    </row>
    <row r="2258" spans="3:6" x14ac:dyDescent="0.25">
      <c r="C2258" s="2" t="s">
        <v>4149</v>
      </c>
      <c r="D2258" s="2" t="s">
        <v>42</v>
      </c>
      <c r="E2258" s="2">
        <v>84</v>
      </c>
      <c r="F2258" s="2">
        <v>1722.92</v>
      </c>
    </row>
    <row r="2259" spans="3:6" x14ac:dyDescent="0.25">
      <c r="C2259" s="2" t="s">
        <v>4150</v>
      </c>
      <c r="D2259" s="2" t="s">
        <v>42</v>
      </c>
      <c r="E2259" s="2">
        <v>59</v>
      </c>
      <c r="F2259" s="2">
        <v>1158.51</v>
      </c>
    </row>
    <row r="2260" spans="3:6" x14ac:dyDescent="0.25">
      <c r="C2260" s="2" t="s">
        <v>4151</v>
      </c>
      <c r="D2260" s="2" t="s">
        <v>42</v>
      </c>
      <c r="E2260" s="2">
        <v>57</v>
      </c>
      <c r="F2260" s="2">
        <v>1268.551</v>
      </c>
    </row>
    <row r="2261" spans="3:6" x14ac:dyDescent="0.25">
      <c r="C2261" s="2" t="s">
        <v>4152</v>
      </c>
      <c r="D2261" s="2" t="s">
        <v>42</v>
      </c>
      <c r="E2261" s="2">
        <v>82</v>
      </c>
      <c r="F2261" s="2">
        <v>1563.92</v>
      </c>
    </row>
    <row r="2262" spans="3:6" x14ac:dyDescent="0.25">
      <c r="C2262" s="2" t="s">
        <v>4153</v>
      </c>
      <c r="D2262" s="2" t="s">
        <v>42</v>
      </c>
      <c r="E2262" s="2">
        <v>85</v>
      </c>
      <c r="F2262" s="2">
        <v>1743.679</v>
      </c>
    </row>
    <row r="2263" spans="3:6" x14ac:dyDescent="0.25">
      <c r="C2263" s="2" t="s">
        <v>4154</v>
      </c>
      <c r="D2263" s="2" t="s">
        <v>42</v>
      </c>
      <c r="E2263" s="2">
        <v>100</v>
      </c>
      <c r="F2263" s="2">
        <v>1948.439</v>
      </c>
    </row>
    <row r="2264" spans="3:6" x14ac:dyDescent="0.25">
      <c r="C2264" s="2" t="s">
        <v>4155</v>
      </c>
      <c r="D2264" s="2" t="s">
        <v>42</v>
      </c>
      <c r="E2264" s="2">
        <v>60</v>
      </c>
      <c r="F2264" s="2">
        <v>286.17</v>
      </c>
    </row>
    <row r="2265" spans="3:6" x14ac:dyDescent="0.25">
      <c r="C2265" s="2" t="s">
        <v>4156</v>
      </c>
      <c r="D2265" s="2" t="s">
        <v>42</v>
      </c>
      <c r="E2265" s="2">
        <v>39</v>
      </c>
      <c r="F2265" s="2">
        <v>678.48</v>
      </c>
    </row>
    <row r="2266" spans="3:6" x14ac:dyDescent="0.25">
      <c r="C2266" s="2" t="s">
        <v>4157</v>
      </c>
      <c r="D2266" s="2" t="s">
        <v>42</v>
      </c>
      <c r="E2266" s="2">
        <v>74</v>
      </c>
      <c r="F2266" s="2">
        <v>1476.83</v>
      </c>
    </row>
    <row r="2267" spans="3:6" x14ac:dyDescent="0.25">
      <c r="C2267" s="2" t="s">
        <v>4158</v>
      </c>
      <c r="D2267" s="2" t="s">
        <v>42</v>
      </c>
      <c r="E2267" s="2">
        <v>61</v>
      </c>
      <c r="F2267" s="2">
        <v>1205.88</v>
      </c>
    </row>
    <row r="2268" spans="3:6" x14ac:dyDescent="0.25">
      <c r="C2268" s="2" t="s">
        <v>4159</v>
      </c>
      <c r="D2268" s="2" t="s">
        <v>42</v>
      </c>
      <c r="E2268" s="2">
        <v>25</v>
      </c>
      <c r="F2268" s="2">
        <v>510.16</v>
      </c>
    </row>
    <row r="2269" spans="3:6" x14ac:dyDescent="0.25">
      <c r="C2269" s="2" t="s">
        <v>4160</v>
      </c>
      <c r="D2269" s="2" t="s">
        <v>42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14</v>
      </c>
      <c r="C2271" s="2" t="s">
        <v>4161</v>
      </c>
      <c r="D2271" s="2" t="s">
        <v>12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4162</v>
      </c>
      <c r="D2272" s="2" t="s">
        <v>12</v>
      </c>
      <c r="E2272" s="2">
        <v>156</v>
      </c>
      <c r="F2272" s="2">
        <v>2923.89</v>
      </c>
    </row>
    <row r="2273" spans="3:6" x14ac:dyDescent="0.25">
      <c r="C2273" s="2" t="s">
        <v>4163</v>
      </c>
      <c r="D2273" s="2" t="s">
        <v>12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10</v>
      </c>
      <c r="C2275" s="2" t="s">
        <v>4164</v>
      </c>
      <c r="D2275" s="2" t="s">
        <v>12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4165</v>
      </c>
      <c r="D2276" s="2" t="s">
        <v>12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1101</v>
      </c>
      <c r="C2278" s="2" t="s">
        <v>4166</v>
      </c>
      <c r="D2278" s="2" t="s">
        <v>20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4167</v>
      </c>
      <c r="D2279" s="2" t="s">
        <v>20</v>
      </c>
      <c r="E2279" s="2">
        <v>261</v>
      </c>
      <c r="F2279" s="2">
        <v>5090.659</v>
      </c>
    </row>
    <row r="2280" spans="3:6" x14ac:dyDescent="0.25">
      <c r="C2280" s="2" t="s">
        <v>4168</v>
      </c>
      <c r="D2280" s="2" t="s">
        <v>20</v>
      </c>
      <c r="E2280" s="2">
        <v>156</v>
      </c>
      <c r="F2280" s="2">
        <v>3030.14</v>
      </c>
    </row>
    <row r="2281" spans="3:6" x14ac:dyDescent="0.25">
      <c r="C2281" s="2" t="s">
        <v>4169</v>
      </c>
      <c r="D2281" s="2" t="s">
        <v>20</v>
      </c>
      <c r="E2281" s="2">
        <v>261</v>
      </c>
      <c r="F2281" s="2">
        <v>5402.269</v>
      </c>
    </row>
    <row r="2282" spans="3:6" x14ac:dyDescent="0.25">
      <c r="C2282" s="2" t="s">
        <v>4170</v>
      </c>
      <c r="D2282" s="2" t="s">
        <v>20</v>
      </c>
      <c r="E2282" s="2">
        <v>261</v>
      </c>
      <c r="F2282" s="2">
        <v>4904.169</v>
      </c>
    </row>
    <row r="2283" spans="3:6" x14ac:dyDescent="0.25">
      <c r="C2283" s="2" t="s">
        <v>4171</v>
      </c>
      <c r="D2283" s="2" t="s">
        <v>20</v>
      </c>
      <c r="E2283" s="2">
        <v>156</v>
      </c>
      <c r="F2283" s="2">
        <v>3175</v>
      </c>
    </row>
    <row r="2284" spans="3:6" x14ac:dyDescent="0.25">
      <c r="C2284" s="2" t="s">
        <v>4172</v>
      </c>
      <c r="D2284" s="2" t="s">
        <v>20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18</v>
      </c>
      <c r="C2286" s="2" t="s">
        <v>4173</v>
      </c>
      <c r="D2286" s="2" t="s">
        <v>20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4174</v>
      </c>
      <c r="D2287" s="2" t="s">
        <v>20</v>
      </c>
      <c r="E2287" s="2">
        <v>142</v>
      </c>
      <c r="F2287" s="2">
        <v>2765.5</v>
      </c>
    </row>
    <row r="2288" spans="3:6" x14ac:dyDescent="0.25">
      <c r="C2288" s="2" t="s">
        <v>4175</v>
      </c>
      <c r="D2288" s="2" t="s">
        <v>20</v>
      </c>
      <c r="E2288" s="2">
        <v>101</v>
      </c>
      <c r="F2288" s="2">
        <v>2000.199</v>
      </c>
    </row>
    <row r="2289" spans="3:6" x14ac:dyDescent="0.25">
      <c r="C2289" s="2" t="s">
        <v>4176</v>
      </c>
      <c r="D2289" s="2" t="s">
        <v>20</v>
      </c>
      <c r="E2289" s="2">
        <v>102</v>
      </c>
      <c r="F2289" s="2">
        <v>1960.88</v>
      </c>
    </row>
    <row r="2290" spans="3:6" x14ac:dyDescent="0.25">
      <c r="C2290" s="2" t="s">
        <v>4177</v>
      </c>
      <c r="D2290" s="2" t="s">
        <v>20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2736</v>
      </c>
      <c r="C2292" s="2" t="s">
        <v>4178</v>
      </c>
      <c r="D2292" s="2" t="s">
        <v>20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2738</v>
      </c>
      <c r="C2294" s="2" t="s">
        <v>4179</v>
      </c>
      <c r="D2294" s="2" t="s">
        <v>20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4180</v>
      </c>
      <c r="D2295" s="2" t="s">
        <v>20</v>
      </c>
      <c r="E2295" s="2">
        <v>140</v>
      </c>
      <c r="F2295" s="2">
        <v>2704.428</v>
      </c>
    </row>
    <row r="2296" spans="3:6" x14ac:dyDescent="0.25">
      <c r="C2296" s="2" t="s">
        <v>4181</v>
      </c>
      <c r="D2296" s="2" t="s">
        <v>20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4182</v>
      </c>
      <c r="C2298" s="2" t="s">
        <v>4183</v>
      </c>
      <c r="D2298" s="2" t="s">
        <v>27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4184</v>
      </c>
      <c r="D2299" s="2" t="s">
        <v>27</v>
      </c>
      <c r="E2299" s="2">
        <v>98</v>
      </c>
      <c r="F2299" s="2">
        <v>1613.238</v>
      </c>
    </row>
    <row r="2300" spans="3:6" x14ac:dyDescent="0.25">
      <c r="C2300" s="2" t="s">
        <v>4185</v>
      </c>
      <c r="D2300" s="2" t="s">
        <v>27</v>
      </c>
      <c r="E2300" s="2">
        <v>37</v>
      </c>
      <c r="F2300" s="2">
        <v>682.95</v>
      </c>
    </row>
    <row r="2301" spans="3:6" x14ac:dyDescent="0.25">
      <c r="C2301" s="2" t="s">
        <v>4186</v>
      </c>
      <c r="D2301" s="2" t="s">
        <v>27</v>
      </c>
      <c r="E2301" s="2">
        <v>17</v>
      </c>
      <c r="F2301" s="2">
        <v>281.28</v>
      </c>
    </row>
    <row r="2302" spans="3:6" x14ac:dyDescent="0.25">
      <c r="C2302" s="2" t="s">
        <v>4187</v>
      </c>
      <c r="D2302" s="2" t="s">
        <v>27</v>
      </c>
      <c r="E2302" s="2">
        <v>31</v>
      </c>
      <c r="F2302" s="2">
        <v>684.85</v>
      </c>
    </row>
    <row r="2303" spans="3:6" x14ac:dyDescent="0.25">
      <c r="C2303" s="2" t="s">
        <v>4188</v>
      </c>
      <c r="D2303" s="2" t="s">
        <v>27</v>
      </c>
      <c r="E2303" s="2">
        <v>11</v>
      </c>
      <c r="F2303" s="2">
        <v>196.55</v>
      </c>
    </row>
    <row r="2304" spans="3:6" x14ac:dyDescent="0.25">
      <c r="C2304" s="2" t="s">
        <v>4189</v>
      </c>
      <c r="D2304" s="2" t="s">
        <v>27</v>
      </c>
      <c r="E2304" s="2">
        <v>87</v>
      </c>
      <c r="F2304" s="2">
        <v>1716.99</v>
      </c>
    </row>
    <row r="2305" spans="3:6" x14ac:dyDescent="0.25">
      <c r="C2305" s="2" t="s">
        <v>4190</v>
      </c>
      <c r="D2305" s="2" t="s">
        <v>27</v>
      </c>
      <c r="E2305" s="2">
        <v>78</v>
      </c>
      <c r="F2305" s="2">
        <v>1360.43</v>
      </c>
    </row>
    <row r="2306" spans="3:4" x14ac:dyDescent="0.25">
      <c r="C2306" s="2" t="s">
        <v>4191</v>
      </c>
      <c r="D2306" s="2" t="s">
        <v>27</v>
      </c>
    </row>
    <row r="2307" spans="3:6" x14ac:dyDescent="0.25">
      <c r="C2307" s="2" t="s">
        <v>4192</v>
      </c>
      <c r="D2307" s="2" t="s">
        <v>27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324</v>
      </c>
      <c r="C2309" s="2" t="s">
        <v>4193</v>
      </c>
      <c r="D2309" s="2" t="s">
        <v>27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4194</v>
      </c>
      <c r="D2310" s="2" t="s">
        <v>27</v>
      </c>
      <c r="E2310" s="2">
        <v>23</v>
      </c>
      <c r="F2310" s="2">
        <v>458.59</v>
      </c>
    </row>
    <row r="2311" spans="3:6" x14ac:dyDescent="0.25">
      <c r="C2311" s="2" t="s">
        <v>4195</v>
      </c>
      <c r="D2311" s="2" t="s">
        <v>27</v>
      </c>
      <c r="E2311" s="2">
        <v>35</v>
      </c>
      <c r="F2311" s="2">
        <v>697.15</v>
      </c>
    </row>
    <row r="2312" spans="3:6" x14ac:dyDescent="0.25">
      <c r="C2312" s="2" t="s">
        <v>4196</v>
      </c>
      <c r="D2312" s="2" t="s">
        <v>27</v>
      </c>
      <c r="E2312" s="2">
        <v>11</v>
      </c>
      <c r="F2312" s="2">
        <v>195.86</v>
      </c>
    </row>
    <row r="2313" spans="3:4" x14ac:dyDescent="0.25">
      <c r="C2313" s="2" t="s">
        <v>4197</v>
      </c>
      <c r="D2313" s="2" t="s">
        <v>27</v>
      </c>
    </row>
    <row r="2314" spans="3:6" x14ac:dyDescent="0.25">
      <c r="C2314" s="2" t="s">
        <v>4198</v>
      </c>
      <c r="D2314" s="2" t="s">
        <v>27</v>
      </c>
      <c r="E2314" s="2">
        <v>91</v>
      </c>
      <c r="F2314" s="2">
        <v>1609.812</v>
      </c>
    </row>
    <row r="2315" spans="3:6" x14ac:dyDescent="0.25">
      <c r="C2315" s="2" t="s">
        <v>4199</v>
      </c>
      <c r="D2315" s="2" t="s">
        <v>27</v>
      </c>
      <c r="E2315" s="2">
        <v>91</v>
      </c>
      <c r="F2315" s="2">
        <v>1846.07</v>
      </c>
    </row>
    <row r="2316" spans="3:6" x14ac:dyDescent="0.25">
      <c r="C2316" s="2" t="s">
        <v>4200</v>
      </c>
      <c r="D2316" s="2" t="s">
        <v>27</v>
      </c>
      <c r="E2316" s="2">
        <v>41</v>
      </c>
      <c r="F2316" s="2">
        <v>788.749</v>
      </c>
    </row>
    <row r="2317" spans="3:6" x14ac:dyDescent="0.25">
      <c r="C2317" s="2" t="s">
        <v>4201</v>
      </c>
      <c r="D2317" s="2" t="s">
        <v>27</v>
      </c>
      <c r="E2317" s="2">
        <v>6</v>
      </c>
      <c r="F2317" s="2">
        <v>128.3</v>
      </c>
    </row>
    <row r="2318" spans="3:6" x14ac:dyDescent="0.25">
      <c r="C2318" s="2" t="s">
        <v>4202</v>
      </c>
      <c r="D2318" s="2" t="s">
        <v>27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10</v>
      </c>
      <c r="C2320" s="2" t="s">
        <v>4203</v>
      </c>
      <c r="D2320" s="2" t="s">
        <v>12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4204</v>
      </c>
      <c r="D2321" s="2" t="s">
        <v>12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503</v>
      </c>
      <c r="C2323" s="2" t="s">
        <v>4205</v>
      </c>
      <c r="D2323" s="2" t="s">
        <v>42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4206</v>
      </c>
      <c r="D2324" s="2" t="s">
        <v>42</v>
      </c>
      <c r="E2324" s="2">
        <v>16</v>
      </c>
      <c r="F2324" s="2">
        <v>369.292</v>
      </c>
    </row>
    <row r="2325" spans="3:6" x14ac:dyDescent="0.25">
      <c r="C2325" s="2" t="s">
        <v>4207</v>
      </c>
      <c r="D2325" s="2" t="s">
        <v>42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32</v>
      </c>
      <c r="C2327" s="2" t="s">
        <v>4208</v>
      </c>
      <c r="D2327" s="2" t="s">
        <v>20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4209</v>
      </c>
      <c r="D2328" s="2" t="s">
        <v>20</v>
      </c>
      <c r="E2328" s="2">
        <v>261</v>
      </c>
      <c r="F2328" s="2">
        <v>4709.709</v>
      </c>
    </row>
    <row r="2329" spans="3:6" x14ac:dyDescent="0.25">
      <c r="C2329" s="2" t="s">
        <v>4210</v>
      </c>
      <c r="D2329" s="2" t="s">
        <v>20</v>
      </c>
      <c r="E2329" s="2">
        <v>105</v>
      </c>
      <c r="F2329" s="2">
        <v>2001.41</v>
      </c>
    </row>
    <row r="2330" spans="3:6" x14ac:dyDescent="0.25">
      <c r="C2330" s="2" t="s">
        <v>4211</v>
      </c>
      <c r="D2330" s="2" t="s">
        <v>20</v>
      </c>
      <c r="E2330" s="2">
        <v>261</v>
      </c>
      <c r="F2330" s="2">
        <v>5055.04</v>
      </c>
    </row>
    <row r="2331" spans="3:6" x14ac:dyDescent="0.25">
      <c r="C2331" s="2" t="s">
        <v>4212</v>
      </c>
      <c r="D2331" s="2" t="s">
        <v>20</v>
      </c>
      <c r="E2331" s="2">
        <v>156</v>
      </c>
      <c r="F2331" s="2">
        <v>2932.899</v>
      </c>
    </row>
    <row r="2332" spans="3:6" x14ac:dyDescent="0.25">
      <c r="C2332" s="2" t="s">
        <v>4213</v>
      </c>
      <c r="D2332" s="2" t="s">
        <v>20</v>
      </c>
      <c r="E2332" s="2">
        <v>61</v>
      </c>
      <c r="F2332" s="2">
        <v>1345.041</v>
      </c>
    </row>
    <row r="2333" spans="3:6" x14ac:dyDescent="0.25">
      <c r="C2333" s="2" t="s">
        <v>4214</v>
      </c>
      <c r="D2333" s="2" t="s">
        <v>20</v>
      </c>
      <c r="E2333" s="2">
        <v>156</v>
      </c>
      <c r="F2333" s="2">
        <v>3038.249</v>
      </c>
    </row>
    <row r="2334" spans="3:6" x14ac:dyDescent="0.25">
      <c r="C2334" s="2" t="s">
        <v>4215</v>
      </c>
      <c r="D2334" s="2" t="s">
        <v>20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4216</v>
      </c>
      <c r="C2336" s="2" t="s">
        <v>4217</v>
      </c>
      <c r="D2336" s="2" t="s">
        <v>2096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4218</v>
      </c>
      <c r="C2338" s="2" t="s">
        <v>4219</v>
      </c>
      <c r="D2338" s="2" t="s">
        <v>204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172</v>
      </c>
      <c r="C2340" s="2" t="s">
        <v>4220</v>
      </c>
      <c r="D2340" s="2" t="s">
        <v>9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4221</v>
      </c>
      <c r="D2341" s="2" t="s">
        <v>9</v>
      </c>
      <c r="E2341" s="2">
        <v>93</v>
      </c>
      <c r="F2341" s="2">
        <v>1537.479</v>
      </c>
    </row>
    <row r="2342" spans="3:6" x14ac:dyDescent="0.25">
      <c r="C2342" s="2" t="s">
        <v>4222</v>
      </c>
      <c r="D2342" s="2" t="s">
        <v>9</v>
      </c>
      <c r="E2342" s="2">
        <v>94</v>
      </c>
      <c r="F2342" s="2">
        <v>1614.04</v>
      </c>
    </row>
    <row r="2343" spans="3:6" x14ac:dyDescent="0.25">
      <c r="C2343" s="2" t="s">
        <v>4223</v>
      </c>
      <c r="D2343" s="2" t="s">
        <v>9</v>
      </c>
      <c r="E2343" s="2">
        <v>40</v>
      </c>
      <c r="F2343" s="2">
        <v>701.379</v>
      </c>
    </row>
    <row r="2344" spans="3:6" x14ac:dyDescent="0.25">
      <c r="C2344" s="2" t="s">
        <v>4224</v>
      </c>
      <c r="D2344" s="2" t="s">
        <v>9</v>
      </c>
      <c r="E2344" s="2">
        <v>70</v>
      </c>
      <c r="F2344" s="2">
        <v>1356.67</v>
      </c>
    </row>
    <row r="2345" spans="3:6" x14ac:dyDescent="0.25">
      <c r="C2345" s="2" t="s">
        <v>4225</v>
      </c>
      <c r="D2345" s="2" t="s">
        <v>9</v>
      </c>
      <c r="E2345" s="2">
        <v>30</v>
      </c>
      <c r="F2345" s="2">
        <v>563.59</v>
      </c>
    </row>
    <row r="2346" spans="3:6" x14ac:dyDescent="0.25">
      <c r="C2346" s="2" t="s">
        <v>4226</v>
      </c>
      <c r="D2346" s="2" t="s">
        <v>9</v>
      </c>
      <c r="E2346" s="2">
        <v>25</v>
      </c>
      <c r="F2346" s="2">
        <v>538.29</v>
      </c>
    </row>
    <row r="2347" spans="3:6" x14ac:dyDescent="0.25">
      <c r="C2347" s="2" t="s">
        <v>4227</v>
      </c>
      <c r="D2347" s="2" t="s">
        <v>9</v>
      </c>
      <c r="E2347" s="2">
        <v>93</v>
      </c>
      <c r="F2347" s="2">
        <v>1820.029</v>
      </c>
    </row>
    <row r="2348" spans="3:6" x14ac:dyDescent="0.25">
      <c r="C2348" s="2" t="s">
        <v>4228</v>
      </c>
      <c r="D2348" s="2" t="s">
        <v>9</v>
      </c>
      <c r="E2348" s="2">
        <v>150</v>
      </c>
      <c r="F2348" s="2">
        <v>624.37</v>
      </c>
    </row>
    <row r="2349" spans="3:6" x14ac:dyDescent="0.25">
      <c r="C2349" s="2" t="s">
        <v>4229</v>
      </c>
      <c r="D2349" s="2" t="s">
        <v>9</v>
      </c>
      <c r="E2349" s="2">
        <v>141</v>
      </c>
      <c r="F2349" s="2">
        <v>2801.76</v>
      </c>
    </row>
    <row r="2350" spans="3:6" x14ac:dyDescent="0.25">
      <c r="C2350" s="2" t="s">
        <v>4230</v>
      </c>
      <c r="D2350" s="2" t="s">
        <v>9</v>
      </c>
      <c r="E2350" s="2">
        <v>46</v>
      </c>
      <c r="F2350" s="2">
        <v>893.02</v>
      </c>
    </row>
    <row r="2351" spans="3:6" x14ac:dyDescent="0.25">
      <c r="C2351" s="2" t="s">
        <v>4231</v>
      </c>
      <c r="D2351" s="2" t="s">
        <v>9</v>
      </c>
      <c r="E2351" s="2">
        <v>75</v>
      </c>
      <c r="F2351" s="2">
        <v>1322.849</v>
      </c>
    </row>
    <row r="2352" spans="3:6" x14ac:dyDescent="0.25">
      <c r="C2352" s="2" t="s">
        <v>4232</v>
      </c>
      <c r="D2352" s="2" t="s">
        <v>9</v>
      </c>
      <c r="E2352" s="2">
        <v>20</v>
      </c>
      <c r="F2352" s="2">
        <v>379.17</v>
      </c>
    </row>
    <row r="2353" spans="3:6" x14ac:dyDescent="0.25">
      <c r="C2353" s="2" t="s">
        <v>4233</v>
      </c>
      <c r="D2353" s="2" t="s">
        <v>9</v>
      </c>
      <c r="E2353" s="2">
        <v>107</v>
      </c>
      <c r="F2353" s="2">
        <v>1289.137</v>
      </c>
    </row>
    <row r="2354" spans="3:6" x14ac:dyDescent="0.25">
      <c r="C2354" s="2" t="s">
        <v>4234</v>
      </c>
      <c r="D2354" s="2" t="s">
        <v>9</v>
      </c>
      <c r="E2354" s="2">
        <v>97</v>
      </c>
      <c r="F2354" s="2">
        <v>2246.565</v>
      </c>
    </row>
    <row r="2355" spans="3:6" x14ac:dyDescent="0.25">
      <c r="C2355" s="2" t="s">
        <v>4235</v>
      </c>
      <c r="D2355" s="2" t="s">
        <v>9</v>
      </c>
      <c r="E2355" s="2">
        <v>141</v>
      </c>
      <c r="F2355" s="2">
        <v>2877.68</v>
      </c>
    </row>
    <row r="2356" spans="3:6" x14ac:dyDescent="0.25">
      <c r="C2356" s="2" t="s">
        <v>4236</v>
      </c>
      <c r="D2356" s="2" t="s">
        <v>9</v>
      </c>
      <c r="E2356" s="2">
        <v>141</v>
      </c>
      <c r="F2356" s="2">
        <v>2882.46</v>
      </c>
    </row>
    <row r="2357" spans="3:6" x14ac:dyDescent="0.25">
      <c r="C2357" s="2" t="s">
        <v>4237</v>
      </c>
      <c r="D2357" s="2" t="s">
        <v>9</v>
      </c>
      <c r="E2357" s="2">
        <v>123</v>
      </c>
      <c r="F2357" s="2">
        <v>2581.88</v>
      </c>
    </row>
    <row r="2358" spans="3:6" x14ac:dyDescent="0.25">
      <c r="C2358" s="2" t="s">
        <v>4238</v>
      </c>
      <c r="D2358" s="2" t="s">
        <v>9</v>
      </c>
      <c r="E2358" s="2">
        <v>47</v>
      </c>
      <c r="F2358" s="2">
        <v>933.782</v>
      </c>
    </row>
    <row r="2359" spans="3:6" x14ac:dyDescent="0.25">
      <c r="C2359" s="2" t="s">
        <v>4239</v>
      </c>
      <c r="D2359" s="2" t="s">
        <v>9</v>
      </c>
      <c r="E2359" s="2">
        <v>74</v>
      </c>
      <c r="F2359" s="2">
        <v>1406.934</v>
      </c>
    </row>
    <row r="2360" spans="3:6" x14ac:dyDescent="0.25">
      <c r="C2360" s="2" t="s">
        <v>4240</v>
      </c>
      <c r="D2360" s="2" t="s">
        <v>9</v>
      </c>
      <c r="E2360" s="2">
        <v>102</v>
      </c>
      <c r="F2360" s="2">
        <v>2099.03</v>
      </c>
    </row>
    <row r="2361" spans="3:6" x14ac:dyDescent="0.25">
      <c r="C2361" s="2" t="s">
        <v>4241</v>
      </c>
      <c r="D2361" s="2" t="s">
        <v>9</v>
      </c>
      <c r="E2361" s="2">
        <v>102</v>
      </c>
      <c r="F2361" s="2">
        <v>2014.979</v>
      </c>
    </row>
    <row r="2362" spans="3:6" x14ac:dyDescent="0.25">
      <c r="C2362" s="2" t="s">
        <v>4242</v>
      </c>
      <c r="D2362" s="2" t="s">
        <v>9</v>
      </c>
      <c r="E2362" s="2">
        <v>102</v>
      </c>
      <c r="F2362" s="2">
        <v>2136.66</v>
      </c>
    </row>
    <row r="2363" spans="3:6" x14ac:dyDescent="0.25">
      <c r="C2363" s="2" t="s">
        <v>4243</v>
      </c>
      <c r="D2363" s="2" t="s">
        <v>9</v>
      </c>
      <c r="E2363" s="2">
        <v>141</v>
      </c>
      <c r="F2363" s="2">
        <v>2786.717</v>
      </c>
    </row>
    <row r="2364" spans="3:6" x14ac:dyDescent="0.25">
      <c r="C2364" s="2" t="s">
        <v>4244</v>
      </c>
      <c r="D2364" s="2" t="s">
        <v>9</v>
      </c>
      <c r="E2364" s="2">
        <v>141</v>
      </c>
      <c r="F2364" s="2">
        <v>2834.58</v>
      </c>
    </row>
    <row r="2365" spans="3:6" x14ac:dyDescent="0.25">
      <c r="C2365" s="2" t="s">
        <v>4245</v>
      </c>
      <c r="D2365" s="2" t="s">
        <v>9</v>
      </c>
      <c r="E2365" s="2">
        <v>142</v>
      </c>
      <c r="F2365" s="2">
        <v>2695.568</v>
      </c>
    </row>
    <row r="2366" spans="3:6" x14ac:dyDescent="0.25">
      <c r="C2366" s="2" t="s">
        <v>4246</v>
      </c>
      <c r="D2366" s="2" t="s">
        <v>9</v>
      </c>
      <c r="E2366" s="2">
        <v>102</v>
      </c>
      <c r="F2366" s="2">
        <v>2055.34</v>
      </c>
    </row>
    <row r="2367" spans="3:6" x14ac:dyDescent="0.25">
      <c r="C2367" s="2" t="s">
        <v>4247</v>
      </c>
      <c r="D2367" s="2" t="s">
        <v>9</v>
      </c>
      <c r="E2367" s="2">
        <v>71</v>
      </c>
      <c r="F2367" s="2">
        <v>1352.68</v>
      </c>
    </row>
    <row r="2368" spans="3:6" x14ac:dyDescent="0.25">
      <c r="C2368" s="2" t="s">
        <v>4248</v>
      </c>
      <c r="D2368" s="2" t="s">
        <v>9</v>
      </c>
      <c r="E2368" s="2">
        <v>70</v>
      </c>
      <c r="F2368" s="2">
        <v>1241.36</v>
      </c>
    </row>
    <row r="2369" spans="3:6" x14ac:dyDescent="0.25">
      <c r="C2369" s="2" t="s">
        <v>4249</v>
      </c>
      <c r="D2369" s="2" t="s">
        <v>9</v>
      </c>
      <c r="E2369" s="2">
        <v>141</v>
      </c>
      <c r="F2369" s="2">
        <v>2793.98</v>
      </c>
    </row>
    <row r="2370" spans="3:6" x14ac:dyDescent="0.25">
      <c r="C2370" s="2" t="s">
        <v>4250</v>
      </c>
      <c r="D2370" s="2" t="s">
        <v>9</v>
      </c>
      <c r="E2370" s="2">
        <v>141</v>
      </c>
      <c r="F2370" s="2">
        <v>2879.29</v>
      </c>
    </row>
    <row r="2371" spans="3:6" x14ac:dyDescent="0.25">
      <c r="C2371" s="2" t="s">
        <v>4251</v>
      </c>
      <c r="D2371" s="2" t="s">
        <v>9</v>
      </c>
      <c r="E2371" s="2">
        <v>59</v>
      </c>
      <c r="F2371" s="2">
        <v>1104.002</v>
      </c>
    </row>
    <row r="2372" spans="3:6" x14ac:dyDescent="0.25">
      <c r="C2372" s="2" t="s">
        <v>4252</v>
      </c>
      <c r="D2372" s="2" t="s">
        <v>9</v>
      </c>
      <c r="E2372" s="2">
        <v>38</v>
      </c>
      <c r="F2372" s="2">
        <v>688.87</v>
      </c>
    </row>
    <row r="2373" spans="3:6" x14ac:dyDescent="0.25">
      <c r="C2373" s="2" t="s">
        <v>4253</v>
      </c>
      <c r="D2373" s="2" t="s">
        <v>9</v>
      </c>
      <c r="E2373" s="2">
        <v>141</v>
      </c>
      <c r="F2373" s="2">
        <v>2832.5</v>
      </c>
    </row>
    <row r="2374" spans="3:6" x14ac:dyDescent="0.25">
      <c r="C2374" s="2" t="s">
        <v>4254</v>
      </c>
      <c r="D2374" s="2" t="s">
        <v>9</v>
      </c>
      <c r="E2374" s="2">
        <v>102</v>
      </c>
      <c r="F2374" s="2">
        <v>2081.12</v>
      </c>
    </row>
    <row r="2375" spans="3:6" x14ac:dyDescent="0.25">
      <c r="C2375" s="2" t="s">
        <v>4255</v>
      </c>
      <c r="D2375" s="2" t="s">
        <v>9</v>
      </c>
      <c r="E2375" s="2">
        <v>21</v>
      </c>
      <c r="F2375" s="2">
        <v>302.73</v>
      </c>
    </row>
    <row r="2376" spans="3:6" x14ac:dyDescent="0.25">
      <c r="C2376" s="2" t="s">
        <v>4256</v>
      </c>
      <c r="D2376" s="2" t="s">
        <v>9</v>
      </c>
      <c r="E2376" s="2">
        <v>13</v>
      </c>
      <c r="F2376" s="2">
        <v>225.98</v>
      </c>
    </row>
    <row r="2377" spans="3:6" x14ac:dyDescent="0.25">
      <c r="C2377" s="2" t="s">
        <v>4257</v>
      </c>
      <c r="D2377" s="2" t="s">
        <v>9</v>
      </c>
      <c r="E2377" s="2">
        <v>43</v>
      </c>
      <c r="F2377" s="2">
        <v>853.46</v>
      </c>
    </row>
    <row r="2378" spans="3:6" x14ac:dyDescent="0.25">
      <c r="C2378" s="2" t="s">
        <v>4258</v>
      </c>
      <c r="D2378" s="2" t="s">
        <v>9</v>
      </c>
      <c r="E2378" s="2">
        <v>141</v>
      </c>
      <c r="F2378" s="2">
        <v>2825.909</v>
      </c>
    </row>
    <row r="2379" spans="3:6" x14ac:dyDescent="0.25">
      <c r="C2379" s="2" t="s">
        <v>4259</v>
      </c>
      <c r="D2379" s="2" t="s">
        <v>9</v>
      </c>
      <c r="E2379" s="2">
        <v>59</v>
      </c>
      <c r="F2379" s="2">
        <v>1166.03</v>
      </c>
    </row>
    <row r="2380" spans="3:6" x14ac:dyDescent="0.25">
      <c r="C2380" s="2" t="s">
        <v>4260</v>
      </c>
      <c r="D2380" s="2" t="s">
        <v>9</v>
      </c>
      <c r="E2380" s="2">
        <v>82</v>
      </c>
      <c r="F2380" s="2">
        <v>1672.83</v>
      </c>
    </row>
    <row r="2381" spans="3:6" x14ac:dyDescent="0.25">
      <c r="C2381" s="2" t="s">
        <v>4261</v>
      </c>
      <c r="D2381" s="2" t="s">
        <v>9</v>
      </c>
      <c r="E2381" s="2">
        <v>141</v>
      </c>
      <c r="F2381" s="2">
        <v>2737.959</v>
      </c>
    </row>
    <row r="2382" spans="3:6" x14ac:dyDescent="0.25">
      <c r="C2382" s="2" t="s">
        <v>4262</v>
      </c>
      <c r="D2382" s="2" t="s">
        <v>9</v>
      </c>
      <c r="E2382" s="2">
        <v>21</v>
      </c>
      <c r="F2382" s="2">
        <v>447.31</v>
      </c>
    </row>
    <row r="2383" spans="3:6" x14ac:dyDescent="0.25">
      <c r="C2383" s="2" t="s">
        <v>4263</v>
      </c>
      <c r="D2383" s="2" t="s">
        <v>9</v>
      </c>
      <c r="E2383" s="2">
        <v>22</v>
      </c>
      <c r="F2383" s="2">
        <v>483.43</v>
      </c>
    </row>
    <row r="2384" spans="3:6" x14ac:dyDescent="0.25">
      <c r="C2384" s="2" t="s">
        <v>4264</v>
      </c>
      <c r="D2384" s="2" t="s">
        <v>9</v>
      </c>
      <c r="E2384" s="2">
        <v>54</v>
      </c>
      <c r="F2384" s="2">
        <v>1000.029</v>
      </c>
    </row>
    <row r="2385" spans="3:6" x14ac:dyDescent="0.25">
      <c r="C2385" s="2" t="s">
        <v>4265</v>
      </c>
      <c r="D2385" s="2" t="s">
        <v>9</v>
      </c>
      <c r="E2385" s="2">
        <v>28</v>
      </c>
      <c r="F2385" s="2">
        <v>542.13</v>
      </c>
    </row>
    <row r="2386" spans="3:6" x14ac:dyDescent="0.25">
      <c r="C2386" s="2" t="s">
        <v>4266</v>
      </c>
      <c r="D2386" s="2" t="s">
        <v>9</v>
      </c>
      <c r="E2386" s="2">
        <v>4</v>
      </c>
      <c r="F2386" s="2">
        <v>78.75</v>
      </c>
    </row>
    <row r="2387" spans="3:6" x14ac:dyDescent="0.25">
      <c r="C2387" s="2" t="s">
        <v>4267</v>
      </c>
      <c r="D2387" s="2" t="s">
        <v>9</v>
      </c>
      <c r="E2387" s="2">
        <v>6</v>
      </c>
      <c r="F2387" s="2">
        <v>120.11</v>
      </c>
    </row>
    <row r="2388" spans="3:6" x14ac:dyDescent="0.25">
      <c r="C2388" s="2" t="s">
        <v>4268</v>
      </c>
      <c r="D2388" s="2" t="s">
        <v>9</v>
      </c>
      <c r="E2388" s="2">
        <v>55</v>
      </c>
      <c r="F2388" s="2">
        <v>1068.849</v>
      </c>
    </row>
    <row r="2389" spans="3:6" x14ac:dyDescent="0.25">
      <c r="C2389" s="2" t="s">
        <v>4269</v>
      </c>
      <c r="D2389" s="2" t="s">
        <v>9</v>
      </c>
      <c r="E2389" s="2">
        <v>31</v>
      </c>
      <c r="F2389" s="2">
        <v>653.48</v>
      </c>
    </row>
    <row r="2390" spans="3:6" x14ac:dyDescent="0.25">
      <c r="C2390" s="2" t="s">
        <v>4270</v>
      </c>
      <c r="D2390" s="2" t="s">
        <v>9</v>
      </c>
      <c r="E2390" s="2">
        <v>36</v>
      </c>
      <c r="F2390" s="2">
        <v>751.41</v>
      </c>
    </row>
    <row r="2391" spans="3:6" x14ac:dyDescent="0.25">
      <c r="C2391" s="2" t="s">
        <v>4271</v>
      </c>
      <c r="D2391" s="2" t="s">
        <v>9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183</v>
      </c>
      <c r="C2393" s="2" t="s">
        <v>4272</v>
      </c>
      <c r="D2393" s="2" t="s">
        <v>122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4273</v>
      </c>
      <c r="D2394" s="2" t="s">
        <v>122</v>
      </c>
      <c r="E2394" s="2">
        <v>141</v>
      </c>
      <c r="F2394" s="2">
        <v>2880.54</v>
      </c>
    </row>
    <row r="2395" spans="3:6" x14ac:dyDescent="0.25">
      <c r="C2395" s="2" t="s">
        <v>4274</v>
      </c>
      <c r="D2395" s="2" t="s">
        <v>122</v>
      </c>
      <c r="E2395" s="2">
        <v>102</v>
      </c>
      <c r="F2395" s="2">
        <v>2011.33</v>
      </c>
    </row>
    <row r="2396" spans="3:6" x14ac:dyDescent="0.25">
      <c r="C2396" s="2" t="s">
        <v>4275</v>
      </c>
      <c r="D2396" s="2" t="s">
        <v>122</v>
      </c>
      <c r="E2396" s="2">
        <v>102</v>
      </c>
      <c r="F2396" s="2">
        <v>2123.83</v>
      </c>
    </row>
    <row r="2397" spans="3:6" x14ac:dyDescent="0.25">
      <c r="C2397" s="2" t="s">
        <v>4276</v>
      </c>
      <c r="D2397" s="2" t="s">
        <v>122</v>
      </c>
      <c r="E2397" s="2">
        <v>121</v>
      </c>
      <c r="F2397" s="2">
        <v>2436.32</v>
      </c>
    </row>
    <row r="2398" spans="3:6" x14ac:dyDescent="0.25">
      <c r="C2398" s="2" t="s">
        <v>4277</v>
      </c>
      <c r="D2398" s="2" t="s">
        <v>122</v>
      </c>
      <c r="E2398" s="2">
        <v>121</v>
      </c>
      <c r="F2398" s="2">
        <v>2525.14</v>
      </c>
    </row>
    <row r="2399" spans="3:6" x14ac:dyDescent="0.25">
      <c r="C2399" s="2" t="s">
        <v>4278</v>
      </c>
      <c r="D2399" s="2" t="s">
        <v>122</v>
      </c>
      <c r="E2399" s="2">
        <v>102</v>
      </c>
      <c r="F2399" s="2">
        <v>2018.34</v>
      </c>
    </row>
    <row r="2400" spans="3:6" x14ac:dyDescent="0.25">
      <c r="C2400" s="2" t="s">
        <v>4279</v>
      </c>
      <c r="D2400" s="2" t="s">
        <v>122</v>
      </c>
      <c r="E2400" s="2">
        <v>115</v>
      </c>
      <c r="F2400" s="2">
        <v>476.56</v>
      </c>
    </row>
    <row r="2401" spans="3:6" x14ac:dyDescent="0.25">
      <c r="C2401" s="2" t="s">
        <v>4280</v>
      </c>
      <c r="D2401" s="2" t="s">
        <v>122</v>
      </c>
      <c r="E2401" s="2">
        <v>141</v>
      </c>
      <c r="F2401" s="2">
        <v>2790.888</v>
      </c>
    </row>
    <row r="2402" spans="3:6" x14ac:dyDescent="0.25">
      <c r="C2402" s="2" t="s">
        <v>4281</v>
      </c>
      <c r="D2402" s="2" t="s">
        <v>122</v>
      </c>
      <c r="E2402" s="2">
        <v>102</v>
      </c>
      <c r="F2402" s="2">
        <v>2069.07</v>
      </c>
    </row>
    <row r="2403" spans="3:6" x14ac:dyDescent="0.25">
      <c r="C2403" s="2" t="s">
        <v>4282</v>
      </c>
      <c r="D2403" s="2" t="s">
        <v>122</v>
      </c>
      <c r="E2403" s="2">
        <v>40</v>
      </c>
      <c r="F2403" s="2">
        <v>845.28</v>
      </c>
    </row>
    <row r="2404" spans="3:6" x14ac:dyDescent="0.25">
      <c r="C2404" s="2" t="s">
        <v>4283</v>
      </c>
      <c r="D2404" s="2" t="s">
        <v>122</v>
      </c>
      <c r="E2404" s="2">
        <v>62</v>
      </c>
      <c r="F2404" s="2">
        <v>1257.92</v>
      </c>
    </row>
    <row r="2405" spans="3:6" x14ac:dyDescent="0.25">
      <c r="C2405" s="2" t="s">
        <v>4284</v>
      </c>
      <c r="D2405" s="2" t="s">
        <v>122</v>
      </c>
      <c r="E2405" s="2">
        <v>75</v>
      </c>
      <c r="F2405" s="2">
        <v>1415.39</v>
      </c>
    </row>
    <row r="2406" spans="3:6" x14ac:dyDescent="0.25">
      <c r="C2406" s="2" t="s">
        <v>4285</v>
      </c>
      <c r="D2406" s="2" t="s">
        <v>122</v>
      </c>
      <c r="E2406" s="2">
        <v>105</v>
      </c>
      <c r="F2406" s="2">
        <v>440.93</v>
      </c>
    </row>
    <row r="2407" spans="3:6" x14ac:dyDescent="0.25">
      <c r="C2407" s="2" t="s">
        <v>4286</v>
      </c>
      <c r="D2407" s="2" t="s">
        <v>122</v>
      </c>
      <c r="E2407" s="2">
        <v>121</v>
      </c>
      <c r="F2407" s="2">
        <v>2457.739</v>
      </c>
    </row>
    <row r="2408" spans="3:6" x14ac:dyDescent="0.25">
      <c r="C2408" s="2" t="s">
        <v>4287</v>
      </c>
      <c r="D2408" s="2" t="s">
        <v>122</v>
      </c>
      <c r="E2408" s="2">
        <v>121</v>
      </c>
      <c r="F2408" s="2">
        <v>2396.959</v>
      </c>
    </row>
    <row r="2409" spans="3:6" x14ac:dyDescent="0.25">
      <c r="C2409" s="2" t="s">
        <v>4288</v>
      </c>
      <c r="D2409" s="2" t="s">
        <v>122</v>
      </c>
      <c r="E2409" s="2">
        <v>141</v>
      </c>
      <c r="F2409" s="2">
        <v>2940.3</v>
      </c>
    </row>
    <row r="2410" spans="3:6" x14ac:dyDescent="0.25">
      <c r="C2410" s="2" t="s">
        <v>4289</v>
      </c>
      <c r="D2410" s="2" t="s">
        <v>122</v>
      </c>
      <c r="E2410" s="2">
        <v>88</v>
      </c>
      <c r="F2410" s="2">
        <v>1767.319</v>
      </c>
    </row>
    <row r="2411" spans="3:6" x14ac:dyDescent="0.25">
      <c r="C2411" s="2" t="s">
        <v>4290</v>
      </c>
      <c r="D2411" s="2" t="s">
        <v>122</v>
      </c>
      <c r="E2411" s="2">
        <v>53</v>
      </c>
      <c r="F2411" s="2">
        <v>1044.13</v>
      </c>
    </row>
    <row r="2412" spans="3:6" x14ac:dyDescent="0.25">
      <c r="C2412" s="2" t="s">
        <v>4291</v>
      </c>
      <c r="D2412" s="2" t="s">
        <v>122</v>
      </c>
      <c r="E2412" s="2">
        <v>56</v>
      </c>
      <c r="F2412" s="2">
        <v>1113.42</v>
      </c>
    </row>
    <row r="2413" spans="3:6" x14ac:dyDescent="0.25">
      <c r="C2413" s="2" t="s">
        <v>4292</v>
      </c>
      <c r="D2413" s="2" t="s">
        <v>122</v>
      </c>
      <c r="E2413" s="2">
        <v>48</v>
      </c>
      <c r="F2413" s="2">
        <v>976.05</v>
      </c>
    </row>
    <row r="2414" spans="3:6" x14ac:dyDescent="0.25">
      <c r="C2414" s="2" t="s">
        <v>4293</v>
      </c>
      <c r="D2414" s="2" t="s">
        <v>122</v>
      </c>
      <c r="E2414" s="2">
        <v>37</v>
      </c>
      <c r="F2414" s="2">
        <v>527.551</v>
      </c>
    </row>
    <row r="2415" spans="3:6" x14ac:dyDescent="0.25">
      <c r="C2415" s="2" t="s">
        <v>4294</v>
      </c>
      <c r="D2415" s="2" t="s">
        <v>122</v>
      </c>
      <c r="E2415" s="2">
        <v>12</v>
      </c>
      <c r="F2415" s="2">
        <v>214.5</v>
      </c>
    </row>
    <row r="2416" spans="3:6" x14ac:dyDescent="0.25">
      <c r="C2416" s="2" t="s">
        <v>4295</v>
      </c>
      <c r="D2416" s="2" t="s">
        <v>122</v>
      </c>
      <c r="E2416" s="2">
        <v>18</v>
      </c>
      <c r="F2416" s="2">
        <v>339.9</v>
      </c>
    </row>
    <row r="2417" spans="3:6" x14ac:dyDescent="0.25">
      <c r="C2417" s="2" t="s">
        <v>4296</v>
      </c>
      <c r="D2417" s="2" t="s">
        <v>122</v>
      </c>
      <c r="E2417" s="2">
        <v>63</v>
      </c>
      <c r="F2417" s="2">
        <v>1211.49</v>
      </c>
    </row>
    <row r="2418" spans="3:6" x14ac:dyDescent="0.25">
      <c r="C2418" s="2" t="s">
        <v>4297</v>
      </c>
      <c r="D2418" s="2" t="s">
        <v>122</v>
      </c>
      <c r="E2418" s="2">
        <v>48</v>
      </c>
      <c r="F2418" s="2">
        <v>964.08</v>
      </c>
    </row>
    <row r="2419" spans="3:6" x14ac:dyDescent="0.25">
      <c r="C2419" s="2" t="s">
        <v>4298</v>
      </c>
      <c r="D2419" s="2" t="s">
        <v>122</v>
      </c>
      <c r="E2419" s="2">
        <v>134</v>
      </c>
      <c r="F2419" s="2">
        <v>2792.86</v>
      </c>
    </row>
    <row r="2420" spans="3:6" x14ac:dyDescent="0.25">
      <c r="C2420" s="2" t="s">
        <v>4299</v>
      </c>
      <c r="D2420" s="2" t="s">
        <v>122</v>
      </c>
      <c r="E2420" s="2">
        <v>141</v>
      </c>
      <c r="F2420" s="2">
        <v>2965.23</v>
      </c>
    </row>
    <row r="2421" spans="3:6" x14ac:dyDescent="0.25">
      <c r="C2421" s="2" t="s">
        <v>4300</v>
      </c>
      <c r="D2421" s="2" t="s">
        <v>122</v>
      </c>
      <c r="E2421" s="2">
        <v>141</v>
      </c>
      <c r="F2421" s="2">
        <v>2712.589</v>
      </c>
    </row>
    <row r="2422" spans="3:6" x14ac:dyDescent="0.25">
      <c r="C2422" s="2" t="s">
        <v>4301</v>
      </c>
      <c r="D2422" s="2" t="s">
        <v>122</v>
      </c>
      <c r="E2422" s="2">
        <v>141</v>
      </c>
      <c r="F2422" s="2">
        <v>2755.149</v>
      </c>
    </row>
    <row r="2423" spans="3:6" x14ac:dyDescent="0.25">
      <c r="C2423" s="2" t="s">
        <v>4302</v>
      </c>
      <c r="D2423" s="2" t="s">
        <v>122</v>
      </c>
      <c r="E2423" s="2">
        <v>141</v>
      </c>
      <c r="F2423" s="2">
        <v>2820.879</v>
      </c>
    </row>
    <row r="2424" spans="3:6" x14ac:dyDescent="0.25">
      <c r="C2424" s="2" t="s">
        <v>4303</v>
      </c>
      <c r="D2424" s="2" t="s">
        <v>122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398</v>
      </c>
      <c r="C2426" s="2" t="s">
        <v>4304</v>
      </c>
      <c r="D2426" s="2" t="s">
        <v>12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4305</v>
      </c>
      <c r="D2427" s="2" t="s">
        <v>12</v>
      </c>
      <c r="E2427" s="2">
        <v>91</v>
      </c>
      <c r="F2427" s="2">
        <v>1938.66</v>
      </c>
    </row>
    <row r="2428" spans="3:6" x14ac:dyDescent="0.25">
      <c r="C2428" s="2" t="s">
        <v>4306</v>
      </c>
      <c r="D2428" s="2" t="s">
        <v>12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10</v>
      </c>
      <c r="C2430" s="2" t="s">
        <v>4307</v>
      </c>
      <c r="D2430" s="2" t="s">
        <v>12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4308</v>
      </c>
      <c r="D2431" s="2" t="s">
        <v>12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834</v>
      </c>
      <c r="C2433" s="2" t="s">
        <v>4309</v>
      </c>
      <c r="D2433" s="2" t="s">
        <v>204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4310</v>
      </c>
      <c r="D2434" s="2" t="s">
        <v>204</v>
      </c>
      <c r="E2434" s="2">
        <v>141</v>
      </c>
      <c r="F2434" s="2">
        <v>2807.539</v>
      </c>
    </row>
    <row r="2436" spans="2:7" x14ac:dyDescent="0.25">
      <c r="B2436" s="2" t="s">
        <v>2077</v>
      </c>
      <c r="C2436" s="2" t="s">
        <v>4311</v>
      </c>
      <c r="D2436" s="2" t="s">
        <v>204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4312</v>
      </c>
      <c r="C2438" s="2" t="s">
        <v>4313</v>
      </c>
      <c r="D2438" s="2" t="s">
        <v>204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4314</v>
      </c>
      <c r="D2439" s="2" t="s">
        <v>204</v>
      </c>
      <c r="E2439" s="2">
        <v>163</v>
      </c>
      <c r="F2439" s="2">
        <v>3246.179</v>
      </c>
    </row>
    <row r="2440" spans="3:6" x14ac:dyDescent="0.25">
      <c r="C2440" s="2" t="s">
        <v>4315</v>
      </c>
      <c r="D2440" s="2" t="s">
        <v>204</v>
      </c>
      <c r="E2440" s="2">
        <v>163</v>
      </c>
      <c r="F2440" s="2">
        <v>3209.09</v>
      </c>
    </row>
    <row r="2441" spans="3:6" x14ac:dyDescent="0.25">
      <c r="C2441" s="2" t="s">
        <v>4316</v>
      </c>
      <c r="D2441" s="2" t="s">
        <v>204</v>
      </c>
      <c r="E2441" s="2">
        <v>163</v>
      </c>
      <c r="F2441" s="2">
        <v>3124.179</v>
      </c>
    </row>
    <row r="2442" spans="3:6" x14ac:dyDescent="0.25">
      <c r="C2442" s="2" t="s">
        <v>4317</v>
      </c>
      <c r="D2442" s="2" t="s">
        <v>204</v>
      </c>
      <c r="E2442" s="2">
        <v>163</v>
      </c>
      <c r="F2442" s="2">
        <v>3134.629</v>
      </c>
    </row>
    <row r="2443" spans="3:6" x14ac:dyDescent="0.25">
      <c r="C2443" s="2" t="s">
        <v>4318</v>
      </c>
      <c r="D2443" s="2" t="s">
        <v>204</v>
      </c>
      <c r="E2443" s="2">
        <v>163</v>
      </c>
      <c r="F2443" s="2">
        <v>3048.24</v>
      </c>
    </row>
    <row r="2444" spans="3:6" x14ac:dyDescent="0.25">
      <c r="C2444" s="2" t="s">
        <v>4319</v>
      </c>
      <c r="D2444" s="2" t="s">
        <v>204</v>
      </c>
      <c r="E2444" s="2">
        <v>163</v>
      </c>
      <c r="F2444" s="2">
        <v>3060.058</v>
      </c>
    </row>
    <row r="2445" spans="3:4" x14ac:dyDescent="0.25">
      <c r="C2445" s="2" t="s">
        <v>4320</v>
      </c>
      <c r="D2445" s="2" t="s">
        <v>204</v>
      </c>
    </row>
    <row r="2446" spans="3:6" x14ac:dyDescent="0.25">
      <c r="C2446" s="2" t="s">
        <v>4321</v>
      </c>
      <c r="D2446" s="2" t="s">
        <v>204</v>
      </c>
      <c r="E2446" s="2">
        <v>105</v>
      </c>
      <c r="F2446" s="2">
        <v>1939.299</v>
      </c>
    </row>
    <row r="2447" spans="3:6" x14ac:dyDescent="0.25">
      <c r="C2447" s="2" t="s">
        <v>4322</v>
      </c>
      <c r="D2447" s="2" t="s">
        <v>204</v>
      </c>
      <c r="E2447" s="2">
        <v>105</v>
      </c>
      <c r="F2447" s="2">
        <v>2039.48</v>
      </c>
    </row>
    <row r="2448" spans="3:6" x14ac:dyDescent="0.25">
      <c r="C2448" s="2" t="s">
        <v>4323</v>
      </c>
      <c r="D2448" s="2" t="s">
        <v>204</v>
      </c>
      <c r="E2448" s="2">
        <v>134</v>
      </c>
      <c r="F2448" s="2">
        <v>2458.858</v>
      </c>
    </row>
    <row r="2449" spans="3:6" x14ac:dyDescent="0.25">
      <c r="C2449" s="2" t="s">
        <v>4324</v>
      </c>
      <c r="D2449" s="2" t="s">
        <v>204</v>
      </c>
      <c r="E2449" s="2">
        <v>105</v>
      </c>
      <c r="F2449" s="2">
        <v>2033.649</v>
      </c>
    </row>
    <row r="2450" spans="3:6" x14ac:dyDescent="0.25">
      <c r="C2450" s="2" t="s">
        <v>4325</v>
      </c>
      <c r="D2450" s="2" t="s">
        <v>204</v>
      </c>
      <c r="E2450" s="2">
        <v>163</v>
      </c>
      <c r="F2450" s="2">
        <v>3150.17</v>
      </c>
    </row>
    <row r="2451" spans="3:6" x14ac:dyDescent="0.25">
      <c r="C2451" s="2" t="s">
        <v>4326</v>
      </c>
      <c r="D2451" s="2" t="s">
        <v>204</v>
      </c>
      <c r="E2451" s="2">
        <v>163</v>
      </c>
      <c r="F2451" s="2">
        <v>3081.65</v>
      </c>
    </row>
    <row r="2452" spans="3:6" x14ac:dyDescent="0.25">
      <c r="C2452" s="2" t="s">
        <v>4327</v>
      </c>
      <c r="D2452" s="2" t="s">
        <v>204</v>
      </c>
      <c r="E2452" s="2">
        <v>52</v>
      </c>
      <c r="F2452" s="2">
        <v>1039.79</v>
      </c>
    </row>
    <row r="2453" spans="3:6" x14ac:dyDescent="0.25">
      <c r="C2453" s="2" t="s">
        <v>4328</v>
      </c>
      <c r="D2453" s="2" t="s">
        <v>204</v>
      </c>
      <c r="E2453" s="2">
        <v>53</v>
      </c>
      <c r="F2453" s="2">
        <v>1024.299</v>
      </c>
    </row>
    <row r="2454" spans="3:6" x14ac:dyDescent="0.25">
      <c r="C2454" s="2" t="s">
        <v>4329</v>
      </c>
      <c r="D2454" s="2" t="s">
        <v>204</v>
      </c>
      <c r="E2454" s="2">
        <v>105</v>
      </c>
      <c r="F2454" s="2">
        <v>2072.99</v>
      </c>
    </row>
    <row r="2455" spans="3:6" x14ac:dyDescent="0.25">
      <c r="C2455" s="2" t="s">
        <v>4330</v>
      </c>
      <c r="D2455" s="2" t="s">
        <v>204</v>
      </c>
      <c r="E2455" s="2">
        <v>163</v>
      </c>
      <c r="F2455" s="2">
        <v>3067.129</v>
      </c>
    </row>
    <row r="2456" spans="3:4" x14ac:dyDescent="0.25">
      <c r="C2456" s="2" t="s">
        <v>4331</v>
      </c>
      <c r="D2456" s="2" t="s">
        <v>204</v>
      </c>
    </row>
    <row r="2457" spans="3:6" x14ac:dyDescent="0.25">
      <c r="C2457" s="2" t="s">
        <v>4332</v>
      </c>
      <c r="D2457" s="2" t="s">
        <v>204</v>
      </c>
      <c r="E2457" s="2">
        <v>141</v>
      </c>
      <c r="F2457" s="2">
        <v>2695.569</v>
      </c>
    </row>
    <row r="2458" spans="3:6" x14ac:dyDescent="0.25">
      <c r="C2458" s="2" t="s">
        <v>4333</v>
      </c>
      <c r="D2458" s="2" t="s">
        <v>216</v>
      </c>
      <c r="E2458" s="2">
        <v>134</v>
      </c>
      <c r="F2458" s="2">
        <v>2658.49</v>
      </c>
    </row>
    <row r="2459" spans="3:6" x14ac:dyDescent="0.25">
      <c r="C2459" s="2" t="s">
        <v>4334</v>
      </c>
      <c r="D2459" s="2" t="s">
        <v>216</v>
      </c>
      <c r="E2459" s="2">
        <v>134</v>
      </c>
      <c r="F2459" s="2">
        <v>2822.91</v>
      </c>
    </row>
    <row r="2460" spans="3:6" x14ac:dyDescent="0.25">
      <c r="C2460" s="2" t="s">
        <v>4335</v>
      </c>
      <c r="D2460" s="2" t="s">
        <v>216</v>
      </c>
      <c r="E2460" s="2">
        <v>134</v>
      </c>
      <c r="F2460" s="2">
        <v>2699.56</v>
      </c>
    </row>
    <row r="2461" spans="3:6" x14ac:dyDescent="0.25">
      <c r="C2461" s="2" t="s">
        <v>4336</v>
      </c>
      <c r="D2461" s="2" t="s">
        <v>216</v>
      </c>
      <c r="E2461" s="2">
        <v>134</v>
      </c>
      <c r="F2461" s="2">
        <v>2787.619</v>
      </c>
    </row>
    <row r="2462" spans="3:6" x14ac:dyDescent="0.25">
      <c r="C2462" s="2" t="s">
        <v>4337</v>
      </c>
      <c r="D2462" s="2" t="s">
        <v>216</v>
      </c>
      <c r="E2462" s="2">
        <v>134</v>
      </c>
      <c r="F2462" s="2">
        <v>2704.77</v>
      </c>
    </row>
    <row r="2463" spans="3:6" x14ac:dyDescent="0.25">
      <c r="C2463" s="2" t="s">
        <v>4338</v>
      </c>
      <c r="D2463" s="2" t="s">
        <v>216</v>
      </c>
      <c r="E2463" s="2">
        <v>28</v>
      </c>
      <c r="F2463" s="2">
        <v>507.12</v>
      </c>
    </row>
    <row r="2464" spans="3:6" x14ac:dyDescent="0.25">
      <c r="C2464" s="2" t="s">
        <v>4339</v>
      </c>
      <c r="D2464" s="2" t="s">
        <v>342</v>
      </c>
      <c r="E2464" s="2">
        <v>105</v>
      </c>
      <c r="F2464" s="2">
        <v>2109.899</v>
      </c>
    </row>
    <row r="2466" spans="2:7" x14ac:dyDescent="0.25">
      <c r="B2466" s="2" t="s">
        <v>2077</v>
      </c>
      <c r="C2466" s="2" t="s">
        <v>4340</v>
      </c>
      <c r="D2466" s="2" t="s">
        <v>216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4341</v>
      </c>
      <c r="D2467" s="2" t="s">
        <v>297</v>
      </c>
      <c r="E2467" s="2">
        <v>105</v>
      </c>
      <c r="F2467" s="2">
        <v>1888</v>
      </c>
    </row>
    <row r="2468" spans="3:6" x14ac:dyDescent="0.25">
      <c r="C2468" s="2" t="s">
        <v>4342</v>
      </c>
      <c r="D2468" s="2" t="s">
        <v>216</v>
      </c>
      <c r="E2468" s="2">
        <v>148</v>
      </c>
      <c r="F2468" s="2">
        <v>2654</v>
      </c>
    </row>
    <row r="2469" spans="3:6" x14ac:dyDescent="0.25">
      <c r="C2469" s="2" t="s">
        <v>4343</v>
      </c>
      <c r="D2469" s="2" t="s">
        <v>216</v>
      </c>
      <c r="E2469" s="2">
        <v>135</v>
      </c>
      <c r="F2469" s="2">
        <v>2393</v>
      </c>
    </row>
    <row r="2470" spans="3:6" x14ac:dyDescent="0.25">
      <c r="C2470" s="2" t="s">
        <v>4344</v>
      </c>
      <c r="D2470" s="2" t="s">
        <v>216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32</v>
      </c>
      <c r="C2472" s="2" t="s">
        <v>4345</v>
      </c>
      <c r="D2472" s="2" t="s">
        <v>20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4346</v>
      </c>
      <c r="D2473" s="2" t="s">
        <v>20</v>
      </c>
      <c r="E2473" s="2">
        <v>105</v>
      </c>
      <c r="F2473" s="2">
        <v>2059.33</v>
      </c>
    </row>
    <row r="2474" spans="3:6" x14ac:dyDescent="0.25">
      <c r="C2474" s="2" t="s">
        <v>4347</v>
      </c>
      <c r="D2474" s="2" t="s">
        <v>20</v>
      </c>
      <c r="E2474" s="2">
        <v>105</v>
      </c>
      <c r="F2474" s="2">
        <v>1971.02</v>
      </c>
    </row>
    <row r="2475" spans="3:6" x14ac:dyDescent="0.25">
      <c r="C2475" s="2" t="s">
        <v>4348</v>
      </c>
      <c r="D2475" s="2" t="s">
        <v>20</v>
      </c>
      <c r="E2475" s="2">
        <v>156</v>
      </c>
      <c r="F2475" s="2">
        <v>3152.55</v>
      </c>
    </row>
    <row r="2476" spans="3:6" x14ac:dyDescent="0.25">
      <c r="C2476" s="2" t="s">
        <v>4349</v>
      </c>
      <c r="D2476" s="2" t="s">
        <v>20</v>
      </c>
      <c r="E2476" s="2">
        <v>144</v>
      </c>
      <c r="F2476" s="2">
        <v>2965.32</v>
      </c>
    </row>
    <row r="2477" spans="3:6" x14ac:dyDescent="0.25">
      <c r="C2477" s="2" t="s">
        <v>4350</v>
      </c>
      <c r="D2477" s="2" t="s">
        <v>20</v>
      </c>
      <c r="E2477" s="2">
        <v>153</v>
      </c>
      <c r="F2477" s="2">
        <v>2995.12</v>
      </c>
    </row>
    <row r="2478" spans="3:6" x14ac:dyDescent="0.25">
      <c r="C2478" s="2" t="s">
        <v>4351</v>
      </c>
      <c r="D2478" s="2" t="s">
        <v>20</v>
      </c>
      <c r="E2478" s="2">
        <v>105</v>
      </c>
      <c r="F2478" s="2">
        <v>2137.46</v>
      </c>
    </row>
    <row r="2479" spans="3:6" x14ac:dyDescent="0.25">
      <c r="C2479" s="2" t="s">
        <v>4352</v>
      </c>
      <c r="D2479" s="2" t="s">
        <v>20</v>
      </c>
      <c r="E2479" s="2">
        <v>156</v>
      </c>
      <c r="F2479" s="2">
        <v>2888.849</v>
      </c>
    </row>
    <row r="2480" spans="3:6" x14ac:dyDescent="0.25">
      <c r="C2480" s="2" t="s">
        <v>4353</v>
      </c>
      <c r="D2480" s="2" t="s">
        <v>20</v>
      </c>
      <c r="E2480" s="2">
        <v>105</v>
      </c>
      <c r="F2480" s="2">
        <v>1989.749</v>
      </c>
    </row>
    <row r="2481" spans="3:6" x14ac:dyDescent="0.25">
      <c r="C2481" s="2" t="s">
        <v>4354</v>
      </c>
      <c r="D2481" s="2" t="s">
        <v>20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2094</v>
      </c>
      <c r="C2483" s="2" t="s">
        <v>4355</v>
      </c>
      <c r="D2483" s="2" t="s">
        <v>297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324</v>
      </c>
      <c r="C2485" s="2" t="s">
        <v>4356</v>
      </c>
      <c r="D2485" s="2" t="s">
        <v>27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4357</v>
      </c>
      <c r="D2486" s="2" t="s">
        <v>27</v>
      </c>
      <c r="E2486" s="2">
        <v>18</v>
      </c>
      <c r="F2486" s="2">
        <v>379.3</v>
      </c>
    </row>
    <row r="2487" spans="3:6" x14ac:dyDescent="0.25">
      <c r="C2487" s="2" t="s">
        <v>4358</v>
      </c>
      <c r="D2487" s="2" t="s">
        <v>27</v>
      </c>
      <c r="E2487" s="2">
        <v>92</v>
      </c>
      <c r="F2487" s="2">
        <v>1813.22</v>
      </c>
    </row>
    <row r="2488" spans="3:6" x14ac:dyDescent="0.25">
      <c r="C2488" s="2" t="s">
        <v>4359</v>
      </c>
      <c r="D2488" s="2" t="s">
        <v>27</v>
      </c>
      <c r="E2488" s="2">
        <v>71</v>
      </c>
      <c r="F2488" s="2">
        <v>1186.033</v>
      </c>
    </row>
    <row r="2489" spans="3:6" x14ac:dyDescent="0.25">
      <c r="C2489" s="2" t="s">
        <v>4360</v>
      </c>
      <c r="D2489" s="2" t="s">
        <v>27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120</v>
      </c>
      <c r="C2491" s="2" t="s">
        <v>4361</v>
      </c>
      <c r="D2491" s="2" t="s">
        <v>122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4362</v>
      </c>
      <c r="D2492" s="2" t="s">
        <v>122</v>
      </c>
      <c r="E2492" s="2">
        <v>121</v>
      </c>
      <c r="F2492" s="2">
        <v>2474.089</v>
      </c>
    </row>
    <row r="2493" spans="3:6" x14ac:dyDescent="0.25">
      <c r="C2493" s="2" t="s">
        <v>4363</v>
      </c>
      <c r="D2493" s="2" t="s">
        <v>122</v>
      </c>
      <c r="E2493" s="2">
        <v>102</v>
      </c>
      <c r="F2493" s="2">
        <v>2080.25</v>
      </c>
    </row>
    <row r="2494" spans="3:6" x14ac:dyDescent="0.25">
      <c r="C2494" s="2" t="s">
        <v>4364</v>
      </c>
      <c r="D2494" s="2" t="s">
        <v>122</v>
      </c>
      <c r="E2494" s="2">
        <v>74</v>
      </c>
      <c r="F2494" s="2">
        <v>1746.507</v>
      </c>
    </row>
    <row r="2495" spans="3:6" x14ac:dyDescent="0.25">
      <c r="C2495" s="2" t="s">
        <v>4365</v>
      </c>
      <c r="D2495" s="2" t="s">
        <v>122</v>
      </c>
      <c r="E2495" s="2">
        <v>75</v>
      </c>
      <c r="F2495" s="2">
        <v>1480.55</v>
      </c>
    </row>
    <row r="2496" spans="3:6" x14ac:dyDescent="0.25">
      <c r="C2496" s="2" t="s">
        <v>4366</v>
      </c>
      <c r="D2496" s="2" t="s">
        <v>122</v>
      </c>
      <c r="E2496" s="2">
        <v>53</v>
      </c>
      <c r="F2496" s="2">
        <v>1043.249</v>
      </c>
    </row>
    <row r="2497" spans="3:6" x14ac:dyDescent="0.25">
      <c r="C2497" s="2" t="s">
        <v>4367</v>
      </c>
      <c r="D2497" s="2" t="s">
        <v>122</v>
      </c>
      <c r="E2497" s="2">
        <v>45</v>
      </c>
      <c r="F2497" s="2">
        <v>963.45</v>
      </c>
    </row>
    <row r="2498" spans="3:6" x14ac:dyDescent="0.25">
      <c r="C2498" s="2" t="s">
        <v>4368</v>
      </c>
      <c r="D2498" s="2" t="s">
        <v>122</v>
      </c>
      <c r="E2498" s="2">
        <v>23</v>
      </c>
      <c r="F2498" s="2">
        <v>467.4</v>
      </c>
    </row>
    <row r="2499" spans="3:6" x14ac:dyDescent="0.25">
      <c r="C2499" s="2" t="s">
        <v>4369</v>
      </c>
      <c r="D2499" s="2" t="s">
        <v>122</v>
      </c>
      <c r="E2499" s="2">
        <v>96</v>
      </c>
      <c r="F2499" s="2">
        <v>2004.85</v>
      </c>
    </row>
    <row r="2500" spans="4:6" x14ac:dyDescent="0.25">
      <c r="D2500" s="2" t="s">
        <v>122</v>
      </c>
      <c r="E2500" s="2">
        <v>25</v>
      </c>
      <c r="F2500" s="2">
        <v>439.04</v>
      </c>
    </row>
    <row r="2501" spans="3:6" x14ac:dyDescent="0.25">
      <c r="C2501" s="2" t="s">
        <v>4370</v>
      </c>
      <c r="D2501" s="2" t="s">
        <v>122</v>
      </c>
      <c r="E2501" s="2">
        <v>14</v>
      </c>
      <c r="F2501" s="2">
        <v>296.15</v>
      </c>
    </row>
    <row r="2502" spans="4:6" x14ac:dyDescent="0.25">
      <c r="D2502" s="2" t="s">
        <v>122</v>
      </c>
      <c r="E2502" s="2">
        <v>79</v>
      </c>
      <c r="F2502" s="2">
        <v>1505.08</v>
      </c>
    </row>
    <row r="2503" spans="3:6" x14ac:dyDescent="0.25">
      <c r="C2503" s="2" t="s">
        <v>4371</v>
      </c>
      <c r="D2503" s="2" t="s">
        <v>122</v>
      </c>
      <c r="E2503" s="2">
        <v>6</v>
      </c>
      <c r="F2503" s="2">
        <v>128.1</v>
      </c>
    </row>
    <row r="2504" spans="3:6" x14ac:dyDescent="0.25">
      <c r="C2504" s="2" t="s">
        <v>4372</v>
      </c>
      <c r="D2504" s="2" t="s">
        <v>122</v>
      </c>
      <c r="E2504" s="2">
        <v>5</v>
      </c>
      <c r="F2504" s="2">
        <v>97.6</v>
      </c>
    </row>
    <row r="2505" spans="4:6" x14ac:dyDescent="0.25">
      <c r="D2505" s="2" t="s">
        <v>122</v>
      </c>
      <c r="E2505" s="2">
        <v>4</v>
      </c>
      <c r="F2505" s="2">
        <v>83.54</v>
      </c>
    </row>
    <row r="2506" spans="3:6" x14ac:dyDescent="0.25">
      <c r="C2506" s="2" t="s">
        <v>4373</v>
      </c>
      <c r="D2506" s="2" t="s">
        <v>122</v>
      </c>
      <c r="E2506" s="2">
        <v>5</v>
      </c>
      <c r="F2506" s="2">
        <v>100.9</v>
      </c>
    </row>
    <row r="2507" spans="3:6" x14ac:dyDescent="0.25">
      <c r="C2507" s="2" t="s">
        <v>4374</v>
      </c>
      <c r="D2507" s="2" t="s">
        <v>122</v>
      </c>
      <c r="E2507" s="2">
        <v>2</v>
      </c>
      <c r="F2507" s="2">
        <v>31</v>
      </c>
    </row>
    <row r="2508" spans="3:6" x14ac:dyDescent="0.25">
      <c r="C2508" s="2" t="s">
        <v>4375</v>
      </c>
      <c r="D2508" s="2" t="s">
        <v>122</v>
      </c>
      <c r="E2508" s="2">
        <v>2</v>
      </c>
      <c r="F2508" s="2">
        <v>41.9</v>
      </c>
    </row>
    <row r="2509" spans="4:6" x14ac:dyDescent="0.25">
      <c r="D2509" s="2" t="s">
        <v>122</v>
      </c>
      <c r="E2509" s="2">
        <v>11</v>
      </c>
      <c r="F2509" s="2">
        <v>239.29</v>
      </c>
    </row>
    <row r="2510" spans="3:6" x14ac:dyDescent="0.25">
      <c r="C2510" s="2" t="s">
        <v>4376</v>
      </c>
      <c r="D2510" s="2" t="s">
        <v>122</v>
      </c>
      <c r="E2510" s="2">
        <v>2</v>
      </c>
      <c r="F2510" s="2">
        <v>2.4</v>
      </c>
    </row>
    <row r="2511" spans="4:6" x14ac:dyDescent="0.25">
      <c r="D2511" s="2" t="s">
        <v>122</v>
      </c>
      <c r="E2511" s="2">
        <v>5</v>
      </c>
      <c r="F2511" s="2">
        <v>83.97</v>
      </c>
    </row>
    <row r="2512" spans="3:6" x14ac:dyDescent="0.25">
      <c r="C2512" s="2" t="s">
        <v>4377</v>
      </c>
      <c r="D2512" s="2" t="s">
        <v>122</v>
      </c>
      <c r="E2512" s="2">
        <v>141</v>
      </c>
      <c r="F2512" s="2">
        <v>2937.36</v>
      </c>
    </row>
    <row r="2513" spans="3:6" x14ac:dyDescent="0.25">
      <c r="C2513" s="2" t="s">
        <v>4378</v>
      </c>
      <c r="D2513" s="2" t="s">
        <v>122</v>
      </c>
      <c r="E2513" s="2">
        <v>141</v>
      </c>
      <c r="F2513" s="2">
        <v>2843.46</v>
      </c>
    </row>
    <row r="2514" spans="3:6" x14ac:dyDescent="0.25">
      <c r="C2514" s="2" t="s">
        <v>4379</v>
      </c>
      <c r="D2514" s="2" t="s">
        <v>122</v>
      </c>
      <c r="E2514" s="2">
        <v>141</v>
      </c>
      <c r="F2514" s="2">
        <v>2989.37</v>
      </c>
    </row>
    <row r="2515" spans="3:6" x14ac:dyDescent="0.25">
      <c r="C2515" s="2" t="s">
        <v>4380</v>
      </c>
      <c r="D2515" s="2" t="s">
        <v>122</v>
      </c>
      <c r="E2515" s="2">
        <v>69</v>
      </c>
      <c r="F2515" s="2">
        <v>1370.058</v>
      </c>
    </row>
    <row r="2516" spans="3:6" x14ac:dyDescent="0.25">
      <c r="C2516" s="2" t="s">
        <v>4381</v>
      </c>
      <c r="D2516" s="2" t="s">
        <v>122</v>
      </c>
      <c r="E2516" s="2">
        <v>33</v>
      </c>
      <c r="F2516" s="2">
        <v>113.241</v>
      </c>
    </row>
    <row r="2517" spans="3:6" x14ac:dyDescent="0.25">
      <c r="C2517" s="2" t="s">
        <v>4382</v>
      </c>
      <c r="D2517" s="2" t="s">
        <v>122</v>
      </c>
      <c r="E2517" s="2">
        <v>64</v>
      </c>
      <c r="F2517" s="2">
        <v>1259.608</v>
      </c>
    </row>
    <row r="2518" spans="3:6" x14ac:dyDescent="0.25">
      <c r="C2518" s="2" t="s">
        <v>4383</v>
      </c>
      <c r="D2518" s="2" t="s">
        <v>122</v>
      </c>
      <c r="E2518" s="2">
        <v>38</v>
      </c>
      <c r="F2518" s="2">
        <v>791.089</v>
      </c>
    </row>
    <row r="2519" spans="3:6" x14ac:dyDescent="0.25">
      <c r="C2519" s="2" t="s">
        <v>4384</v>
      </c>
      <c r="D2519" s="2" t="s">
        <v>122</v>
      </c>
      <c r="E2519" s="2">
        <v>70</v>
      </c>
      <c r="F2519" s="2">
        <v>285.39</v>
      </c>
    </row>
    <row r="2520" spans="3:6" x14ac:dyDescent="0.25">
      <c r="C2520" s="2" t="s">
        <v>4385</v>
      </c>
      <c r="D2520" s="2" t="s">
        <v>122</v>
      </c>
      <c r="E2520" s="2">
        <v>82</v>
      </c>
      <c r="F2520" s="2">
        <v>376.32</v>
      </c>
    </row>
    <row r="2521" spans="3:6" x14ac:dyDescent="0.25">
      <c r="C2521" s="2" t="s">
        <v>4386</v>
      </c>
      <c r="D2521" s="2" t="s">
        <v>122</v>
      </c>
      <c r="E2521" s="2">
        <v>141</v>
      </c>
      <c r="F2521" s="2">
        <v>2786.889</v>
      </c>
    </row>
    <row r="2522" spans="3:6" x14ac:dyDescent="0.25">
      <c r="C2522" s="2" t="s">
        <v>4387</v>
      </c>
      <c r="D2522" s="2" t="s">
        <v>122</v>
      </c>
      <c r="E2522" s="2">
        <v>141</v>
      </c>
      <c r="F2522" s="2">
        <v>2892.79</v>
      </c>
    </row>
    <row r="2523" spans="3:6" x14ac:dyDescent="0.25">
      <c r="C2523" s="2" t="s">
        <v>4388</v>
      </c>
      <c r="D2523" s="2" t="s">
        <v>122</v>
      </c>
      <c r="E2523" s="2">
        <v>141</v>
      </c>
      <c r="F2523" s="2">
        <v>2760.68</v>
      </c>
    </row>
    <row r="2524" spans="3:6" x14ac:dyDescent="0.25">
      <c r="C2524" s="2" t="s">
        <v>4389</v>
      </c>
      <c r="D2524" s="2" t="s">
        <v>122</v>
      </c>
      <c r="E2524" s="2">
        <v>58</v>
      </c>
      <c r="F2524" s="2">
        <v>1175.23</v>
      </c>
    </row>
    <row r="2525" spans="3:6" x14ac:dyDescent="0.25">
      <c r="C2525" s="2" t="s">
        <v>4390</v>
      </c>
      <c r="D2525" s="2" t="s">
        <v>122</v>
      </c>
      <c r="E2525" s="2">
        <v>44</v>
      </c>
      <c r="F2525" s="2">
        <v>884.93</v>
      </c>
    </row>
    <row r="2526" spans="3:6" x14ac:dyDescent="0.25">
      <c r="C2526" s="2" t="s">
        <v>4391</v>
      </c>
      <c r="D2526" s="2" t="s">
        <v>122</v>
      </c>
      <c r="E2526" s="2">
        <v>90</v>
      </c>
      <c r="F2526" s="2">
        <v>1759.64</v>
      </c>
    </row>
    <row r="2527" spans="3:6" x14ac:dyDescent="0.25">
      <c r="C2527" s="2" t="s">
        <v>4392</v>
      </c>
      <c r="D2527" s="2" t="s">
        <v>122</v>
      </c>
      <c r="E2527" s="2">
        <v>51</v>
      </c>
      <c r="F2527" s="2">
        <v>1015.05</v>
      </c>
    </row>
    <row r="2528" spans="3:6" x14ac:dyDescent="0.25">
      <c r="C2528" s="2" t="s">
        <v>4393</v>
      </c>
      <c r="D2528" s="2" t="s">
        <v>122</v>
      </c>
      <c r="E2528" s="2">
        <v>69</v>
      </c>
      <c r="F2528" s="2">
        <v>1283.409</v>
      </c>
    </row>
    <row r="2529" spans="3:6" x14ac:dyDescent="0.25">
      <c r="C2529" s="2" t="s">
        <v>4394</v>
      </c>
      <c r="D2529" s="2" t="s">
        <v>122</v>
      </c>
      <c r="E2529" s="2">
        <v>55</v>
      </c>
      <c r="F2529" s="2">
        <v>1030.43</v>
      </c>
    </row>
    <row r="2530" spans="3:6" x14ac:dyDescent="0.25">
      <c r="C2530" s="2" t="s">
        <v>4395</v>
      </c>
      <c r="D2530" s="2" t="s">
        <v>122</v>
      </c>
      <c r="E2530" s="2">
        <v>17</v>
      </c>
      <c r="F2530" s="2">
        <v>326.76</v>
      </c>
    </row>
    <row r="2531" spans="3:6" x14ac:dyDescent="0.25">
      <c r="C2531" s="2" t="s">
        <v>4396</v>
      </c>
      <c r="D2531" s="2" t="s">
        <v>122</v>
      </c>
      <c r="E2531" s="2">
        <v>40</v>
      </c>
      <c r="F2531" s="2">
        <v>788.08</v>
      </c>
    </row>
    <row r="2532" spans="3:6" x14ac:dyDescent="0.25">
      <c r="C2532" s="2" t="s">
        <v>4397</v>
      </c>
      <c r="D2532" s="2" t="s">
        <v>122</v>
      </c>
      <c r="E2532" s="2">
        <v>36</v>
      </c>
      <c r="F2532" s="2">
        <v>698.84</v>
      </c>
    </row>
    <row r="2533" spans="3:6" x14ac:dyDescent="0.25">
      <c r="C2533" s="2" t="s">
        <v>4398</v>
      </c>
      <c r="D2533" s="2" t="s">
        <v>122</v>
      </c>
      <c r="E2533" s="2">
        <v>30</v>
      </c>
      <c r="F2533" s="2">
        <v>623.96</v>
      </c>
    </row>
    <row r="2534" spans="3:6" x14ac:dyDescent="0.25">
      <c r="C2534" s="2" t="s">
        <v>4399</v>
      </c>
      <c r="D2534" s="2" t="s">
        <v>122</v>
      </c>
      <c r="E2534" s="2">
        <v>21</v>
      </c>
      <c r="F2534" s="2">
        <v>420.76</v>
      </c>
    </row>
    <row r="2535" spans="3:6" x14ac:dyDescent="0.25">
      <c r="C2535" s="2" t="s">
        <v>4400</v>
      </c>
      <c r="D2535" s="2" t="s">
        <v>122</v>
      </c>
      <c r="E2535" s="2">
        <v>14</v>
      </c>
      <c r="F2535" s="2">
        <v>261.669</v>
      </c>
    </row>
    <row r="2536" spans="3:6" x14ac:dyDescent="0.25">
      <c r="C2536" s="2" t="s">
        <v>4401</v>
      </c>
      <c r="D2536" s="2" t="s">
        <v>122</v>
      </c>
      <c r="E2536" s="2">
        <v>32</v>
      </c>
      <c r="F2536" s="2">
        <v>649.67</v>
      </c>
    </row>
    <row r="2537" spans="3:6" x14ac:dyDescent="0.25">
      <c r="C2537" s="2" t="s">
        <v>4402</v>
      </c>
      <c r="D2537" s="2" t="s">
        <v>122</v>
      </c>
      <c r="E2537" s="2">
        <v>38</v>
      </c>
      <c r="F2537" s="2">
        <v>779.57</v>
      </c>
    </row>
    <row r="2538" spans="3:6" x14ac:dyDescent="0.25">
      <c r="C2538" s="2" t="s">
        <v>4403</v>
      </c>
      <c r="D2538" s="2" t="s">
        <v>122</v>
      </c>
      <c r="E2538" s="2">
        <v>23</v>
      </c>
      <c r="F2538" s="2">
        <v>474.66</v>
      </c>
    </row>
    <row r="2539" spans="3:6" x14ac:dyDescent="0.25">
      <c r="C2539" s="2" t="s">
        <v>4404</v>
      </c>
      <c r="D2539" s="2" t="s">
        <v>122</v>
      </c>
      <c r="E2539" s="2">
        <v>20</v>
      </c>
      <c r="F2539" s="2">
        <v>425.66</v>
      </c>
    </row>
    <row r="2540" spans="3:6" x14ac:dyDescent="0.25">
      <c r="C2540" s="2" t="s">
        <v>4405</v>
      </c>
      <c r="D2540" s="2" t="s">
        <v>122</v>
      </c>
      <c r="E2540" s="2">
        <v>15</v>
      </c>
      <c r="F2540" s="2">
        <v>319.14</v>
      </c>
    </row>
    <row r="2541" spans="3:6" x14ac:dyDescent="0.25">
      <c r="C2541" s="2" t="s">
        <v>4406</v>
      </c>
      <c r="D2541" s="2" t="s">
        <v>122</v>
      </c>
      <c r="E2541" s="2">
        <v>13</v>
      </c>
      <c r="F2541" s="2">
        <v>234</v>
      </c>
    </row>
    <row r="2542" spans="3:3" x14ac:dyDescent="0.25">
      <c r="C2542" s="2" t="s">
        <v>4407</v>
      </c>
    </row>
    <row r="2543" spans="3:6" x14ac:dyDescent="0.25">
      <c r="C2543" s="2" t="s">
        <v>4408</v>
      </c>
      <c r="E2543" s="2">
        <v>110</v>
      </c>
      <c r="F2543" s="2">
        <v>2276.47</v>
      </c>
    </row>
    <row r="2544" spans="3:6" x14ac:dyDescent="0.25">
      <c r="C2544" s="2" t="s">
        <v>4409</v>
      </c>
      <c r="E2544" s="2">
        <v>21</v>
      </c>
      <c r="F2544" s="2">
        <v>451.12</v>
      </c>
    </row>
    <row r="2545" spans="3:6" x14ac:dyDescent="0.25">
      <c r="C2545" s="2" t="s">
        <v>4410</v>
      </c>
      <c r="E2545" s="2">
        <v>44</v>
      </c>
      <c r="F2545" s="2">
        <v>938.42</v>
      </c>
    </row>
    <row r="2546" spans="3:6" x14ac:dyDescent="0.25">
      <c r="C2546" s="2" t="s">
        <v>4411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90</v>
      </c>
      <c r="C2548" s="2" t="s">
        <v>4412</v>
      </c>
      <c r="D2548" s="2" t="s">
        <v>42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4413</v>
      </c>
      <c r="D2549" s="2" t="s">
        <v>42</v>
      </c>
      <c r="E2549" s="2">
        <v>63</v>
      </c>
      <c r="F2549" s="2">
        <v>1493.31</v>
      </c>
    </row>
    <row r="2550" spans="3:6" x14ac:dyDescent="0.25">
      <c r="C2550" s="2" t="s">
        <v>4414</v>
      </c>
      <c r="D2550" s="2" t="s">
        <v>42</v>
      </c>
      <c r="E2550" s="2">
        <v>18</v>
      </c>
      <c r="F2550" s="2">
        <v>359.52</v>
      </c>
    </row>
    <row r="2551" spans="3:6" x14ac:dyDescent="0.25">
      <c r="C2551" s="2" t="s">
        <v>4415</v>
      </c>
      <c r="D2551" s="2" t="s">
        <v>42</v>
      </c>
      <c r="E2551" s="2">
        <v>123</v>
      </c>
      <c r="F2551" s="2">
        <v>2360.729</v>
      </c>
    </row>
    <row r="2552" spans="3:6" x14ac:dyDescent="0.25">
      <c r="C2552" s="2" t="s">
        <v>4416</v>
      </c>
      <c r="D2552" s="2" t="s">
        <v>42</v>
      </c>
      <c r="E2552" s="2">
        <v>123</v>
      </c>
      <c r="F2552" s="2">
        <v>2374.81</v>
      </c>
    </row>
    <row r="2553" spans="3:6" x14ac:dyDescent="0.25">
      <c r="C2553" s="2" t="s">
        <v>4417</v>
      </c>
      <c r="D2553" s="2" t="s">
        <v>42</v>
      </c>
      <c r="E2553" s="2">
        <v>123</v>
      </c>
      <c r="F2553" s="2">
        <v>2429.82</v>
      </c>
    </row>
    <row r="2554" spans="3:6" x14ac:dyDescent="0.25">
      <c r="C2554" s="2" t="s">
        <v>4418</v>
      </c>
      <c r="D2554" s="2" t="s">
        <v>42</v>
      </c>
      <c r="E2554" s="2">
        <v>141</v>
      </c>
      <c r="F2554" s="2">
        <v>2980.6</v>
      </c>
    </row>
    <row r="2555" spans="3:6" x14ac:dyDescent="0.25">
      <c r="C2555" s="2" t="s">
        <v>4419</v>
      </c>
      <c r="D2555" s="2" t="s">
        <v>42</v>
      </c>
      <c r="E2555" s="2">
        <v>141</v>
      </c>
      <c r="F2555" s="2">
        <v>3355.74</v>
      </c>
    </row>
    <row r="2556" spans="3:6" x14ac:dyDescent="0.25">
      <c r="C2556" s="2" t="s">
        <v>4420</v>
      </c>
      <c r="D2556" s="2" t="s">
        <v>42</v>
      </c>
      <c r="E2556" s="2">
        <v>50</v>
      </c>
      <c r="F2556" s="2">
        <v>258.33</v>
      </c>
    </row>
    <row r="2557" spans="3:6" x14ac:dyDescent="0.25">
      <c r="C2557" s="2" t="s">
        <v>4421</v>
      </c>
      <c r="D2557" s="2" t="s">
        <v>42</v>
      </c>
      <c r="E2557" s="2">
        <v>141</v>
      </c>
      <c r="F2557" s="2">
        <v>2782.58</v>
      </c>
    </row>
    <row r="2558" spans="3:6" x14ac:dyDescent="0.25">
      <c r="C2558" s="2" t="s">
        <v>4422</v>
      </c>
      <c r="D2558" s="2" t="s">
        <v>42</v>
      </c>
      <c r="E2558" s="2">
        <v>134</v>
      </c>
      <c r="F2558" s="2">
        <v>2280.919</v>
      </c>
    </row>
    <row r="2559" spans="3:6" x14ac:dyDescent="0.25">
      <c r="C2559" s="2" t="s">
        <v>4423</v>
      </c>
      <c r="D2559" s="2" t="s">
        <v>42</v>
      </c>
      <c r="E2559" s="2">
        <v>141</v>
      </c>
      <c r="F2559" s="2">
        <v>2627.8</v>
      </c>
    </row>
    <row r="2560" spans="3:6" x14ac:dyDescent="0.25">
      <c r="C2560" s="2" t="s">
        <v>4424</v>
      </c>
      <c r="D2560" s="2" t="s">
        <v>42</v>
      </c>
      <c r="E2560" s="2">
        <v>45</v>
      </c>
      <c r="F2560" s="2">
        <v>231.5</v>
      </c>
    </row>
    <row r="2561" spans="3:6" x14ac:dyDescent="0.25">
      <c r="C2561" s="2" t="s">
        <v>4425</v>
      </c>
      <c r="D2561" s="2" t="s">
        <v>42</v>
      </c>
      <c r="E2561" s="2">
        <v>31</v>
      </c>
      <c r="F2561" s="2">
        <v>633.39</v>
      </c>
    </row>
    <row r="2562" spans="3:6" x14ac:dyDescent="0.25">
      <c r="C2562" s="2" t="s">
        <v>4426</v>
      </c>
      <c r="D2562" s="2" t="s">
        <v>42</v>
      </c>
      <c r="E2562" s="2">
        <v>110</v>
      </c>
      <c r="F2562" s="2">
        <v>2151.409</v>
      </c>
    </row>
    <row r="2563" spans="3:6" x14ac:dyDescent="0.25">
      <c r="C2563" s="2" t="s">
        <v>4427</v>
      </c>
      <c r="D2563" s="2" t="s">
        <v>42</v>
      </c>
      <c r="E2563" s="2">
        <v>59</v>
      </c>
      <c r="F2563" s="2">
        <v>1369.58</v>
      </c>
    </row>
    <row r="2564" spans="3:6" x14ac:dyDescent="0.25">
      <c r="C2564" s="2" t="s">
        <v>4428</v>
      </c>
      <c r="D2564" s="2" t="s">
        <v>42</v>
      </c>
      <c r="E2564" s="2">
        <v>82</v>
      </c>
      <c r="F2564" s="2">
        <v>1705.58</v>
      </c>
    </row>
    <row r="2565" spans="3:6" x14ac:dyDescent="0.25">
      <c r="C2565" s="2" t="s">
        <v>4429</v>
      </c>
      <c r="D2565" s="2" t="s">
        <v>42</v>
      </c>
      <c r="E2565" s="2">
        <v>141</v>
      </c>
      <c r="F2565" s="2">
        <v>2820.58</v>
      </c>
    </row>
    <row r="2566" spans="3:6" x14ac:dyDescent="0.25">
      <c r="C2566" s="2" t="s">
        <v>4430</v>
      </c>
      <c r="D2566" s="2" t="s">
        <v>42</v>
      </c>
      <c r="E2566" s="2">
        <v>45</v>
      </c>
      <c r="F2566" s="2">
        <v>230.83</v>
      </c>
    </row>
    <row r="2567" spans="3:6" x14ac:dyDescent="0.25">
      <c r="C2567" s="2" t="s">
        <v>4431</v>
      </c>
      <c r="D2567" s="2" t="s">
        <v>42</v>
      </c>
      <c r="E2567" s="2">
        <v>62</v>
      </c>
      <c r="F2567" s="2">
        <v>1217.26</v>
      </c>
    </row>
    <row r="2568" spans="3:6" x14ac:dyDescent="0.25">
      <c r="C2568" s="2" t="s">
        <v>4432</v>
      </c>
      <c r="D2568" s="2" t="s">
        <v>42</v>
      </c>
      <c r="E2568" s="2">
        <v>40</v>
      </c>
      <c r="F2568" s="2">
        <v>629.694</v>
      </c>
    </row>
    <row r="2569" spans="3:6" x14ac:dyDescent="0.25">
      <c r="C2569" s="2" t="s">
        <v>4433</v>
      </c>
      <c r="D2569" s="2" t="s">
        <v>42</v>
      </c>
      <c r="E2569" s="2">
        <v>39</v>
      </c>
      <c r="F2569" s="2">
        <v>961.27</v>
      </c>
    </row>
    <row r="2570" spans="3:6" x14ac:dyDescent="0.25">
      <c r="C2570" s="2" t="s">
        <v>4434</v>
      </c>
      <c r="D2570" s="2" t="s">
        <v>42</v>
      </c>
      <c r="E2570" s="2">
        <v>25</v>
      </c>
      <c r="F2570" s="2">
        <v>511.67</v>
      </c>
    </row>
    <row r="2571" spans="3:6" x14ac:dyDescent="0.25">
      <c r="C2571" s="2" t="s">
        <v>4435</v>
      </c>
      <c r="D2571" s="2" t="s">
        <v>42</v>
      </c>
      <c r="E2571" s="2">
        <v>39</v>
      </c>
      <c r="F2571" s="2">
        <v>990.76</v>
      </c>
    </row>
    <row r="2572" spans="3:6" x14ac:dyDescent="0.25">
      <c r="C2572" s="2" t="s">
        <v>4436</v>
      </c>
      <c r="D2572" s="2" t="s">
        <v>42</v>
      </c>
      <c r="E2572" s="2">
        <v>75</v>
      </c>
      <c r="F2572" s="2">
        <v>1472.361</v>
      </c>
    </row>
    <row r="2573" spans="3:6" x14ac:dyDescent="0.25">
      <c r="C2573" s="2" t="s">
        <v>4437</v>
      </c>
      <c r="D2573" s="2" t="s">
        <v>42</v>
      </c>
      <c r="E2573" s="2">
        <v>77</v>
      </c>
      <c r="F2573" s="2">
        <v>1542.76</v>
      </c>
    </row>
    <row r="2574" spans="3:6" x14ac:dyDescent="0.25">
      <c r="C2574" s="2" t="s">
        <v>4438</v>
      </c>
      <c r="D2574" s="2" t="s">
        <v>42</v>
      </c>
      <c r="E2574" s="2">
        <v>14</v>
      </c>
      <c r="F2574" s="2">
        <v>290.12</v>
      </c>
    </row>
    <row r="2575" spans="3:6" x14ac:dyDescent="0.25">
      <c r="C2575" s="2" t="s">
        <v>4439</v>
      </c>
      <c r="D2575" s="2" t="s">
        <v>42</v>
      </c>
      <c r="E2575" s="2">
        <v>50</v>
      </c>
      <c r="F2575" s="2">
        <v>1022.32</v>
      </c>
    </row>
    <row r="2576" spans="3:6" x14ac:dyDescent="0.25">
      <c r="C2576" s="2" t="s">
        <v>4440</v>
      </c>
      <c r="D2576" s="2" t="s">
        <v>42</v>
      </c>
      <c r="E2576" s="2">
        <v>35</v>
      </c>
      <c r="F2576" s="2">
        <v>698.019</v>
      </c>
    </row>
    <row r="2577" spans="3:6" x14ac:dyDescent="0.25">
      <c r="C2577" s="2" t="s">
        <v>4441</v>
      </c>
      <c r="D2577" s="2" t="s">
        <v>42</v>
      </c>
      <c r="E2577" s="2">
        <v>77</v>
      </c>
      <c r="F2577" s="2">
        <v>1283.451</v>
      </c>
    </row>
    <row r="2578" spans="3:6" x14ac:dyDescent="0.25">
      <c r="C2578" s="2" t="s">
        <v>4442</v>
      </c>
      <c r="D2578" s="2" t="s">
        <v>42</v>
      </c>
      <c r="E2578" s="2">
        <v>19</v>
      </c>
      <c r="F2578" s="2">
        <v>375.5</v>
      </c>
    </row>
    <row r="2579" spans="3:6" x14ac:dyDescent="0.25">
      <c r="C2579" s="2" t="s">
        <v>4443</v>
      </c>
      <c r="D2579" s="2" t="s">
        <v>42</v>
      </c>
      <c r="E2579" s="2">
        <v>60</v>
      </c>
      <c r="F2579" s="2">
        <v>317.49</v>
      </c>
    </row>
    <row r="2580" spans="3:6" x14ac:dyDescent="0.25">
      <c r="C2580" s="2" t="s">
        <v>4444</v>
      </c>
      <c r="D2580" s="2" t="s">
        <v>42</v>
      </c>
      <c r="E2580" s="2">
        <v>74</v>
      </c>
      <c r="F2580" s="2">
        <v>1427.29</v>
      </c>
    </row>
    <row r="2581" spans="3:6" x14ac:dyDescent="0.25">
      <c r="C2581" s="2" t="s">
        <v>4445</v>
      </c>
      <c r="D2581" s="2" t="s">
        <v>42</v>
      </c>
      <c r="E2581" s="2">
        <v>67</v>
      </c>
      <c r="F2581" s="2">
        <v>1323.089</v>
      </c>
    </row>
    <row r="2582" spans="3:6" x14ac:dyDescent="0.25">
      <c r="C2582" s="2" t="s">
        <v>4446</v>
      </c>
      <c r="D2582" s="2" t="s">
        <v>42</v>
      </c>
      <c r="E2582" s="2">
        <v>32</v>
      </c>
      <c r="F2582" s="2">
        <v>597.13</v>
      </c>
    </row>
    <row r="2583" spans="3:6" x14ac:dyDescent="0.25">
      <c r="C2583" s="2" t="s">
        <v>4447</v>
      </c>
      <c r="D2583" s="2" t="s">
        <v>42</v>
      </c>
      <c r="E2583" s="2">
        <v>97</v>
      </c>
      <c r="F2583" s="2">
        <v>1787.82</v>
      </c>
    </row>
    <row r="2584" spans="3:6" x14ac:dyDescent="0.25">
      <c r="C2584" s="2" t="s">
        <v>4448</v>
      </c>
      <c r="D2584" s="2" t="s">
        <v>42</v>
      </c>
      <c r="E2584" s="2">
        <v>33</v>
      </c>
      <c r="F2584" s="2">
        <v>686.66</v>
      </c>
    </row>
    <row r="2585" spans="3:6" x14ac:dyDescent="0.25">
      <c r="C2585" s="2" t="s">
        <v>4449</v>
      </c>
      <c r="D2585" s="2" t="s">
        <v>42</v>
      </c>
      <c r="E2585" s="2">
        <v>101</v>
      </c>
      <c r="F2585" s="2">
        <v>1952.48</v>
      </c>
    </row>
    <row r="2586" spans="3:6" x14ac:dyDescent="0.25">
      <c r="C2586" s="2" t="s">
        <v>4450</v>
      </c>
      <c r="D2586" s="2" t="s">
        <v>42</v>
      </c>
      <c r="E2586" s="2">
        <v>88</v>
      </c>
      <c r="F2586" s="2">
        <v>1899.5</v>
      </c>
    </row>
    <row r="2587" spans="3:6" x14ac:dyDescent="0.25">
      <c r="C2587" s="2" t="s">
        <v>4451</v>
      </c>
      <c r="D2587" s="2" t="s">
        <v>42</v>
      </c>
      <c r="E2587" s="2">
        <v>12</v>
      </c>
      <c r="F2587" s="2">
        <v>263.46</v>
      </c>
    </row>
    <row r="2588" spans="3:6" x14ac:dyDescent="0.25">
      <c r="C2588" s="2" t="s">
        <v>4452</v>
      </c>
      <c r="D2588" s="2" t="s">
        <v>42</v>
      </c>
      <c r="E2588" s="2">
        <v>82</v>
      </c>
      <c r="F2588" s="2">
        <v>1454.176</v>
      </c>
    </row>
    <row r="2589" spans="3:6" x14ac:dyDescent="0.25">
      <c r="C2589" s="2" t="s">
        <v>4453</v>
      </c>
      <c r="D2589" s="2" t="s">
        <v>42</v>
      </c>
      <c r="E2589" s="2">
        <v>50</v>
      </c>
      <c r="F2589" s="2">
        <v>959.179</v>
      </c>
    </row>
    <row r="2590" spans="3:6" x14ac:dyDescent="0.25">
      <c r="C2590" s="2" t="s">
        <v>4454</v>
      </c>
      <c r="D2590" s="2" t="s">
        <v>42</v>
      </c>
      <c r="E2590" s="2">
        <v>50</v>
      </c>
      <c r="F2590" s="2">
        <v>979.45</v>
      </c>
    </row>
    <row r="2591" spans="3:6" x14ac:dyDescent="0.25">
      <c r="C2591" s="2" t="s">
        <v>4455</v>
      </c>
      <c r="D2591" s="2" t="s">
        <v>42</v>
      </c>
      <c r="E2591" s="2">
        <v>72</v>
      </c>
      <c r="F2591" s="2">
        <v>1629.26</v>
      </c>
    </row>
    <row r="2592" spans="3:6" x14ac:dyDescent="0.25">
      <c r="C2592" s="2" t="s">
        <v>4456</v>
      </c>
      <c r="D2592" s="2" t="s">
        <v>42</v>
      </c>
      <c r="E2592" s="2">
        <v>27</v>
      </c>
      <c r="F2592" s="2">
        <v>538.13</v>
      </c>
    </row>
    <row r="2593" spans="3:6" x14ac:dyDescent="0.25">
      <c r="C2593" s="2" t="s">
        <v>4457</v>
      </c>
      <c r="D2593" s="2" t="s">
        <v>42</v>
      </c>
      <c r="E2593" s="2">
        <v>65</v>
      </c>
      <c r="F2593" s="2">
        <v>1248.9</v>
      </c>
    </row>
    <row r="2594" spans="3:6" x14ac:dyDescent="0.25">
      <c r="C2594" s="2" t="s">
        <v>4458</v>
      </c>
      <c r="D2594" s="2" t="s">
        <v>42</v>
      </c>
      <c r="E2594" s="2">
        <v>10</v>
      </c>
      <c r="F2594" s="2">
        <v>187.04</v>
      </c>
    </row>
    <row r="2595" spans="3:4" x14ac:dyDescent="0.25">
      <c r="C2595" s="2" t="s">
        <v>4459</v>
      </c>
      <c r="D2595" s="2" t="s">
        <v>42</v>
      </c>
    </row>
    <row r="2596" spans="3:4" x14ac:dyDescent="0.25">
      <c r="C2596" s="2" t="s">
        <v>4460</v>
      </c>
      <c r="D2596" s="2" t="s">
        <v>42</v>
      </c>
    </row>
    <row r="2597" spans="3:6" x14ac:dyDescent="0.25">
      <c r="C2597" s="2" t="s">
        <v>4461</v>
      </c>
      <c r="D2597" s="2" t="s">
        <v>42</v>
      </c>
      <c r="E2597" s="2">
        <v>39</v>
      </c>
      <c r="F2597" s="2">
        <v>703.03</v>
      </c>
    </row>
    <row r="2598" spans="3:6" x14ac:dyDescent="0.25">
      <c r="C2598" s="2" t="s">
        <v>4462</v>
      </c>
      <c r="D2598" s="2" t="s">
        <v>42</v>
      </c>
      <c r="E2598" s="2">
        <v>36</v>
      </c>
      <c r="F2598" s="2">
        <v>679.81</v>
      </c>
    </row>
    <row r="2599" spans="3:6" x14ac:dyDescent="0.25">
      <c r="C2599" s="2" t="s">
        <v>4463</v>
      </c>
      <c r="D2599" s="2" t="s">
        <v>42</v>
      </c>
      <c r="E2599" s="2">
        <v>25</v>
      </c>
      <c r="F2599" s="2">
        <v>483.1</v>
      </c>
    </row>
    <row r="2600" spans="3:6" x14ac:dyDescent="0.25">
      <c r="C2600" s="2" t="s">
        <v>4464</v>
      </c>
      <c r="D2600" s="2" t="s">
        <v>42</v>
      </c>
      <c r="E2600" s="2">
        <v>78</v>
      </c>
      <c r="F2600" s="2">
        <v>1324.469</v>
      </c>
    </row>
    <row r="2601" spans="3:6" x14ac:dyDescent="0.25">
      <c r="C2601" s="2" t="s">
        <v>4465</v>
      </c>
      <c r="D2601" s="2" t="s">
        <v>42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10</v>
      </c>
      <c r="C2603" s="2" t="s">
        <v>4466</v>
      </c>
      <c r="D2603" s="2" t="s">
        <v>12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4467</v>
      </c>
      <c r="D2604" s="2" t="s">
        <v>12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375</v>
      </c>
      <c r="C2606" s="2" t="s">
        <v>4468</v>
      </c>
      <c r="D2606" s="2" t="s">
        <v>204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4469</v>
      </c>
      <c r="D2607" s="2" t="s">
        <v>216</v>
      </c>
      <c r="E2607" s="2">
        <v>163</v>
      </c>
      <c r="F2607" s="2">
        <v>3198.88</v>
      </c>
    </row>
    <row r="2608" spans="3:6" x14ac:dyDescent="0.25">
      <c r="C2608" s="2" t="s">
        <v>4470</v>
      </c>
      <c r="D2608" s="2" t="s">
        <v>216</v>
      </c>
      <c r="E2608" s="2">
        <v>163</v>
      </c>
      <c r="F2608" s="2">
        <v>3120.669</v>
      </c>
    </row>
    <row r="2609" spans="3:6" x14ac:dyDescent="0.25">
      <c r="C2609" s="2" t="s">
        <v>4471</v>
      </c>
      <c r="D2609" s="2" t="s">
        <v>204</v>
      </c>
      <c r="E2609" s="2">
        <v>163</v>
      </c>
      <c r="F2609" s="2">
        <v>3158.66</v>
      </c>
    </row>
    <row r="2610" spans="3:6" x14ac:dyDescent="0.25">
      <c r="C2610" s="2" t="s">
        <v>4472</v>
      </c>
      <c r="D2610" s="2" t="s">
        <v>204</v>
      </c>
      <c r="E2610" s="2">
        <v>61</v>
      </c>
      <c r="F2610" s="2">
        <v>1387.45</v>
      </c>
    </row>
    <row r="2611" spans="3:6" x14ac:dyDescent="0.25">
      <c r="C2611" s="2" t="s">
        <v>4473</v>
      </c>
      <c r="D2611" s="2" t="s">
        <v>236</v>
      </c>
      <c r="E2611" s="2">
        <v>60</v>
      </c>
      <c r="F2611" s="2">
        <v>1074.169</v>
      </c>
    </row>
    <row r="2612" spans="3:6" x14ac:dyDescent="0.25">
      <c r="C2612" s="2" t="s">
        <v>4474</v>
      </c>
      <c r="D2612" s="2" t="s">
        <v>236</v>
      </c>
      <c r="E2612" s="2">
        <v>45</v>
      </c>
      <c r="F2612" s="2">
        <v>876.23</v>
      </c>
    </row>
    <row r="2613" spans="3:6" x14ac:dyDescent="0.25">
      <c r="C2613" s="2" t="s">
        <v>4475</v>
      </c>
      <c r="D2613" s="2" t="s">
        <v>236</v>
      </c>
      <c r="E2613" s="2">
        <v>25</v>
      </c>
      <c r="F2613" s="2">
        <v>483.54</v>
      </c>
    </row>
    <row r="2614" spans="3:6" x14ac:dyDescent="0.25">
      <c r="C2614" s="2" t="s">
        <v>4476</v>
      </c>
      <c r="D2614" s="2" t="s">
        <v>236</v>
      </c>
      <c r="E2614" s="2">
        <v>80</v>
      </c>
      <c r="F2614" s="2">
        <v>1497.57</v>
      </c>
    </row>
    <row r="2615" spans="3:6" x14ac:dyDescent="0.25">
      <c r="C2615" s="2" t="s">
        <v>4477</v>
      </c>
      <c r="D2615" s="2" t="s">
        <v>214</v>
      </c>
      <c r="E2615" s="2">
        <v>56</v>
      </c>
      <c r="F2615" s="2">
        <v>1028.43</v>
      </c>
    </row>
    <row r="2616" spans="3:6" x14ac:dyDescent="0.25">
      <c r="C2616" s="2" t="s">
        <v>4478</v>
      </c>
      <c r="D2616" s="2" t="s">
        <v>214</v>
      </c>
      <c r="E2616" s="2">
        <v>100</v>
      </c>
      <c r="F2616" s="2">
        <v>1969.8</v>
      </c>
    </row>
    <row r="2617" spans="3:6" x14ac:dyDescent="0.25">
      <c r="C2617" s="2" t="s">
        <v>4479</v>
      </c>
      <c r="D2617" s="2" t="s">
        <v>216</v>
      </c>
      <c r="E2617" s="2">
        <v>134</v>
      </c>
      <c r="F2617" s="2">
        <v>2770.4</v>
      </c>
    </row>
    <row r="2618" spans="3:6" x14ac:dyDescent="0.25">
      <c r="C2618" s="2" t="s">
        <v>4480</v>
      </c>
      <c r="D2618" s="2" t="s">
        <v>216</v>
      </c>
      <c r="E2618" s="2">
        <v>134</v>
      </c>
      <c r="F2618" s="2">
        <v>2705.43</v>
      </c>
    </row>
    <row r="2619" spans="3:6" x14ac:dyDescent="0.25">
      <c r="C2619" s="2" t="s">
        <v>4481</v>
      </c>
      <c r="D2619" s="2" t="s">
        <v>347</v>
      </c>
      <c r="E2619" s="2">
        <v>44</v>
      </c>
      <c r="F2619" s="2">
        <v>882.55</v>
      </c>
    </row>
    <row r="2620" spans="3:6" x14ac:dyDescent="0.25">
      <c r="C2620" s="2" t="s">
        <v>4482</v>
      </c>
      <c r="D2620" s="2" t="s">
        <v>347</v>
      </c>
      <c r="E2620" s="2">
        <v>12</v>
      </c>
      <c r="F2620" s="2">
        <v>241.52</v>
      </c>
    </row>
    <row r="2621" spans="3:6" x14ac:dyDescent="0.25">
      <c r="C2621" s="2" t="s">
        <v>4483</v>
      </c>
      <c r="D2621" s="2" t="s">
        <v>347</v>
      </c>
      <c r="E2621" s="2">
        <v>100</v>
      </c>
      <c r="F2621" s="2">
        <v>1954.19</v>
      </c>
    </row>
    <row r="2622" spans="3:6" x14ac:dyDescent="0.25">
      <c r="C2622" s="2" t="s">
        <v>4484</v>
      </c>
      <c r="D2622" s="2" t="s">
        <v>204</v>
      </c>
      <c r="E2622" s="2">
        <v>105</v>
      </c>
      <c r="F2622" s="2">
        <v>1960.99</v>
      </c>
    </row>
    <row r="2623" spans="3:6" x14ac:dyDescent="0.25">
      <c r="C2623" s="2" t="s">
        <v>4485</v>
      </c>
      <c r="D2623" s="2" t="s">
        <v>204</v>
      </c>
      <c r="E2623" s="2">
        <v>125</v>
      </c>
      <c r="F2623" s="2">
        <v>541.698</v>
      </c>
    </row>
    <row r="2624" spans="3:6" x14ac:dyDescent="0.25">
      <c r="C2624" s="2" t="s">
        <v>4339</v>
      </c>
      <c r="D2624" s="2" t="s">
        <v>342</v>
      </c>
      <c r="E2624" s="2">
        <v>105</v>
      </c>
      <c r="F2624" s="2">
        <v>2109.899</v>
      </c>
    </row>
    <row r="2625" spans="3:6" x14ac:dyDescent="0.25">
      <c r="C2625" s="2" t="s">
        <v>4486</v>
      </c>
      <c r="D2625" s="2" t="s">
        <v>204</v>
      </c>
      <c r="E2625" s="2">
        <v>163</v>
      </c>
      <c r="F2625" s="2">
        <v>3192.89</v>
      </c>
    </row>
    <row r="2626" spans="3:6" x14ac:dyDescent="0.25">
      <c r="C2626" s="2" t="s">
        <v>4487</v>
      </c>
      <c r="D2626" s="2" t="s">
        <v>204</v>
      </c>
      <c r="E2626" s="2">
        <v>163</v>
      </c>
      <c r="F2626" s="2">
        <v>3020.39</v>
      </c>
    </row>
    <row r="2627" spans="3:6" x14ac:dyDescent="0.25">
      <c r="C2627" s="2" t="s">
        <v>4488</v>
      </c>
      <c r="D2627" s="2" t="s">
        <v>204</v>
      </c>
      <c r="E2627" s="2">
        <v>163</v>
      </c>
      <c r="F2627" s="2">
        <v>3227.659</v>
      </c>
    </row>
    <row r="2628" spans="3:6" x14ac:dyDescent="0.25">
      <c r="C2628" s="2" t="s">
        <v>4489</v>
      </c>
      <c r="D2628" s="2" t="s">
        <v>204</v>
      </c>
      <c r="E2628" s="2">
        <v>163</v>
      </c>
      <c r="F2628" s="2">
        <v>3095.98</v>
      </c>
    </row>
    <row r="2629" spans="3:6" x14ac:dyDescent="0.25">
      <c r="C2629" s="2" t="s">
        <v>4490</v>
      </c>
      <c r="D2629" s="2" t="s">
        <v>204</v>
      </c>
      <c r="E2629" s="2">
        <v>163</v>
      </c>
      <c r="F2629" s="2">
        <v>3322.63</v>
      </c>
    </row>
    <row r="2630" spans="3:6" x14ac:dyDescent="0.25">
      <c r="C2630" s="2" t="s">
        <v>4491</v>
      </c>
      <c r="D2630" s="2" t="s">
        <v>214</v>
      </c>
      <c r="E2630" s="2">
        <v>100</v>
      </c>
      <c r="F2630" s="2">
        <v>1960.449</v>
      </c>
    </row>
    <row r="2631" spans="3:6" x14ac:dyDescent="0.25">
      <c r="C2631" s="2" t="s">
        <v>4492</v>
      </c>
      <c r="D2631" s="2" t="s">
        <v>214</v>
      </c>
      <c r="E2631" s="2">
        <v>56</v>
      </c>
      <c r="F2631" s="2">
        <v>1102.48</v>
      </c>
    </row>
    <row r="2632" spans="3:6" x14ac:dyDescent="0.25">
      <c r="C2632" s="2" t="s">
        <v>4493</v>
      </c>
      <c r="D2632" s="2" t="s">
        <v>347</v>
      </c>
      <c r="E2632" s="2">
        <v>56</v>
      </c>
      <c r="F2632" s="2">
        <v>1053.58</v>
      </c>
    </row>
    <row r="2633" spans="3:6" x14ac:dyDescent="0.25">
      <c r="C2633" s="2" t="s">
        <v>4494</v>
      </c>
      <c r="D2633" s="2" t="s">
        <v>347</v>
      </c>
      <c r="E2633" s="2">
        <v>26</v>
      </c>
      <c r="F2633" s="2">
        <v>488.13</v>
      </c>
    </row>
    <row r="2634" spans="3:6" x14ac:dyDescent="0.25">
      <c r="C2634" s="2" t="s">
        <v>4495</v>
      </c>
      <c r="D2634" s="2" t="s">
        <v>347</v>
      </c>
      <c r="E2634" s="2">
        <v>100</v>
      </c>
      <c r="F2634" s="2">
        <v>1986.77</v>
      </c>
    </row>
    <row r="2635" spans="3:6" x14ac:dyDescent="0.25">
      <c r="C2635" s="2" t="s">
        <v>4496</v>
      </c>
      <c r="D2635" s="2" t="s">
        <v>347</v>
      </c>
      <c r="E2635" s="2">
        <v>100</v>
      </c>
      <c r="F2635" s="2">
        <v>1867.94</v>
      </c>
    </row>
    <row r="2636" spans="3:6" x14ac:dyDescent="0.25">
      <c r="C2636" s="2" t="s">
        <v>4497</v>
      </c>
      <c r="D2636" s="2" t="s">
        <v>347</v>
      </c>
      <c r="E2636" s="2">
        <v>30</v>
      </c>
      <c r="F2636" s="2">
        <v>596.46</v>
      </c>
    </row>
    <row r="2637" spans="3:6" x14ac:dyDescent="0.25">
      <c r="C2637" s="2" t="s">
        <v>4498</v>
      </c>
      <c r="D2637" s="2" t="s">
        <v>216</v>
      </c>
      <c r="E2637" s="2">
        <v>14</v>
      </c>
      <c r="F2637" s="2">
        <v>266.96</v>
      </c>
    </row>
    <row r="2638" spans="3:6" x14ac:dyDescent="0.25">
      <c r="C2638" s="2" t="s">
        <v>4499</v>
      </c>
      <c r="D2638" s="2" t="s">
        <v>216</v>
      </c>
      <c r="E2638" s="2">
        <v>134</v>
      </c>
      <c r="F2638" s="2">
        <v>2736.54</v>
      </c>
    </row>
    <row r="2639" spans="3:6" x14ac:dyDescent="0.25">
      <c r="C2639" s="2" t="s">
        <v>4500</v>
      </c>
      <c r="D2639" s="2" t="s">
        <v>216</v>
      </c>
      <c r="E2639" s="2">
        <v>134</v>
      </c>
      <c r="F2639" s="2">
        <v>2742.34</v>
      </c>
    </row>
    <row r="2640" spans="3:6" x14ac:dyDescent="0.25">
      <c r="C2640" s="2" t="s">
        <v>4501</v>
      </c>
      <c r="D2640" s="2" t="s">
        <v>216</v>
      </c>
      <c r="E2640" s="2">
        <v>134</v>
      </c>
      <c r="F2640" s="2">
        <v>2791.199</v>
      </c>
    </row>
    <row r="2641" spans="3:6" x14ac:dyDescent="0.25">
      <c r="C2641" s="2" t="s">
        <v>4502</v>
      </c>
      <c r="D2641" s="2" t="s">
        <v>216</v>
      </c>
      <c r="E2641" s="2">
        <v>134</v>
      </c>
      <c r="F2641" s="2">
        <v>2792.05</v>
      </c>
    </row>
    <row r="2642" spans="3:6" x14ac:dyDescent="0.25">
      <c r="C2642" s="2" t="s">
        <v>4503</v>
      </c>
      <c r="D2642" s="2" t="s">
        <v>347</v>
      </c>
      <c r="E2642" s="2">
        <v>100</v>
      </c>
      <c r="F2642" s="2">
        <v>1936.528</v>
      </c>
    </row>
    <row r="2643" spans="3:6" x14ac:dyDescent="0.25">
      <c r="C2643" s="2" t="s">
        <v>4504</v>
      </c>
      <c r="D2643" s="2" t="s">
        <v>347</v>
      </c>
      <c r="E2643" s="2">
        <v>56</v>
      </c>
      <c r="F2643" s="2">
        <v>1058.65</v>
      </c>
    </row>
    <row r="2644" spans="3:6" x14ac:dyDescent="0.25">
      <c r="C2644" s="2" t="s">
        <v>4338</v>
      </c>
      <c r="D2644" s="2" t="s">
        <v>216</v>
      </c>
      <c r="E2644" s="2">
        <v>28</v>
      </c>
      <c r="F2644" s="2">
        <v>507.12</v>
      </c>
    </row>
    <row r="2645" spans="3:6" x14ac:dyDescent="0.25">
      <c r="C2645" s="2" t="s">
        <v>4326</v>
      </c>
      <c r="D2645" s="2" t="s">
        <v>204</v>
      </c>
      <c r="E2645" s="2">
        <v>163</v>
      </c>
      <c r="F2645" s="2">
        <v>3081.65</v>
      </c>
    </row>
    <row r="2647" spans="2:7" x14ac:dyDescent="0.25">
      <c r="B2647" s="2" t="s">
        <v>2077</v>
      </c>
      <c r="C2647" s="2" t="s">
        <v>4505</v>
      </c>
      <c r="D2647" s="2" t="s">
        <v>216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4506</v>
      </c>
      <c r="D2648" s="2" t="s">
        <v>216</v>
      </c>
      <c r="E2648" s="2">
        <v>156</v>
      </c>
      <c r="F2648" s="2">
        <v>2779</v>
      </c>
    </row>
    <row r="2649" spans="3:6" x14ac:dyDescent="0.25">
      <c r="C2649" s="2" t="s">
        <v>4507</v>
      </c>
      <c r="D2649" s="2" t="s">
        <v>216</v>
      </c>
      <c r="E2649" s="2">
        <v>105</v>
      </c>
      <c r="F2649" s="2">
        <v>1972</v>
      </c>
    </row>
    <row r="2650" spans="3:6" x14ac:dyDescent="0.25">
      <c r="C2650" s="2" t="s">
        <v>4508</v>
      </c>
      <c r="D2650" s="2" t="s">
        <v>216</v>
      </c>
      <c r="E2650" s="2">
        <v>156</v>
      </c>
      <c r="F2650" s="2">
        <v>2896</v>
      </c>
    </row>
    <row r="2652" spans="2:7" x14ac:dyDescent="0.25">
      <c r="B2652" s="2" t="s">
        <v>342</v>
      </c>
      <c r="C2652" s="2" t="s">
        <v>4509</v>
      </c>
      <c r="D2652" s="2" t="s">
        <v>342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4510</v>
      </c>
      <c r="D2653" s="2" t="s">
        <v>342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18</v>
      </c>
      <c r="C2655" s="2" t="s">
        <v>4511</v>
      </c>
      <c r="D2655" s="2" t="s">
        <v>20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4512</v>
      </c>
      <c r="D2656" s="2" t="s">
        <v>20</v>
      </c>
      <c r="E2656" s="2">
        <v>97</v>
      </c>
      <c r="F2656" s="2">
        <v>1920.929</v>
      </c>
    </row>
    <row r="2657" spans="3:6" x14ac:dyDescent="0.25">
      <c r="C2657" s="2" t="s">
        <v>4513</v>
      </c>
      <c r="D2657" s="2" t="s">
        <v>20</v>
      </c>
      <c r="E2657" s="2">
        <v>284</v>
      </c>
      <c r="F2657" s="2">
        <v>5586.629</v>
      </c>
    </row>
    <row r="2658" spans="3:6" x14ac:dyDescent="0.25">
      <c r="C2658" s="2" t="s">
        <v>4514</v>
      </c>
      <c r="D2658" s="2" t="s">
        <v>20</v>
      </c>
      <c r="E2658" s="2">
        <v>242</v>
      </c>
      <c r="F2658" s="2">
        <v>4649.568</v>
      </c>
    </row>
    <row r="2659" spans="3:6" x14ac:dyDescent="0.25">
      <c r="C2659" s="2" t="s">
        <v>4515</v>
      </c>
      <c r="D2659" s="2" t="s">
        <v>20</v>
      </c>
      <c r="E2659" s="2">
        <v>142</v>
      </c>
      <c r="F2659" s="2">
        <v>2786.97</v>
      </c>
    </row>
    <row r="2660" spans="3:6" x14ac:dyDescent="0.25">
      <c r="C2660" s="2" t="s">
        <v>4516</v>
      </c>
      <c r="D2660" s="2" t="s">
        <v>20</v>
      </c>
      <c r="E2660" s="2">
        <v>142</v>
      </c>
      <c r="F2660" s="2">
        <v>2801.02</v>
      </c>
    </row>
    <row r="2661" spans="3:6" x14ac:dyDescent="0.25">
      <c r="C2661" s="2" t="s">
        <v>4517</v>
      </c>
      <c r="D2661" s="2" t="s">
        <v>20</v>
      </c>
      <c r="E2661" s="2">
        <v>134</v>
      </c>
      <c r="F2661" s="2">
        <v>2671.238</v>
      </c>
    </row>
    <row r="2662" spans="3:6" x14ac:dyDescent="0.25">
      <c r="C2662" s="2" t="s">
        <v>4518</v>
      </c>
      <c r="D2662" s="2" t="s">
        <v>20</v>
      </c>
      <c r="E2662" s="2">
        <v>102</v>
      </c>
      <c r="F2662" s="2">
        <v>1960.959</v>
      </c>
    </row>
    <row r="2663" spans="3:6" x14ac:dyDescent="0.25">
      <c r="C2663" s="2" t="s">
        <v>4519</v>
      </c>
      <c r="D2663" s="2" t="s">
        <v>20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2375</v>
      </c>
      <c r="C2665" s="2" t="s">
        <v>4520</v>
      </c>
      <c r="D2665" s="2" t="s">
        <v>342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1434</v>
      </c>
      <c r="C2667" s="2" t="s">
        <v>4521</v>
      </c>
      <c r="D2667" s="2" t="s">
        <v>122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4522</v>
      </c>
      <c r="D2668" s="2" t="s">
        <v>122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324</v>
      </c>
      <c r="C2670" s="2" t="s">
        <v>4523</v>
      </c>
      <c r="D2670" s="2" t="s">
        <v>27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4524</v>
      </c>
      <c r="D2671" s="2" t="s">
        <v>27</v>
      </c>
      <c r="E2671" s="2">
        <v>97</v>
      </c>
      <c r="F2671" s="2">
        <v>1926.239</v>
      </c>
    </row>
    <row r="2672" spans="3:6" x14ac:dyDescent="0.25">
      <c r="C2672" s="2" t="s">
        <v>4525</v>
      </c>
      <c r="D2672" s="2" t="s">
        <v>27</v>
      </c>
      <c r="E2672" s="2">
        <v>64</v>
      </c>
      <c r="F2672" s="2">
        <v>1209.44</v>
      </c>
    </row>
    <row r="2673" spans="3:6" x14ac:dyDescent="0.25">
      <c r="C2673" s="2" t="s">
        <v>4526</v>
      </c>
      <c r="D2673" s="2" t="s">
        <v>27</v>
      </c>
      <c r="E2673" s="2">
        <v>9</v>
      </c>
      <c r="F2673" s="2">
        <v>177.58</v>
      </c>
    </row>
    <row r="2674" spans="3:6" x14ac:dyDescent="0.25">
      <c r="C2674" s="2" t="s">
        <v>4527</v>
      </c>
      <c r="D2674" s="2" t="s">
        <v>27</v>
      </c>
      <c r="E2674" s="2">
        <v>25</v>
      </c>
      <c r="F2674" s="2">
        <v>422.47</v>
      </c>
    </row>
    <row r="2675" spans="3:6" x14ac:dyDescent="0.25">
      <c r="C2675" s="2" t="s">
        <v>4528</v>
      </c>
      <c r="D2675" s="2" t="s">
        <v>27</v>
      </c>
      <c r="E2675" s="2">
        <v>67</v>
      </c>
      <c r="F2675" s="2">
        <v>1002.065</v>
      </c>
    </row>
    <row r="2676" spans="3:6" x14ac:dyDescent="0.25">
      <c r="C2676" s="2" t="s">
        <v>4529</v>
      </c>
      <c r="D2676" s="2" t="s">
        <v>27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10</v>
      </c>
      <c r="C2678" s="2" t="s">
        <v>4530</v>
      </c>
      <c r="D2678" s="2" t="s">
        <v>12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4531</v>
      </c>
      <c r="D2679" s="2" t="s">
        <v>12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238</v>
      </c>
      <c r="C2681" s="2" t="s">
        <v>4532</v>
      </c>
      <c r="D2681" s="2" t="s">
        <v>204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4533</v>
      </c>
      <c r="D2682" s="2" t="s">
        <v>204</v>
      </c>
      <c r="E2682" s="2">
        <v>156</v>
      </c>
      <c r="F2682" s="2">
        <v>2944.24</v>
      </c>
    </row>
    <row r="2683" spans="3:6" x14ac:dyDescent="0.25">
      <c r="C2683" s="2" t="s">
        <v>4534</v>
      </c>
      <c r="D2683" s="2" t="s">
        <v>204</v>
      </c>
      <c r="E2683" s="2">
        <v>156</v>
      </c>
      <c r="F2683" s="2">
        <v>2869.619</v>
      </c>
    </row>
    <row r="2684" spans="3:6" x14ac:dyDescent="0.25">
      <c r="C2684" s="2" t="s">
        <v>4535</v>
      </c>
      <c r="D2684" s="2" t="s">
        <v>204</v>
      </c>
      <c r="E2684" s="2">
        <v>105</v>
      </c>
      <c r="F2684" s="2">
        <v>2048.449</v>
      </c>
    </row>
    <row r="2685" spans="3:6" x14ac:dyDescent="0.25">
      <c r="C2685" s="2" t="s">
        <v>4536</v>
      </c>
      <c r="D2685" s="2" t="s">
        <v>204</v>
      </c>
      <c r="E2685" s="2">
        <v>105</v>
      </c>
      <c r="F2685" s="2">
        <v>2043.88</v>
      </c>
    </row>
    <row r="2686" spans="3:6" x14ac:dyDescent="0.25">
      <c r="C2686" s="2" t="s">
        <v>4537</v>
      </c>
      <c r="D2686" s="2" t="s">
        <v>204</v>
      </c>
      <c r="E2686" s="2">
        <v>156</v>
      </c>
      <c r="F2686" s="2">
        <v>3065.319</v>
      </c>
    </row>
    <row r="2687" spans="3:6" x14ac:dyDescent="0.25">
      <c r="C2687" s="2" t="s">
        <v>4538</v>
      </c>
      <c r="D2687" s="2" t="s">
        <v>204</v>
      </c>
      <c r="E2687" s="2">
        <v>105</v>
      </c>
      <c r="F2687" s="2">
        <v>2031.85</v>
      </c>
    </row>
    <row r="2688" spans="3:6" x14ac:dyDescent="0.25">
      <c r="C2688" s="2" t="s">
        <v>4539</v>
      </c>
      <c r="D2688" s="2" t="s">
        <v>204</v>
      </c>
      <c r="E2688" s="2">
        <v>105</v>
      </c>
      <c r="F2688" s="2">
        <v>2087.16</v>
      </c>
    </row>
    <row r="2689" spans="3:6" x14ac:dyDescent="0.25">
      <c r="C2689" s="2" t="s">
        <v>4540</v>
      </c>
      <c r="D2689" s="2" t="s">
        <v>204</v>
      </c>
      <c r="E2689" s="2">
        <v>105</v>
      </c>
      <c r="F2689" s="2">
        <v>2050.47</v>
      </c>
    </row>
    <row r="2690" spans="3:6" x14ac:dyDescent="0.25">
      <c r="C2690" s="2" t="s">
        <v>4541</v>
      </c>
      <c r="D2690" s="2" t="s">
        <v>204</v>
      </c>
      <c r="E2690" s="2">
        <v>105</v>
      </c>
      <c r="F2690" s="2">
        <v>2066.749</v>
      </c>
    </row>
    <row r="2691" spans="3:6" x14ac:dyDescent="0.25">
      <c r="C2691" s="2" t="s">
        <v>4542</v>
      </c>
      <c r="D2691" s="2" t="s">
        <v>204</v>
      </c>
      <c r="E2691" s="2">
        <v>105</v>
      </c>
      <c r="F2691" s="2">
        <v>2062.62</v>
      </c>
    </row>
    <row r="2692" spans="3:6" x14ac:dyDescent="0.25">
      <c r="C2692" s="2" t="s">
        <v>4543</v>
      </c>
      <c r="D2692" s="2" t="s">
        <v>204</v>
      </c>
      <c r="E2692" s="2">
        <v>24</v>
      </c>
      <c r="F2692" s="2">
        <v>473.3</v>
      </c>
    </row>
    <row r="2693" spans="3:6" x14ac:dyDescent="0.25">
      <c r="C2693" s="2" t="s">
        <v>4544</v>
      </c>
      <c r="D2693" s="2" t="s">
        <v>204</v>
      </c>
      <c r="E2693" s="2">
        <v>134</v>
      </c>
      <c r="F2693" s="2">
        <v>2636.909</v>
      </c>
    </row>
    <row r="2694" spans="3:6" x14ac:dyDescent="0.25">
      <c r="C2694" s="2" t="s">
        <v>4545</v>
      </c>
      <c r="D2694" s="2" t="s">
        <v>204</v>
      </c>
      <c r="E2694" s="2">
        <v>134</v>
      </c>
      <c r="F2694" s="2">
        <v>2680.449</v>
      </c>
    </row>
    <row r="2695" spans="3:6" x14ac:dyDescent="0.25">
      <c r="C2695" s="2" t="s">
        <v>4546</v>
      </c>
      <c r="D2695" s="2" t="s">
        <v>204</v>
      </c>
      <c r="E2695" s="2">
        <v>163</v>
      </c>
      <c r="F2695" s="2">
        <v>2922.45</v>
      </c>
    </row>
    <row r="2696" spans="3:6" x14ac:dyDescent="0.25">
      <c r="C2696" s="2" t="s">
        <v>4547</v>
      </c>
      <c r="D2696" s="2" t="s">
        <v>204</v>
      </c>
      <c r="E2696" s="2">
        <v>163</v>
      </c>
      <c r="F2696" s="2">
        <v>3128.209</v>
      </c>
    </row>
    <row r="2697" spans="3:6" x14ac:dyDescent="0.25">
      <c r="C2697" s="2" t="s">
        <v>4548</v>
      </c>
      <c r="D2697" s="2" t="s">
        <v>204</v>
      </c>
      <c r="E2697" s="2">
        <v>163</v>
      </c>
      <c r="F2697" s="2">
        <v>3163.9</v>
      </c>
    </row>
    <row r="2698" spans="3:6" x14ac:dyDescent="0.25">
      <c r="C2698" s="2" t="s">
        <v>4549</v>
      </c>
      <c r="D2698" s="2" t="s">
        <v>204</v>
      </c>
      <c r="E2698" s="2">
        <v>163</v>
      </c>
      <c r="F2698" s="2">
        <v>3176.839</v>
      </c>
    </row>
    <row r="2699" spans="3:6" x14ac:dyDescent="0.25">
      <c r="C2699" s="2" t="s">
        <v>4550</v>
      </c>
      <c r="D2699" s="2" t="s">
        <v>204</v>
      </c>
      <c r="E2699" s="2">
        <v>163</v>
      </c>
      <c r="F2699" s="2">
        <v>3207.249</v>
      </c>
    </row>
    <row r="2700" spans="3:6" x14ac:dyDescent="0.25">
      <c r="C2700" s="2" t="s">
        <v>4551</v>
      </c>
      <c r="D2700" s="2" t="s">
        <v>204</v>
      </c>
      <c r="E2700" s="2">
        <v>163</v>
      </c>
      <c r="F2700" s="2">
        <v>3115.479</v>
      </c>
    </row>
    <row r="2701" spans="3:6" x14ac:dyDescent="0.25">
      <c r="C2701" s="2" t="s">
        <v>4552</v>
      </c>
      <c r="D2701" s="2" t="s">
        <v>204</v>
      </c>
      <c r="E2701" s="2">
        <v>163</v>
      </c>
      <c r="F2701" s="2">
        <v>3180.65</v>
      </c>
    </row>
    <row r="2702" spans="3:6" x14ac:dyDescent="0.25">
      <c r="C2702" s="2" t="s">
        <v>4553</v>
      </c>
      <c r="D2702" s="2" t="s">
        <v>204</v>
      </c>
      <c r="E2702" s="2">
        <v>163</v>
      </c>
      <c r="F2702" s="2">
        <v>2757.408</v>
      </c>
    </row>
    <row r="2703" spans="3:6" x14ac:dyDescent="0.25">
      <c r="C2703" s="2" t="s">
        <v>4554</v>
      </c>
      <c r="D2703" s="2" t="s">
        <v>204</v>
      </c>
      <c r="E2703" s="2">
        <v>163</v>
      </c>
      <c r="F2703" s="2">
        <v>2848.58</v>
      </c>
    </row>
    <row r="2704" spans="3:6" x14ac:dyDescent="0.25">
      <c r="C2704" s="2" t="s">
        <v>4555</v>
      </c>
      <c r="D2704" s="2" t="s">
        <v>204</v>
      </c>
      <c r="E2704" s="2">
        <v>163</v>
      </c>
      <c r="F2704" s="2">
        <v>3110.438</v>
      </c>
    </row>
    <row r="2705" spans="3:6" x14ac:dyDescent="0.25">
      <c r="C2705" s="2" t="s">
        <v>4556</v>
      </c>
      <c r="D2705" s="2" t="s">
        <v>204</v>
      </c>
      <c r="E2705" s="2">
        <v>69</v>
      </c>
      <c r="F2705" s="2">
        <v>1545.3</v>
      </c>
    </row>
    <row r="2706" spans="3:6" x14ac:dyDescent="0.25">
      <c r="C2706" s="2" t="s">
        <v>4557</v>
      </c>
      <c r="D2706" s="2" t="s">
        <v>204</v>
      </c>
      <c r="E2706" s="2">
        <v>134</v>
      </c>
      <c r="F2706" s="2">
        <v>2659.14</v>
      </c>
    </row>
    <row r="2707" spans="3:6" x14ac:dyDescent="0.25">
      <c r="C2707" s="2" t="s">
        <v>4558</v>
      </c>
      <c r="D2707" s="2" t="s">
        <v>204</v>
      </c>
      <c r="E2707" s="2">
        <v>134</v>
      </c>
      <c r="F2707" s="2">
        <v>2649.06</v>
      </c>
    </row>
    <row r="2708" spans="3:6" x14ac:dyDescent="0.25">
      <c r="C2708" s="2" t="s">
        <v>4559</v>
      </c>
      <c r="D2708" s="2" t="s">
        <v>204</v>
      </c>
      <c r="E2708" s="2">
        <v>163</v>
      </c>
      <c r="F2708" s="2">
        <v>2844.57</v>
      </c>
    </row>
    <row r="2709" spans="3:6" x14ac:dyDescent="0.25">
      <c r="C2709" s="2" t="s">
        <v>4560</v>
      </c>
      <c r="D2709" s="2" t="s">
        <v>204</v>
      </c>
      <c r="E2709" s="2">
        <v>163</v>
      </c>
      <c r="F2709" s="2">
        <v>3085.968</v>
      </c>
    </row>
    <row r="2710" spans="3:6" x14ac:dyDescent="0.25">
      <c r="C2710" s="2" t="s">
        <v>4561</v>
      </c>
      <c r="D2710" s="2" t="s">
        <v>204</v>
      </c>
      <c r="E2710" s="2">
        <v>163</v>
      </c>
      <c r="F2710" s="2">
        <v>3117.668</v>
      </c>
    </row>
    <row r="2711" spans="3:6" x14ac:dyDescent="0.25">
      <c r="C2711" s="2" t="s">
        <v>4562</v>
      </c>
      <c r="D2711" s="2" t="s">
        <v>204</v>
      </c>
      <c r="E2711" s="2">
        <v>163</v>
      </c>
      <c r="F2711" s="2">
        <v>3078.62</v>
      </c>
    </row>
    <row r="2712" spans="3:6" x14ac:dyDescent="0.25">
      <c r="C2712" s="2" t="s">
        <v>4563</v>
      </c>
      <c r="D2712" s="2" t="s">
        <v>204</v>
      </c>
      <c r="E2712" s="2">
        <v>163</v>
      </c>
      <c r="F2712" s="2">
        <v>3109.288</v>
      </c>
    </row>
    <row r="2713" spans="3:6" x14ac:dyDescent="0.25">
      <c r="C2713" s="2" t="s">
        <v>4564</v>
      </c>
      <c r="D2713" s="2" t="s">
        <v>204</v>
      </c>
      <c r="E2713" s="2">
        <v>110</v>
      </c>
      <c r="F2713" s="2">
        <v>2036.45</v>
      </c>
    </row>
    <row r="2715" spans="2:7" x14ac:dyDescent="0.25">
      <c r="B2715" s="2" t="s">
        <v>2077</v>
      </c>
      <c r="C2715" s="2" t="s">
        <v>2078</v>
      </c>
      <c r="D2715" s="2" t="s">
        <v>204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2079</v>
      </c>
      <c r="D2716" s="2" t="s">
        <v>216</v>
      </c>
      <c r="E2716" s="2">
        <v>105</v>
      </c>
      <c r="F2716" s="2">
        <v>1848.46</v>
      </c>
    </row>
    <row r="2717" spans="3:6" x14ac:dyDescent="0.25">
      <c r="C2717" s="2" t="s">
        <v>2080</v>
      </c>
      <c r="D2717" s="2" t="s">
        <v>216</v>
      </c>
      <c r="E2717" s="2">
        <v>105</v>
      </c>
      <c r="F2717" s="2">
        <v>1946.74</v>
      </c>
    </row>
    <row r="2718" spans="3:6" x14ac:dyDescent="0.25">
      <c r="C2718" s="2" t="s">
        <v>2081</v>
      </c>
      <c r="D2718" s="2" t="s">
        <v>297</v>
      </c>
      <c r="E2718" s="2">
        <v>100</v>
      </c>
      <c r="F2718" s="2">
        <v>1944</v>
      </c>
    </row>
    <row r="2719" spans="3:6" x14ac:dyDescent="0.25">
      <c r="C2719" s="2" t="s">
        <v>2082</v>
      </c>
      <c r="D2719" s="2" t="s">
        <v>297</v>
      </c>
      <c r="E2719" s="2">
        <v>56</v>
      </c>
      <c r="F2719" s="2">
        <v>1056.22</v>
      </c>
    </row>
    <row r="2720" spans="3:6" x14ac:dyDescent="0.25">
      <c r="C2720" s="2" t="s">
        <v>2083</v>
      </c>
      <c r="D2720" s="2" t="s">
        <v>216</v>
      </c>
      <c r="E2720" s="2">
        <v>131</v>
      </c>
      <c r="F2720" s="2">
        <v>2496.22</v>
      </c>
    </row>
    <row r="2721" spans="3:6" x14ac:dyDescent="0.25">
      <c r="C2721" s="2" t="s">
        <v>2084</v>
      </c>
      <c r="D2721" s="2" t="s">
        <v>216</v>
      </c>
      <c r="E2721" s="2">
        <v>31</v>
      </c>
      <c r="F2721" s="2">
        <v>260.06</v>
      </c>
    </row>
    <row r="2723" spans="2:7" x14ac:dyDescent="0.25">
      <c r="B2723" s="2" t="s">
        <v>2077</v>
      </c>
      <c r="C2723" s="2" t="s">
        <v>4565</v>
      </c>
      <c r="D2723" s="2" t="s">
        <v>204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4566</v>
      </c>
      <c r="D2724" s="2" t="s">
        <v>204</v>
      </c>
      <c r="E2724" s="2">
        <v>56</v>
      </c>
      <c r="F2724" s="2">
        <v>1063.8</v>
      </c>
    </row>
    <row r="2725" spans="3:6" x14ac:dyDescent="0.25">
      <c r="C2725" s="2" t="s">
        <v>4567</v>
      </c>
      <c r="D2725" s="2" t="s">
        <v>297</v>
      </c>
      <c r="E2725" s="2">
        <v>105</v>
      </c>
      <c r="F2725" s="2">
        <v>1835</v>
      </c>
    </row>
    <row r="2726" spans="3:6" x14ac:dyDescent="0.25">
      <c r="C2726" s="2" t="s">
        <v>4568</v>
      </c>
      <c r="D2726" s="2" t="s">
        <v>297</v>
      </c>
      <c r="E2726" s="2">
        <v>150</v>
      </c>
      <c r="F2726" s="2">
        <v>2904.71</v>
      </c>
    </row>
    <row r="2727" spans="3:6" x14ac:dyDescent="0.25">
      <c r="C2727" s="2" t="s">
        <v>4569</v>
      </c>
      <c r="D2727" s="2" t="s">
        <v>297</v>
      </c>
      <c r="E2727" s="2">
        <v>6</v>
      </c>
      <c r="F2727" s="2">
        <v>76</v>
      </c>
    </row>
    <row r="2728" spans="3:6" x14ac:dyDescent="0.25">
      <c r="C2728" s="2" t="s">
        <v>4570</v>
      </c>
      <c r="D2728" s="2" t="s">
        <v>297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120</v>
      </c>
      <c r="C2732" s="2" t="s">
        <v>4571</v>
      </c>
      <c r="D2732" s="2" t="s">
        <v>42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4572</v>
      </c>
      <c r="D2733" s="2" t="s">
        <v>42</v>
      </c>
      <c r="E2733" s="2">
        <v>100</v>
      </c>
      <c r="F2733" s="2">
        <v>1987.38</v>
      </c>
    </row>
    <row r="2734" spans="3:6" x14ac:dyDescent="0.25">
      <c r="C2734" s="2" t="s">
        <v>4573</v>
      </c>
      <c r="D2734" s="2" t="s">
        <v>42</v>
      </c>
      <c r="E2734" s="2">
        <v>100</v>
      </c>
      <c r="F2734" s="2">
        <v>1953.37</v>
      </c>
    </row>
    <row r="2735" spans="3:6" x14ac:dyDescent="0.25">
      <c r="C2735" s="2" t="s">
        <v>4574</v>
      </c>
      <c r="D2735" s="2" t="s">
        <v>42</v>
      </c>
      <c r="E2735" s="2">
        <v>62</v>
      </c>
      <c r="F2735" s="2">
        <v>1487.34</v>
      </c>
    </row>
    <row r="2736" spans="3:6" x14ac:dyDescent="0.25">
      <c r="C2736" s="2" t="s">
        <v>4575</v>
      </c>
      <c r="D2736" s="2" t="s">
        <v>42</v>
      </c>
      <c r="E2736" s="2">
        <v>36</v>
      </c>
      <c r="F2736" s="2">
        <v>691.25</v>
      </c>
    </row>
    <row r="2737" spans="3:6" x14ac:dyDescent="0.25">
      <c r="C2737" s="2" t="s">
        <v>4576</v>
      </c>
      <c r="D2737" s="2" t="s">
        <v>42</v>
      </c>
      <c r="E2737" s="2">
        <v>39</v>
      </c>
      <c r="F2737" s="2">
        <v>724.94</v>
      </c>
    </row>
    <row r="2738" spans="3:6" x14ac:dyDescent="0.25">
      <c r="C2738" s="2" t="s">
        <v>4577</v>
      </c>
      <c r="D2738" s="2" t="s">
        <v>42</v>
      </c>
      <c r="E2738" s="2">
        <v>141</v>
      </c>
      <c r="F2738" s="2">
        <v>2918.579</v>
      </c>
    </row>
    <row r="2739" spans="3:6" x14ac:dyDescent="0.25">
      <c r="C2739" s="2" t="s">
        <v>4578</v>
      </c>
      <c r="D2739" s="2" t="s">
        <v>42</v>
      </c>
      <c r="E2739" s="2">
        <v>51</v>
      </c>
      <c r="F2739" s="2">
        <v>993.75</v>
      </c>
    </row>
    <row r="2740" spans="3:6" x14ac:dyDescent="0.25">
      <c r="C2740" s="2" t="s">
        <v>4579</v>
      </c>
      <c r="D2740" s="2" t="s">
        <v>42</v>
      </c>
      <c r="E2740" s="2">
        <v>10</v>
      </c>
      <c r="F2740" s="2">
        <v>199.42</v>
      </c>
    </row>
    <row r="2741" spans="3:6" x14ac:dyDescent="0.25">
      <c r="C2741" s="2" t="s">
        <v>4580</v>
      </c>
      <c r="D2741" s="2" t="s">
        <v>42</v>
      </c>
      <c r="E2741" s="2">
        <v>65</v>
      </c>
      <c r="F2741" s="2">
        <v>1248.279</v>
      </c>
    </row>
    <row r="2742" spans="3:6" x14ac:dyDescent="0.25">
      <c r="C2742" s="2" t="s">
        <v>4581</v>
      </c>
      <c r="D2742" s="2" t="s">
        <v>42</v>
      </c>
      <c r="E2742" s="2">
        <v>100</v>
      </c>
      <c r="F2742" s="2">
        <v>2516.6</v>
      </c>
    </row>
    <row r="2743" spans="3:6" x14ac:dyDescent="0.25">
      <c r="C2743" s="2" t="s">
        <v>4582</v>
      </c>
      <c r="D2743" s="2" t="s">
        <v>42</v>
      </c>
      <c r="E2743" s="2">
        <v>141</v>
      </c>
      <c r="F2743" s="2">
        <v>2807.47</v>
      </c>
    </row>
    <row r="2744" spans="3:6" x14ac:dyDescent="0.25">
      <c r="C2744" s="2" t="s">
        <v>4583</v>
      </c>
      <c r="D2744" s="2" t="s">
        <v>42</v>
      </c>
      <c r="E2744" s="2">
        <v>141</v>
      </c>
      <c r="F2744" s="2">
        <v>2796.43</v>
      </c>
    </row>
    <row r="2745" spans="3:6" x14ac:dyDescent="0.25">
      <c r="C2745" s="2" t="s">
        <v>4584</v>
      </c>
      <c r="D2745" s="2" t="s">
        <v>42</v>
      </c>
      <c r="E2745" s="2">
        <v>141</v>
      </c>
      <c r="F2745" s="2">
        <v>3144.189</v>
      </c>
    </row>
    <row r="2746" spans="3:6" x14ac:dyDescent="0.25">
      <c r="C2746" s="2" t="s">
        <v>4585</v>
      </c>
      <c r="D2746" s="2" t="s">
        <v>42</v>
      </c>
      <c r="E2746" s="2">
        <v>50</v>
      </c>
      <c r="F2746" s="2">
        <v>257.909</v>
      </c>
    </row>
    <row r="2747" spans="3:6" x14ac:dyDescent="0.25">
      <c r="C2747" s="2" t="s">
        <v>4586</v>
      </c>
      <c r="D2747" s="2" t="s">
        <v>42</v>
      </c>
      <c r="E2747" s="2">
        <v>141</v>
      </c>
      <c r="F2747" s="2">
        <v>2741.689</v>
      </c>
    </row>
    <row r="2748" spans="3:6" x14ac:dyDescent="0.25">
      <c r="C2748" s="2" t="s">
        <v>4587</v>
      </c>
      <c r="D2748" s="2" t="s">
        <v>42</v>
      </c>
      <c r="E2748" s="2">
        <v>141</v>
      </c>
      <c r="F2748" s="2">
        <v>2795.457</v>
      </c>
    </row>
    <row r="2749" spans="3:6" x14ac:dyDescent="0.25">
      <c r="C2749" s="2" t="s">
        <v>4588</v>
      </c>
      <c r="D2749" s="2" t="s">
        <v>42</v>
      </c>
      <c r="E2749" s="2">
        <v>123</v>
      </c>
      <c r="F2749" s="2">
        <v>2382.47</v>
      </c>
    </row>
    <row r="2750" spans="3:6" x14ac:dyDescent="0.25">
      <c r="C2750" s="2" t="s">
        <v>4589</v>
      </c>
      <c r="D2750" s="2" t="s">
        <v>42</v>
      </c>
      <c r="E2750" s="2">
        <v>123</v>
      </c>
      <c r="F2750" s="2">
        <v>2572.54</v>
      </c>
    </row>
    <row r="2751" spans="3:6" x14ac:dyDescent="0.25">
      <c r="C2751" s="2" t="s">
        <v>4590</v>
      </c>
      <c r="D2751" s="2" t="s">
        <v>42</v>
      </c>
      <c r="E2751" s="2">
        <v>45</v>
      </c>
      <c r="F2751" s="2">
        <v>223.37</v>
      </c>
    </row>
    <row r="2752" spans="3:6" x14ac:dyDescent="0.25">
      <c r="C2752" s="2" t="s">
        <v>4591</v>
      </c>
      <c r="D2752" s="2" t="s">
        <v>42</v>
      </c>
      <c r="E2752" s="2">
        <v>129</v>
      </c>
      <c r="F2752" s="2">
        <v>2369.203</v>
      </c>
    </row>
    <row r="2753" spans="3:6" x14ac:dyDescent="0.25">
      <c r="C2753" s="2" t="s">
        <v>4592</v>
      </c>
      <c r="D2753" s="2" t="s">
        <v>42</v>
      </c>
      <c r="E2753" s="2">
        <v>123</v>
      </c>
      <c r="F2753" s="2">
        <v>2552.319</v>
      </c>
    </row>
    <row r="2754" spans="3:6" x14ac:dyDescent="0.25">
      <c r="C2754" s="2" t="s">
        <v>4593</v>
      </c>
      <c r="D2754" s="2" t="s">
        <v>42</v>
      </c>
      <c r="E2754" s="2">
        <v>141</v>
      </c>
      <c r="F2754" s="2">
        <v>3171.06</v>
      </c>
    </row>
    <row r="2755" spans="3:6" x14ac:dyDescent="0.25">
      <c r="C2755" s="2" t="s">
        <v>4594</v>
      </c>
      <c r="D2755" s="2" t="s">
        <v>42</v>
      </c>
      <c r="E2755" s="2">
        <v>13</v>
      </c>
      <c r="F2755" s="2">
        <v>271.38</v>
      </c>
    </row>
    <row r="2756" spans="3:6" x14ac:dyDescent="0.25">
      <c r="C2756" s="2" t="s">
        <v>4595</v>
      </c>
      <c r="D2756" s="2" t="s">
        <v>42</v>
      </c>
      <c r="E2756" s="2">
        <v>128</v>
      </c>
      <c r="F2756" s="2">
        <v>2634.759</v>
      </c>
    </row>
    <row r="2757" spans="3:6" x14ac:dyDescent="0.25">
      <c r="C2757" s="2" t="s">
        <v>4596</v>
      </c>
      <c r="D2757" s="2" t="s">
        <v>42</v>
      </c>
      <c r="E2757" s="2">
        <v>21</v>
      </c>
      <c r="F2757" s="2">
        <v>417.07</v>
      </c>
    </row>
    <row r="2758" spans="3:6" x14ac:dyDescent="0.25">
      <c r="C2758" s="2" t="s">
        <v>4597</v>
      </c>
      <c r="D2758" s="2" t="s">
        <v>42</v>
      </c>
      <c r="E2758" s="2">
        <v>79</v>
      </c>
      <c r="F2758" s="2">
        <v>1528.359</v>
      </c>
    </row>
    <row r="2759" spans="3:6" x14ac:dyDescent="0.25">
      <c r="C2759" s="2" t="s">
        <v>4598</v>
      </c>
      <c r="D2759" s="2" t="s">
        <v>42</v>
      </c>
      <c r="E2759" s="2">
        <v>54</v>
      </c>
      <c r="F2759" s="2">
        <v>1163.85</v>
      </c>
    </row>
    <row r="2760" spans="3:6" x14ac:dyDescent="0.25">
      <c r="C2760" s="2" t="s">
        <v>4599</v>
      </c>
      <c r="D2760" s="2" t="s">
        <v>42</v>
      </c>
      <c r="E2760" s="2">
        <v>39</v>
      </c>
      <c r="F2760" s="2">
        <v>792.911</v>
      </c>
    </row>
    <row r="2761" spans="3:6" x14ac:dyDescent="0.25">
      <c r="C2761" s="2" t="s">
        <v>4600</v>
      </c>
      <c r="D2761" s="2" t="s">
        <v>42</v>
      </c>
      <c r="E2761" s="2">
        <v>45</v>
      </c>
      <c r="F2761" s="2">
        <v>223.56</v>
      </c>
    </row>
    <row r="2762" spans="3:6" x14ac:dyDescent="0.25">
      <c r="C2762" s="2" t="s">
        <v>4601</v>
      </c>
      <c r="D2762" s="2" t="s">
        <v>42</v>
      </c>
      <c r="E2762" s="2">
        <v>129</v>
      </c>
      <c r="F2762" s="2">
        <v>2413.65</v>
      </c>
    </row>
    <row r="2763" spans="3:6" x14ac:dyDescent="0.25">
      <c r="C2763" s="2" t="s">
        <v>4602</v>
      </c>
      <c r="D2763" s="2" t="s">
        <v>42</v>
      </c>
      <c r="E2763" s="2">
        <v>12</v>
      </c>
      <c r="F2763" s="2">
        <v>235.59</v>
      </c>
    </row>
    <row r="2764" spans="3:6" x14ac:dyDescent="0.25">
      <c r="C2764" s="2" t="s">
        <v>4603</v>
      </c>
      <c r="D2764" s="2" t="s">
        <v>42</v>
      </c>
      <c r="E2764" s="2">
        <v>102</v>
      </c>
      <c r="F2764" s="2">
        <v>1887.582</v>
      </c>
    </row>
    <row r="2765" spans="3:6" x14ac:dyDescent="0.25">
      <c r="C2765" s="2" t="s">
        <v>4604</v>
      </c>
      <c r="D2765" s="2" t="s">
        <v>42</v>
      </c>
      <c r="E2765" s="2">
        <v>18</v>
      </c>
      <c r="F2765" s="2">
        <v>364.13</v>
      </c>
    </row>
    <row r="2766" spans="3:6" x14ac:dyDescent="0.25">
      <c r="C2766" s="2" t="s">
        <v>4605</v>
      </c>
      <c r="D2766" s="2" t="s">
        <v>42</v>
      </c>
      <c r="E2766" s="2">
        <v>100</v>
      </c>
      <c r="F2766" s="2">
        <v>2261.48</v>
      </c>
    </row>
    <row r="2767" spans="3:6" x14ac:dyDescent="0.25">
      <c r="C2767" s="2" t="s">
        <v>4606</v>
      </c>
      <c r="D2767" s="2" t="s">
        <v>42</v>
      </c>
      <c r="E2767" s="2">
        <v>60</v>
      </c>
      <c r="F2767" s="2">
        <v>296.32</v>
      </c>
    </row>
    <row r="2768" spans="3:6" x14ac:dyDescent="0.25">
      <c r="C2768" s="2" t="s">
        <v>4607</v>
      </c>
      <c r="D2768" s="2" t="s">
        <v>42</v>
      </c>
      <c r="E2768" s="2">
        <v>83</v>
      </c>
      <c r="F2768" s="2">
        <v>1752.499</v>
      </c>
    </row>
    <row r="2769" spans="3:6" x14ac:dyDescent="0.25">
      <c r="C2769" s="2" t="s">
        <v>4608</v>
      </c>
      <c r="D2769" s="2" t="s">
        <v>42</v>
      </c>
      <c r="E2769" s="2">
        <v>23</v>
      </c>
      <c r="F2769" s="2">
        <v>470.78</v>
      </c>
    </row>
    <row r="2770" spans="3:6" x14ac:dyDescent="0.25">
      <c r="C2770" s="2" t="s">
        <v>4609</v>
      </c>
      <c r="D2770" s="2" t="s">
        <v>42</v>
      </c>
      <c r="E2770" s="2">
        <v>18</v>
      </c>
      <c r="F2770" s="2">
        <v>365.08</v>
      </c>
    </row>
    <row r="2771" spans="3:6" x14ac:dyDescent="0.25">
      <c r="C2771" s="2" t="s">
        <v>4610</v>
      </c>
      <c r="D2771" s="2" t="s">
        <v>42</v>
      </c>
      <c r="E2771" s="2">
        <v>63</v>
      </c>
      <c r="F2771" s="2">
        <v>1174.02</v>
      </c>
    </row>
    <row r="2772" spans="3:6" x14ac:dyDescent="0.25">
      <c r="C2772" s="2" t="s">
        <v>4611</v>
      </c>
      <c r="D2772" s="2" t="s">
        <v>42</v>
      </c>
      <c r="E2772" s="2">
        <v>100</v>
      </c>
      <c r="F2772" s="2">
        <v>1910.235</v>
      </c>
    </row>
    <row r="2773" spans="3:6" x14ac:dyDescent="0.25">
      <c r="C2773" s="2" t="s">
        <v>4612</v>
      </c>
      <c r="D2773" s="2" t="s">
        <v>42</v>
      </c>
      <c r="E2773" s="2">
        <v>77</v>
      </c>
      <c r="F2773" s="2">
        <v>1596.39</v>
      </c>
    </row>
    <row r="2774" spans="3:6" x14ac:dyDescent="0.25">
      <c r="C2774" s="2" t="s">
        <v>4613</v>
      </c>
      <c r="D2774" s="2" t="s">
        <v>42</v>
      </c>
      <c r="E2774" s="2">
        <v>82</v>
      </c>
      <c r="F2774" s="2">
        <v>1578.47</v>
      </c>
    </row>
    <row r="2775" spans="3:6" x14ac:dyDescent="0.25">
      <c r="C2775" s="2" t="s">
        <v>4614</v>
      </c>
      <c r="D2775" s="2" t="s">
        <v>42</v>
      </c>
      <c r="E2775" s="2">
        <v>78</v>
      </c>
      <c r="F2775" s="2">
        <v>1576.28</v>
      </c>
    </row>
    <row r="2776" spans="3:6" x14ac:dyDescent="0.25">
      <c r="C2776" s="2" t="s">
        <v>4615</v>
      </c>
      <c r="D2776" s="2" t="s">
        <v>42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2023</v>
      </c>
      <c r="C2778" s="2" t="s">
        <v>4616</v>
      </c>
      <c r="D2778" s="2" t="s">
        <v>20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4617</v>
      </c>
      <c r="D2779" s="2" t="s">
        <v>20</v>
      </c>
      <c r="E2779" s="2">
        <v>105</v>
      </c>
      <c r="F2779" s="2">
        <v>2074.41</v>
      </c>
    </row>
    <row r="2780" spans="3:6" x14ac:dyDescent="0.25">
      <c r="C2780" s="2" t="s">
        <v>4618</v>
      </c>
      <c r="D2780" s="2" t="s">
        <v>20</v>
      </c>
      <c r="E2780" s="2">
        <v>312</v>
      </c>
      <c r="F2780" s="2">
        <v>6221.748</v>
      </c>
    </row>
    <row r="2781" spans="3:6" x14ac:dyDescent="0.25">
      <c r="C2781" s="2" t="s">
        <v>4619</v>
      </c>
      <c r="D2781" s="2" t="s">
        <v>20</v>
      </c>
      <c r="E2781" s="2">
        <v>208</v>
      </c>
      <c r="F2781" s="2">
        <v>3831.286</v>
      </c>
    </row>
    <row r="2782" spans="3:6" x14ac:dyDescent="0.25">
      <c r="C2782" s="2" t="s">
        <v>4620</v>
      </c>
      <c r="D2782" s="2" t="s">
        <v>20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2375</v>
      </c>
      <c r="C2786" s="2" t="s">
        <v>4621</v>
      </c>
      <c r="D2786" s="2" t="s">
        <v>342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4622</v>
      </c>
      <c r="D2787" s="2" t="s">
        <v>342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1289</v>
      </c>
      <c r="C2789" s="2" t="s">
        <v>4623</v>
      </c>
      <c r="D2789" s="2" t="s">
        <v>9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4624</v>
      </c>
      <c r="D2790" s="2" t="s">
        <v>9</v>
      </c>
      <c r="E2790" s="2">
        <v>47</v>
      </c>
      <c r="F2790" s="2">
        <v>930.769</v>
      </c>
    </row>
    <row r="2791" spans="3:6" x14ac:dyDescent="0.25">
      <c r="C2791" s="2" t="s">
        <v>4625</v>
      </c>
      <c r="D2791" s="2" t="s">
        <v>9</v>
      </c>
      <c r="E2791" s="2">
        <v>24</v>
      </c>
      <c r="F2791" s="2">
        <v>420.68</v>
      </c>
    </row>
    <row r="2792" spans="3:6" x14ac:dyDescent="0.25">
      <c r="C2792" s="2" t="s">
        <v>4626</v>
      </c>
      <c r="D2792" s="2" t="s">
        <v>9</v>
      </c>
      <c r="E2792" s="2">
        <v>21</v>
      </c>
      <c r="F2792" s="2">
        <v>356.36</v>
      </c>
    </row>
    <row r="2793" spans="3:6" x14ac:dyDescent="0.25">
      <c r="C2793" s="2" t="s">
        <v>4627</v>
      </c>
      <c r="D2793" s="2" t="s">
        <v>9</v>
      </c>
      <c r="E2793" s="2">
        <v>102</v>
      </c>
      <c r="F2793" s="2">
        <v>1983.91</v>
      </c>
    </row>
    <row r="2794" spans="3:6" x14ac:dyDescent="0.25">
      <c r="C2794" s="2" t="s">
        <v>4628</v>
      </c>
      <c r="D2794" s="2" t="s">
        <v>9</v>
      </c>
      <c r="E2794" s="2">
        <v>105</v>
      </c>
      <c r="F2794" s="2">
        <v>430.8</v>
      </c>
    </row>
    <row r="2795" spans="3:6" x14ac:dyDescent="0.25">
      <c r="C2795" s="2" t="s">
        <v>4629</v>
      </c>
      <c r="D2795" s="2" t="s">
        <v>9</v>
      </c>
      <c r="E2795" s="2">
        <v>142</v>
      </c>
      <c r="F2795" s="2">
        <v>2312.3</v>
      </c>
    </row>
    <row r="2796" spans="3:6" x14ac:dyDescent="0.25">
      <c r="C2796" s="2" t="s">
        <v>4630</v>
      </c>
      <c r="D2796" s="2" t="s">
        <v>9</v>
      </c>
      <c r="E2796" s="2">
        <v>141</v>
      </c>
      <c r="F2796" s="2">
        <v>2946.94</v>
      </c>
    </row>
    <row r="2797" spans="3:6" x14ac:dyDescent="0.25">
      <c r="C2797" s="2" t="s">
        <v>4631</v>
      </c>
      <c r="D2797" s="2" t="s">
        <v>9</v>
      </c>
      <c r="E2797" s="2">
        <v>109</v>
      </c>
      <c r="F2797" s="2">
        <v>1094.947</v>
      </c>
    </row>
    <row r="2798" spans="3:6" x14ac:dyDescent="0.25">
      <c r="C2798" s="2" t="s">
        <v>4632</v>
      </c>
      <c r="D2798" s="2" t="s">
        <v>9</v>
      </c>
      <c r="E2798" s="2">
        <v>81</v>
      </c>
      <c r="F2798" s="2">
        <v>2291.264</v>
      </c>
    </row>
    <row r="2799" spans="3:6" x14ac:dyDescent="0.25">
      <c r="C2799" s="2" t="s">
        <v>4633</v>
      </c>
      <c r="D2799" s="2" t="s">
        <v>9</v>
      </c>
      <c r="E2799" s="2">
        <v>101</v>
      </c>
      <c r="F2799" s="2">
        <v>2100.019</v>
      </c>
    </row>
    <row r="2800" spans="3:6" x14ac:dyDescent="0.25">
      <c r="C2800" s="2" t="s">
        <v>4634</v>
      </c>
      <c r="D2800" s="2" t="s">
        <v>9</v>
      </c>
      <c r="E2800" s="2">
        <v>130</v>
      </c>
      <c r="F2800" s="2">
        <v>756.998</v>
      </c>
    </row>
    <row r="2801" spans="3:6" x14ac:dyDescent="0.25">
      <c r="C2801" s="2" t="s">
        <v>4635</v>
      </c>
      <c r="D2801" s="2" t="s">
        <v>9</v>
      </c>
      <c r="E2801" s="2">
        <v>98</v>
      </c>
      <c r="F2801" s="2">
        <v>1716.824</v>
      </c>
    </row>
    <row r="2802" spans="3:6" x14ac:dyDescent="0.25">
      <c r="C2802" s="2" t="s">
        <v>4636</v>
      </c>
      <c r="D2802" s="2" t="s">
        <v>9</v>
      </c>
      <c r="E2802" s="2">
        <v>102</v>
      </c>
      <c r="F2802" s="2">
        <v>2053.9</v>
      </c>
    </row>
    <row r="2803" spans="3:6" x14ac:dyDescent="0.25">
      <c r="C2803" s="2" t="s">
        <v>4637</v>
      </c>
      <c r="D2803" s="2" t="s">
        <v>9</v>
      </c>
      <c r="E2803" s="2">
        <v>141</v>
      </c>
      <c r="F2803" s="2">
        <v>2881.28</v>
      </c>
    </row>
    <row r="2804" spans="3:6" x14ac:dyDescent="0.25">
      <c r="C2804" s="2" t="s">
        <v>4638</v>
      </c>
      <c r="D2804" s="2" t="s">
        <v>9</v>
      </c>
      <c r="E2804" s="2">
        <v>141</v>
      </c>
      <c r="F2804" s="2">
        <v>2845.84</v>
      </c>
    </row>
    <row r="2805" spans="3:6" x14ac:dyDescent="0.25">
      <c r="C2805" s="2" t="s">
        <v>4639</v>
      </c>
      <c r="D2805" s="2" t="s">
        <v>9</v>
      </c>
      <c r="E2805" s="2">
        <v>49</v>
      </c>
      <c r="F2805" s="2">
        <v>977.44</v>
      </c>
    </row>
    <row r="2806" spans="3:6" x14ac:dyDescent="0.25">
      <c r="C2806" s="2" t="s">
        <v>4640</v>
      </c>
      <c r="D2806" s="2" t="s">
        <v>9</v>
      </c>
      <c r="E2806" s="2">
        <v>46</v>
      </c>
      <c r="F2806" s="2">
        <v>910.149</v>
      </c>
    </row>
    <row r="2807" spans="3:6" x14ac:dyDescent="0.25">
      <c r="C2807" s="2" t="s">
        <v>4641</v>
      </c>
      <c r="D2807" s="2" t="s">
        <v>9</v>
      </c>
      <c r="E2807" s="2">
        <v>32</v>
      </c>
      <c r="F2807" s="2">
        <v>563.217</v>
      </c>
    </row>
    <row r="2808" spans="3:6" x14ac:dyDescent="0.25">
      <c r="C2808" s="2" t="s">
        <v>4642</v>
      </c>
      <c r="D2808" s="2" t="s">
        <v>9</v>
      </c>
      <c r="E2808" s="2">
        <v>141</v>
      </c>
      <c r="F2808" s="2">
        <v>2865.08</v>
      </c>
    </row>
    <row r="2809" spans="3:6" x14ac:dyDescent="0.25">
      <c r="C2809" s="2" t="s">
        <v>4643</v>
      </c>
      <c r="D2809" s="2" t="s">
        <v>9</v>
      </c>
      <c r="E2809" s="2">
        <v>141</v>
      </c>
      <c r="F2809" s="2">
        <v>2798.04</v>
      </c>
    </row>
    <row r="2810" spans="3:6" x14ac:dyDescent="0.25">
      <c r="C2810" s="2" t="s">
        <v>4644</v>
      </c>
      <c r="D2810" s="2" t="s">
        <v>9</v>
      </c>
      <c r="E2810" s="2">
        <v>141</v>
      </c>
      <c r="F2810" s="2">
        <v>2690.39</v>
      </c>
    </row>
    <row r="2811" spans="3:6" x14ac:dyDescent="0.25">
      <c r="C2811" s="2" t="s">
        <v>4645</v>
      </c>
      <c r="D2811" s="2" t="s">
        <v>9</v>
      </c>
      <c r="E2811" s="2">
        <v>52</v>
      </c>
      <c r="F2811" s="2">
        <v>943.93</v>
      </c>
    </row>
    <row r="2812" spans="3:6" x14ac:dyDescent="0.25">
      <c r="C2812" s="2" t="s">
        <v>4646</v>
      </c>
      <c r="D2812" s="2" t="s">
        <v>9</v>
      </c>
      <c r="E2812" s="2">
        <v>50</v>
      </c>
      <c r="F2812" s="2">
        <v>846.78</v>
      </c>
    </row>
    <row r="2813" spans="3:6" x14ac:dyDescent="0.25">
      <c r="C2813" s="2" t="s">
        <v>4647</v>
      </c>
      <c r="D2813" s="2" t="s">
        <v>9</v>
      </c>
      <c r="E2813" s="2">
        <v>102</v>
      </c>
      <c r="F2813" s="2">
        <v>2062.01</v>
      </c>
    </row>
    <row r="2814" spans="3:6" x14ac:dyDescent="0.25">
      <c r="C2814" s="2" t="s">
        <v>4648</v>
      </c>
      <c r="D2814" s="2" t="s">
        <v>9</v>
      </c>
      <c r="E2814" s="2">
        <v>39</v>
      </c>
      <c r="F2814" s="2">
        <v>703.25</v>
      </c>
    </row>
    <row r="2815" spans="3:6" x14ac:dyDescent="0.25">
      <c r="C2815" s="2" t="s">
        <v>4649</v>
      </c>
      <c r="D2815" s="2" t="s">
        <v>9</v>
      </c>
      <c r="E2815" s="2">
        <v>102</v>
      </c>
      <c r="F2815" s="2">
        <v>1916.07</v>
      </c>
    </row>
    <row r="2816" spans="3:6" x14ac:dyDescent="0.25">
      <c r="C2816" s="2" t="s">
        <v>4650</v>
      </c>
      <c r="D2816" s="2" t="s">
        <v>9</v>
      </c>
      <c r="E2816" s="2">
        <v>39</v>
      </c>
      <c r="F2816" s="2">
        <v>829.91</v>
      </c>
    </row>
    <row r="2817" spans="3:6" x14ac:dyDescent="0.25">
      <c r="C2817" s="2" t="s">
        <v>4651</v>
      </c>
      <c r="D2817" s="2" t="s">
        <v>9</v>
      </c>
      <c r="E2817" s="2">
        <v>102</v>
      </c>
      <c r="F2817" s="2">
        <v>1902.4</v>
      </c>
    </row>
    <row r="2818" spans="3:6" x14ac:dyDescent="0.25">
      <c r="C2818" s="2" t="s">
        <v>4652</v>
      </c>
      <c r="D2818" s="2" t="s">
        <v>9</v>
      </c>
      <c r="E2818" s="2">
        <v>21</v>
      </c>
      <c r="F2818" s="2">
        <v>424.12</v>
      </c>
    </row>
    <row r="2819" spans="3:6" x14ac:dyDescent="0.25">
      <c r="C2819" s="2" t="s">
        <v>4653</v>
      </c>
      <c r="D2819" s="2" t="s">
        <v>9</v>
      </c>
      <c r="E2819" s="2">
        <v>22</v>
      </c>
      <c r="F2819" s="2">
        <v>494.21</v>
      </c>
    </row>
    <row r="2820" spans="3:6" x14ac:dyDescent="0.25">
      <c r="C2820" s="2" t="s">
        <v>4654</v>
      </c>
      <c r="D2820" s="2" t="s">
        <v>9</v>
      </c>
      <c r="E2820" s="2">
        <v>101</v>
      </c>
      <c r="F2820" s="2">
        <v>2023.377</v>
      </c>
    </row>
    <row r="2821" spans="3:6" x14ac:dyDescent="0.25">
      <c r="C2821" s="2" t="s">
        <v>4655</v>
      </c>
      <c r="D2821" s="2" t="s">
        <v>9</v>
      </c>
      <c r="E2821" s="2">
        <v>46</v>
      </c>
      <c r="F2821" s="2">
        <v>201.72</v>
      </c>
    </row>
    <row r="2822" spans="3:6" x14ac:dyDescent="0.25">
      <c r="C2822" s="2" t="s">
        <v>4656</v>
      </c>
      <c r="D2822" s="2" t="s">
        <v>9</v>
      </c>
      <c r="E2822" s="2">
        <v>102</v>
      </c>
      <c r="F2822" s="2">
        <v>2141.54</v>
      </c>
    </row>
    <row r="2823" spans="3:6" x14ac:dyDescent="0.25">
      <c r="C2823" s="2" t="s">
        <v>4657</v>
      </c>
      <c r="D2823" s="2" t="s">
        <v>9</v>
      </c>
      <c r="E2823" s="2">
        <v>102</v>
      </c>
      <c r="F2823" s="2">
        <v>1975.28</v>
      </c>
    </row>
    <row r="2824" spans="3:6" x14ac:dyDescent="0.25">
      <c r="C2824" s="2" t="s">
        <v>4658</v>
      </c>
      <c r="D2824" s="2" t="s">
        <v>9</v>
      </c>
      <c r="E2824" s="2">
        <v>3</v>
      </c>
      <c r="F2824" s="2">
        <v>54.04</v>
      </c>
    </row>
    <row r="2825" spans="3:6" x14ac:dyDescent="0.25">
      <c r="C2825" s="2" t="s">
        <v>4659</v>
      </c>
      <c r="D2825" s="2" t="s">
        <v>9</v>
      </c>
      <c r="E2825" s="2">
        <v>9</v>
      </c>
      <c r="F2825" s="2">
        <v>173.74</v>
      </c>
    </row>
    <row r="2826" spans="3:6" x14ac:dyDescent="0.25">
      <c r="C2826" s="2" t="s">
        <v>4660</v>
      </c>
      <c r="D2826" s="2" t="s">
        <v>9</v>
      </c>
      <c r="E2826" s="2">
        <v>17</v>
      </c>
      <c r="F2826" s="2">
        <v>258.9</v>
      </c>
    </row>
    <row r="2827" spans="3:6" x14ac:dyDescent="0.25">
      <c r="C2827" s="2" t="s">
        <v>4661</v>
      </c>
      <c r="D2827" s="2" t="s">
        <v>9</v>
      </c>
      <c r="E2827" s="2">
        <v>43</v>
      </c>
      <c r="F2827" s="2">
        <v>837.35</v>
      </c>
    </row>
    <row r="2828" spans="3:4" x14ac:dyDescent="0.25">
      <c r="C2828" s="2" t="s">
        <v>4662</v>
      </c>
      <c r="D2828" s="2" t="s">
        <v>9</v>
      </c>
    </row>
    <row r="2829" spans="3:6" x14ac:dyDescent="0.25">
      <c r="C2829" s="2" t="s">
        <v>4663</v>
      </c>
      <c r="D2829" s="2" t="s">
        <v>9</v>
      </c>
      <c r="E2829" s="2">
        <v>45</v>
      </c>
      <c r="F2829" s="2">
        <v>190.769</v>
      </c>
    </row>
    <row r="2830" spans="3:6" x14ac:dyDescent="0.25">
      <c r="C2830" s="2" t="s">
        <v>4664</v>
      </c>
      <c r="D2830" s="2" t="s">
        <v>9</v>
      </c>
      <c r="E2830" s="2">
        <v>141</v>
      </c>
      <c r="F2830" s="2">
        <v>2951.37</v>
      </c>
    </row>
    <row r="2831" spans="3:6" x14ac:dyDescent="0.25">
      <c r="C2831" s="2" t="s">
        <v>4665</v>
      </c>
      <c r="D2831" s="2" t="s">
        <v>9</v>
      </c>
      <c r="E2831" s="2">
        <v>61</v>
      </c>
      <c r="F2831" s="2">
        <v>1247.2</v>
      </c>
    </row>
    <row r="2832" spans="3:6" x14ac:dyDescent="0.25">
      <c r="C2832" s="2" t="s">
        <v>4666</v>
      </c>
      <c r="D2832" s="2" t="s">
        <v>9</v>
      </c>
      <c r="E2832" s="2">
        <v>42</v>
      </c>
      <c r="F2832" s="2">
        <v>875.33</v>
      </c>
    </row>
    <row r="2833" spans="3:6" x14ac:dyDescent="0.25">
      <c r="C2833" s="2" t="s">
        <v>4667</v>
      </c>
      <c r="D2833" s="2" t="s">
        <v>9</v>
      </c>
      <c r="E2833" s="2">
        <v>38</v>
      </c>
      <c r="F2833" s="2">
        <v>754.48</v>
      </c>
    </row>
    <row r="2834" spans="3:6" x14ac:dyDescent="0.25">
      <c r="C2834" s="2" t="s">
        <v>4668</v>
      </c>
      <c r="D2834" s="2" t="s">
        <v>9</v>
      </c>
      <c r="E2834" s="2">
        <v>80</v>
      </c>
      <c r="F2834" s="2">
        <v>1429.219</v>
      </c>
    </row>
    <row r="2835" spans="3:6" x14ac:dyDescent="0.25">
      <c r="C2835" s="2" t="s">
        <v>4669</v>
      </c>
      <c r="D2835" s="2" t="s">
        <v>9</v>
      </c>
      <c r="E2835" s="2">
        <v>25</v>
      </c>
      <c r="F2835" s="2">
        <v>469.98</v>
      </c>
    </row>
    <row r="2836" spans="3:6" x14ac:dyDescent="0.25">
      <c r="C2836" s="2" t="s">
        <v>4670</v>
      </c>
      <c r="D2836" s="2" t="s">
        <v>9</v>
      </c>
      <c r="E2836" s="2">
        <v>14</v>
      </c>
      <c r="F2836" s="2">
        <v>289.52</v>
      </c>
    </row>
    <row r="2837" spans="3:6" x14ac:dyDescent="0.25">
      <c r="C2837" s="2" t="s">
        <v>4671</v>
      </c>
      <c r="D2837" s="2" t="s">
        <v>9</v>
      </c>
      <c r="E2837" s="2">
        <v>22</v>
      </c>
      <c r="F2837" s="2">
        <v>456.89</v>
      </c>
    </row>
    <row r="2838" spans="3:6" x14ac:dyDescent="0.25">
      <c r="C2838" s="2" t="s">
        <v>4672</v>
      </c>
      <c r="D2838" s="2" t="s">
        <v>9</v>
      </c>
      <c r="E2838" s="2">
        <v>68</v>
      </c>
      <c r="F2838" s="2">
        <v>1374.33</v>
      </c>
    </row>
    <row r="2839" spans="3:6" x14ac:dyDescent="0.25">
      <c r="C2839" s="2" t="s">
        <v>4673</v>
      </c>
      <c r="D2839" s="2" t="s">
        <v>9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10</v>
      </c>
      <c r="C2841" s="2" t="s">
        <v>4674</v>
      </c>
      <c r="D2841" s="2" t="s">
        <v>12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4675</v>
      </c>
      <c r="D2842" s="2" t="s">
        <v>12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202</v>
      </c>
      <c r="C2844" s="2" t="s">
        <v>4676</v>
      </c>
      <c r="D2844" s="2" t="s">
        <v>204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2077</v>
      </c>
      <c r="C2846" s="2" t="s">
        <v>4677</v>
      </c>
      <c r="D2846" s="2" t="s">
        <v>204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212</v>
      </c>
      <c r="C2848" s="2" t="s">
        <v>4678</v>
      </c>
      <c r="D2848" s="2" t="s">
        <v>204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4679</v>
      </c>
      <c r="D2849" s="2" t="s">
        <v>204</v>
      </c>
      <c r="E2849" s="2">
        <v>100</v>
      </c>
      <c r="F2849" s="2">
        <v>1719.367</v>
      </c>
    </row>
    <row r="2850" spans="3:6" x14ac:dyDescent="0.25">
      <c r="C2850" s="2" t="s">
        <v>4680</v>
      </c>
      <c r="D2850" s="2" t="s">
        <v>214</v>
      </c>
      <c r="E2850" s="2">
        <v>100</v>
      </c>
      <c r="F2850" s="2">
        <v>1990.73</v>
      </c>
    </row>
    <row r="2851" spans="3:6" x14ac:dyDescent="0.25">
      <c r="C2851" s="2" t="s">
        <v>4681</v>
      </c>
      <c r="D2851" s="2" t="s">
        <v>214</v>
      </c>
      <c r="E2851" s="2">
        <v>56</v>
      </c>
      <c r="F2851" s="2">
        <v>1055.729</v>
      </c>
    </row>
    <row r="2852" spans="3:6" x14ac:dyDescent="0.25">
      <c r="C2852" s="2" t="s">
        <v>4682</v>
      </c>
      <c r="D2852" s="2" t="s">
        <v>214</v>
      </c>
      <c r="E2852" s="2">
        <v>105</v>
      </c>
      <c r="F2852" s="2">
        <v>2016.14</v>
      </c>
    </row>
    <row r="2853" spans="3:6" x14ac:dyDescent="0.25">
      <c r="C2853" s="2" t="s">
        <v>4683</v>
      </c>
      <c r="D2853" s="2" t="s">
        <v>216</v>
      </c>
      <c r="E2853" s="2">
        <v>134</v>
      </c>
      <c r="F2853" s="2">
        <v>2746.87</v>
      </c>
    </row>
    <row r="2854" spans="3:6" x14ac:dyDescent="0.25">
      <c r="C2854" s="2" t="s">
        <v>4684</v>
      </c>
      <c r="D2854" s="2" t="s">
        <v>216</v>
      </c>
      <c r="E2854" s="2">
        <v>134</v>
      </c>
      <c r="F2854" s="2">
        <v>2809.65</v>
      </c>
    </row>
    <row r="2855" spans="3:6" x14ac:dyDescent="0.25">
      <c r="C2855" s="2" t="s">
        <v>4685</v>
      </c>
      <c r="D2855" s="2" t="s">
        <v>216</v>
      </c>
      <c r="E2855" s="2">
        <v>134</v>
      </c>
      <c r="F2855" s="2">
        <v>2642.25</v>
      </c>
    </row>
    <row r="2856" spans="3:6" x14ac:dyDescent="0.25">
      <c r="C2856" s="2" t="s">
        <v>4686</v>
      </c>
      <c r="D2856" s="2" t="s">
        <v>216</v>
      </c>
      <c r="E2856" s="2">
        <v>134</v>
      </c>
      <c r="F2856" s="2">
        <v>2748.069</v>
      </c>
    </row>
    <row r="2857" spans="3:6" x14ac:dyDescent="0.25">
      <c r="C2857" s="2" t="s">
        <v>4687</v>
      </c>
      <c r="D2857" s="2" t="s">
        <v>216</v>
      </c>
      <c r="E2857" s="2">
        <v>134</v>
      </c>
      <c r="F2857" s="2">
        <v>2751.96</v>
      </c>
    </row>
    <row r="2858" spans="3:6" x14ac:dyDescent="0.25">
      <c r="C2858" s="2" t="s">
        <v>4688</v>
      </c>
      <c r="D2858" s="2" t="s">
        <v>216</v>
      </c>
      <c r="E2858" s="2">
        <v>134</v>
      </c>
      <c r="F2858" s="2">
        <v>2711.879</v>
      </c>
    </row>
    <row r="2859" spans="3:6" x14ac:dyDescent="0.25">
      <c r="C2859" s="2" t="s">
        <v>4689</v>
      </c>
      <c r="D2859" s="2" t="s">
        <v>216</v>
      </c>
      <c r="E2859" s="2">
        <v>163</v>
      </c>
      <c r="F2859" s="2">
        <v>3346.509</v>
      </c>
    </row>
    <row r="2860" spans="3:6" x14ac:dyDescent="0.25">
      <c r="C2860" s="2" t="s">
        <v>4690</v>
      </c>
      <c r="D2860" s="2" t="s">
        <v>216</v>
      </c>
      <c r="E2860" s="2">
        <v>163</v>
      </c>
      <c r="F2860" s="2">
        <v>3208.609</v>
      </c>
    </row>
    <row r="2861" spans="3:6" x14ac:dyDescent="0.25">
      <c r="C2861" s="2" t="s">
        <v>4691</v>
      </c>
      <c r="D2861" s="2" t="s">
        <v>216</v>
      </c>
      <c r="E2861" s="2">
        <v>163</v>
      </c>
      <c r="F2861" s="2">
        <v>3276.718</v>
      </c>
    </row>
    <row r="2862" spans="3:6" x14ac:dyDescent="0.25">
      <c r="C2862" s="2" t="s">
        <v>4692</v>
      </c>
      <c r="D2862" s="2" t="s">
        <v>216</v>
      </c>
      <c r="E2862" s="2">
        <v>163</v>
      </c>
      <c r="F2862" s="2">
        <v>3372</v>
      </c>
    </row>
    <row r="2863" spans="3:6" x14ac:dyDescent="0.25">
      <c r="C2863" s="2" t="s">
        <v>4693</v>
      </c>
      <c r="D2863" s="2" t="s">
        <v>216</v>
      </c>
      <c r="E2863" s="2">
        <v>156</v>
      </c>
      <c r="F2863" s="2">
        <v>3163.55</v>
      </c>
    </row>
    <row r="2864" spans="3:6" x14ac:dyDescent="0.25">
      <c r="C2864" s="2" t="s">
        <v>4694</v>
      </c>
      <c r="D2864" s="2" t="s">
        <v>216</v>
      </c>
      <c r="E2864" s="2">
        <v>36</v>
      </c>
      <c r="F2864" s="2">
        <v>675.16</v>
      </c>
    </row>
    <row r="2865" spans="3:6" x14ac:dyDescent="0.25">
      <c r="C2865" s="2" t="s">
        <v>4695</v>
      </c>
      <c r="D2865" s="2" t="s">
        <v>236</v>
      </c>
      <c r="E2865" s="2">
        <v>13</v>
      </c>
      <c r="F2865" s="2">
        <v>250.6</v>
      </c>
    </row>
    <row r="2866" spans="3:5" x14ac:dyDescent="0.25">
      <c r="C2866" s="2" t="s">
        <v>4696</v>
      </c>
      <c r="D2866" s="2" t="s">
        <v>236</v>
      </c>
      <c r="E2866" s="2">
        <v>21</v>
      </c>
    </row>
    <row r="2867" spans="3:6" x14ac:dyDescent="0.25">
      <c r="C2867" s="2" t="s">
        <v>4697</v>
      </c>
      <c r="D2867" s="2" t="s">
        <v>236</v>
      </c>
      <c r="E2867" s="2">
        <v>71</v>
      </c>
      <c r="F2867" s="2">
        <v>1401.07</v>
      </c>
    </row>
    <row r="2868" spans="3:6" x14ac:dyDescent="0.25">
      <c r="C2868" s="2" t="s">
        <v>4698</v>
      </c>
      <c r="D2868" s="2" t="s">
        <v>236</v>
      </c>
      <c r="E2868" s="2">
        <v>60</v>
      </c>
      <c r="F2868" s="2">
        <v>1016.54</v>
      </c>
    </row>
    <row r="2869" spans="3:6" x14ac:dyDescent="0.25">
      <c r="C2869" s="2" t="s">
        <v>4699</v>
      </c>
      <c r="D2869" s="2" t="s">
        <v>236</v>
      </c>
      <c r="E2869" s="2">
        <v>45</v>
      </c>
      <c r="F2869" s="2">
        <v>848.62</v>
      </c>
    </row>
    <row r="2870" spans="3:6" x14ac:dyDescent="0.25">
      <c r="C2870" s="2" t="s">
        <v>4700</v>
      </c>
      <c r="D2870" s="2" t="s">
        <v>236</v>
      </c>
      <c r="E2870" s="2">
        <v>45</v>
      </c>
      <c r="F2870" s="2">
        <v>866.87</v>
      </c>
    </row>
    <row r="2871" spans="3:6" x14ac:dyDescent="0.25">
      <c r="C2871" s="2" t="s">
        <v>4701</v>
      </c>
      <c r="D2871" s="2" t="s">
        <v>236</v>
      </c>
      <c r="E2871" s="2">
        <v>60</v>
      </c>
      <c r="F2871" s="2">
        <v>1065.46</v>
      </c>
    </row>
    <row r="2872" spans="3:6" x14ac:dyDescent="0.25">
      <c r="C2872" s="2" t="s">
        <v>4702</v>
      </c>
      <c r="D2872" s="2" t="s">
        <v>236</v>
      </c>
      <c r="E2872" s="2">
        <v>80</v>
      </c>
      <c r="F2872" s="2">
        <v>1592.29</v>
      </c>
    </row>
    <row r="2873" spans="3:6" x14ac:dyDescent="0.25">
      <c r="C2873" s="2" t="s">
        <v>4703</v>
      </c>
      <c r="D2873" s="2" t="s">
        <v>236</v>
      </c>
      <c r="E2873" s="2">
        <v>25</v>
      </c>
      <c r="F2873" s="2">
        <v>452.71</v>
      </c>
    </row>
    <row r="2874" spans="3:6" x14ac:dyDescent="0.25">
      <c r="C2874" s="2" t="s">
        <v>4704</v>
      </c>
      <c r="D2874" s="2" t="s">
        <v>236</v>
      </c>
      <c r="E2874" s="2">
        <v>45</v>
      </c>
      <c r="F2874" s="2">
        <v>806.689</v>
      </c>
    </row>
    <row r="2875" spans="3:6" x14ac:dyDescent="0.25">
      <c r="C2875" s="2" t="s">
        <v>4705</v>
      </c>
      <c r="D2875" s="2" t="s">
        <v>236</v>
      </c>
      <c r="E2875" s="2">
        <v>60</v>
      </c>
      <c r="F2875" s="2">
        <v>1078.169</v>
      </c>
    </row>
    <row r="2876" spans="3:6" x14ac:dyDescent="0.25">
      <c r="C2876" s="2" t="s">
        <v>4706</v>
      </c>
      <c r="D2876" s="2" t="s">
        <v>236</v>
      </c>
      <c r="E2876" s="2">
        <v>25</v>
      </c>
      <c r="F2876" s="2">
        <v>472.64</v>
      </c>
    </row>
    <row r="2877" spans="3:6" x14ac:dyDescent="0.25">
      <c r="C2877" s="2" t="s">
        <v>4707</v>
      </c>
      <c r="D2877" s="2" t="s">
        <v>236</v>
      </c>
      <c r="E2877" s="2">
        <v>80</v>
      </c>
      <c r="F2877" s="2">
        <v>1559.29</v>
      </c>
    </row>
    <row r="2878" spans="3:6" x14ac:dyDescent="0.25">
      <c r="C2878" s="2" t="s">
        <v>4708</v>
      </c>
      <c r="D2878" s="2" t="s">
        <v>347</v>
      </c>
      <c r="E2878" s="2">
        <v>100</v>
      </c>
      <c r="F2878" s="2">
        <v>1913.548</v>
      </c>
    </row>
    <row r="2879" spans="3:6" x14ac:dyDescent="0.25">
      <c r="C2879" s="2" t="s">
        <v>4709</v>
      </c>
      <c r="D2879" s="2" t="s">
        <v>347</v>
      </c>
      <c r="E2879" s="2">
        <v>56</v>
      </c>
      <c r="F2879" s="2">
        <v>1065.5</v>
      </c>
    </row>
    <row r="2880" spans="3:6" x14ac:dyDescent="0.25">
      <c r="C2880" s="2" t="s">
        <v>4710</v>
      </c>
      <c r="D2880" s="2" t="s">
        <v>347</v>
      </c>
      <c r="E2880" s="2">
        <v>56</v>
      </c>
      <c r="F2880" s="2">
        <v>1075.63</v>
      </c>
    </row>
    <row r="2881" spans="3:6" x14ac:dyDescent="0.25">
      <c r="C2881" s="2" t="s">
        <v>4711</v>
      </c>
      <c r="D2881" s="2" t="s">
        <v>347</v>
      </c>
      <c r="E2881" s="2">
        <v>100</v>
      </c>
      <c r="F2881" s="2">
        <v>1890.95</v>
      </c>
    </row>
    <row r="2882" spans="3:6" x14ac:dyDescent="0.25">
      <c r="C2882" s="2" t="s">
        <v>4712</v>
      </c>
      <c r="D2882" s="2" t="s">
        <v>342</v>
      </c>
      <c r="E2882" s="2">
        <v>85</v>
      </c>
      <c r="F2882" s="2">
        <v>1486.359</v>
      </c>
    </row>
    <row r="2883" spans="3:6" x14ac:dyDescent="0.25">
      <c r="C2883" s="2" t="s">
        <v>4713</v>
      </c>
      <c r="D2883" s="2" t="s">
        <v>342</v>
      </c>
      <c r="E2883" s="2">
        <v>71</v>
      </c>
      <c r="F2883" s="2">
        <v>1215.988</v>
      </c>
    </row>
    <row r="2885" spans="2:7" x14ac:dyDescent="0.25">
      <c r="B2885" s="2" t="s">
        <v>2077</v>
      </c>
      <c r="C2885" s="2" t="s">
        <v>4714</v>
      </c>
      <c r="D2885" s="2" t="s">
        <v>216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4715</v>
      </c>
      <c r="D2886" s="2" t="s">
        <v>216</v>
      </c>
      <c r="E2886" s="2">
        <v>156</v>
      </c>
      <c r="F2886" s="2">
        <v>2774.55</v>
      </c>
    </row>
    <row r="2887" spans="3:6" x14ac:dyDescent="0.25">
      <c r="C2887" s="2" t="s">
        <v>4716</v>
      </c>
      <c r="D2887" s="2" t="s">
        <v>216</v>
      </c>
      <c r="E2887" s="2">
        <v>138</v>
      </c>
      <c r="F2887" s="2">
        <v>2488.25</v>
      </c>
    </row>
    <row r="2888" spans="3:6" x14ac:dyDescent="0.25">
      <c r="C2888" s="2" t="s">
        <v>4717</v>
      </c>
      <c r="D2888" s="2" t="s">
        <v>216</v>
      </c>
      <c r="E2888" s="2">
        <v>19</v>
      </c>
      <c r="F2888" s="2">
        <v>303.11</v>
      </c>
    </row>
    <row r="2889" spans="3:6" x14ac:dyDescent="0.25">
      <c r="C2889" s="2" t="s">
        <v>4718</v>
      </c>
      <c r="D2889" s="2" t="s">
        <v>297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1101</v>
      </c>
      <c r="C2891" s="2" t="s">
        <v>4719</v>
      </c>
      <c r="D2891" s="2" t="s">
        <v>20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4720</v>
      </c>
      <c r="D2892" s="2" t="s">
        <v>20</v>
      </c>
      <c r="E2892" s="2">
        <v>102</v>
      </c>
      <c r="F2892" s="2">
        <v>1988.25</v>
      </c>
    </row>
    <row r="2893" spans="3:6" x14ac:dyDescent="0.25">
      <c r="C2893" s="2" t="s">
        <v>4721</v>
      </c>
      <c r="D2893" s="2" t="s">
        <v>20</v>
      </c>
      <c r="E2893" s="2">
        <v>156</v>
      </c>
      <c r="F2893" s="2">
        <v>3046.45</v>
      </c>
    </row>
    <row r="2894" spans="3:6" x14ac:dyDescent="0.25">
      <c r="C2894" s="2" t="s">
        <v>4722</v>
      </c>
      <c r="D2894" s="2" t="s">
        <v>20</v>
      </c>
      <c r="E2894" s="2">
        <v>156</v>
      </c>
      <c r="F2894" s="2">
        <v>2874.039</v>
      </c>
    </row>
    <row r="2895" spans="3:6" x14ac:dyDescent="0.25">
      <c r="C2895" s="2" t="s">
        <v>4723</v>
      </c>
      <c r="D2895" s="2" t="s">
        <v>20</v>
      </c>
      <c r="E2895" s="2">
        <v>155</v>
      </c>
      <c r="F2895" s="2">
        <v>2769.618</v>
      </c>
    </row>
    <row r="2896" spans="3:6" x14ac:dyDescent="0.25">
      <c r="C2896" s="2" t="s">
        <v>4724</v>
      </c>
      <c r="D2896" s="2" t="s">
        <v>20</v>
      </c>
      <c r="E2896" s="2">
        <v>105</v>
      </c>
      <c r="F2896" s="2">
        <v>1996</v>
      </c>
    </row>
    <row r="2897" spans="3:6" x14ac:dyDescent="0.25">
      <c r="C2897" s="2" t="s">
        <v>4725</v>
      </c>
      <c r="D2897" s="2" t="s">
        <v>20</v>
      </c>
      <c r="E2897" s="2">
        <v>261</v>
      </c>
      <c r="F2897" s="2">
        <v>5236.478</v>
      </c>
    </row>
    <row r="2898" spans="3:6" x14ac:dyDescent="0.25">
      <c r="C2898" s="2" t="s">
        <v>4726</v>
      </c>
      <c r="D2898" s="2" t="s">
        <v>20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335</v>
      </c>
      <c r="C2901" s="2" t="s">
        <v>4727</v>
      </c>
      <c r="D2901" s="2" t="s">
        <v>20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4728</v>
      </c>
      <c r="D2902" s="2" t="s">
        <v>20</v>
      </c>
    </row>
    <row r="2903" spans="3:6" x14ac:dyDescent="0.25">
      <c r="C2903" s="2" t="s">
        <v>4729</v>
      </c>
      <c r="D2903" s="2" t="s">
        <v>20</v>
      </c>
      <c r="E2903" s="2">
        <v>204</v>
      </c>
      <c r="F2903" s="2">
        <v>3571.949</v>
      </c>
    </row>
    <row r="2904" spans="3:6" x14ac:dyDescent="0.25">
      <c r="C2904" s="2" t="s">
        <v>4730</v>
      </c>
      <c r="D2904" s="2" t="s">
        <v>20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206</v>
      </c>
      <c r="C2906" s="2" t="s">
        <v>4731</v>
      </c>
      <c r="D2906" s="2" t="s">
        <v>27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4732</v>
      </c>
      <c r="D2907" s="2" t="s">
        <v>27</v>
      </c>
      <c r="E2907" s="2">
        <v>104</v>
      </c>
      <c r="F2907" s="2">
        <v>1756.893</v>
      </c>
    </row>
    <row r="2908" spans="3:6" x14ac:dyDescent="0.25">
      <c r="C2908" s="2" t="s">
        <v>4733</v>
      </c>
      <c r="D2908" s="2" t="s">
        <v>27</v>
      </c>
      <c r="E2908" s="2">
        <v>95</v>
      </c>
      <c r="F2908" s="2">
        <v>1834.799</v>
      </c>
    </row>
    <row r="2909" spans="3:6" x14ac:dyDescent="0.25">
      <c r="C2909" s="2" t="s">
        <v>4734</v>
      </c>
      <c r="D2909" s="2" t="s">
        <v>27</v>
      </c>
      <c r="E2909" s="2">
        <v>37</v>
      </c>
      <c r="F2909" s="2">
        <v>756.32</v>
      </c>
    </row>
    <row r="2910" spans="3:6" x14ac:dyDescent="0.25">
      <c r="C2910" s="2" t="s">
        <v>4735</v>
      </c>
      <c r="D2910" s="2" t="s">
        <v>27</v>
      </c>
      <c r="E2910" s="2">
        <v>19</v>
      </c>
      <c r="F2910" s="2">
        <v>297.179</v>
      </c>
    </row>
    <row r="2911" spans="3:6" x14ac:dyDescent="0.25">
      <c r="C2911" s="2" t="s">
        <v>4736</v>
      </c>
      <c r="D2911" s="2" t="s">
        <v>27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4737</v>
      </c>
      <c r="C2913" s="2" t="s">
        <v>4738</v>
      </c>
      <c r="D2913" s="2" t="s">
        <v>204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4739</v>
      </c>
      <c r="D2914" s="2" t="s">
        <v>204</v>
      </c>
      <c r="E2914" s="2">
        <v>102</v>
      </c>
      <c r="F2914" s="2">
        <v>2002.64</v>
      </c>
    </row>
    <row r="2915" spans="3:6" x14ac:dyDescent="0.25">
      <c r="C2915" s="2" t="s">
        <v>4740</v>
      </c>
      <c r="D2915" s="2" t="s">
        <v>204</v>
      </c>
      <c r="E2915" s="2">
        <v>102</v>
      </c>
      <c r="F2915" s="2">
        <v>1970.97</v>
      </c>
    </row>
    <row r="2916" spans="3:6" x14ac:dyDescent="0.25">
      <c r="C2916" s="2" t="s">
        <v>4741</v>
      </c>
      <c r="D2916" s="2" t="s">
        <v>204</v>
      </c>
      <c r="E2916" s="2">
        <v>102</v>
      </c>
      <c r="F2916" s="2">
        <v>2034.198</v>
      </c>
    </row>
    <row r="2917" spans="3:6" x14ac:dyDescent="0.25">
      <c r="C2917" s="2" t="s">
        <v>4742</v>
      </c>
      <c r="D2917" s="2" t="s">
        <v>204</v>
      </c>
      <c r="E2917" s="2">
        <v>102</v>
      </c>
      <c r="F2917" s="2">
        <v>1971.37</v>
      </c>
    </row>
    <row r="2918" spans="3:6" x14ac:dyDescent="0.25">
      <c r="C2918" s="2" t="s">
        <v>4743</v>
      </c>
      <c r="D2918" s="2" t="s">
        <v>204</v>
      </c>
      <c r="E2918" s="2">
        <v>75</v>
      </c>
      <c r="F2918" s="2">
        <v>1431.21</v>
      </c>
    </row>
    <row r="2919" spans="3:6" x14ac:dyDescent="0.25">
      <c r="C2919" s="2" t="s">
        <v>4744</v>
      </c>
      <c r="D2919" s="2" t="s">
        <v>204</v>
      </c>
      <c r="E2919" s="2">
        <v>10</v>
      </c>
      <c r="F2919" s="2">
        <v>184.58</v>
      </c>
    </row>
    <row r="2920" spans="3:6" x14ac:dyDescent="0.25">
      <c r="C2920" s="2" t="s">
        <v>4745</v>
      </c>
      <c r="D2920" s="2" t="s">
        <v>204</v>
      </c>
      <c r="E2920" s="2">
        <v>102</v>
      </c>
      <c r="F2920" s="2">
        <v>1917.76</v>
      </c>
    </row>
    <row r="2921" spans="3:6" x14ac:dyDescent="0.25">
      <c r="C2921" s="2" t="s">
        <v>4746</v>
      </c>
      <c r="D2921" s="2" t="s">
        <v>204</v>
      </c>
      <c r="E2921" s="2">
        <v>102</v>
      </c>
      <c r="F2921" s="2">
        <v>1868.33</v>
      </c>
    </row>
    <row r="2922" spans="3:6" x14ac:dyDescent="0.25">
      <c r="C2922" s="2" t="s">
        <v>4747</v>
      </c>
      <c r="D2922" s="2" t="s">
        <v>204</v>
      </c>
      <c r="E2922" s="2">
        <v>148</v>
      </c>
      <c r="F2922" s="2">
        <v>2677.41</v>
      </c>
    </row>
    <row r="2923" spans="3:6" x14ac:dyDescent="0.25">
      <c r="C2923" s="2" t="s">
        <v>4748</v>
      </c>
      <c r="D2923" s="2" t="s">
        <v>204</v>
      </c>
      <c r="E2923" s="2">
        <v>148</v>
      </c>
      <c r="F2923" s="2">
        <v>2789.549</v>
      </c>
    </row>
    <row r="2924" spans="3:6" x14ac:dyDescent="0.25">
      <c r="C2924" s="2" t="s">
        <v>4749</v>
      </c>
      <c r="D2924" s="2" t="s">
        <v>204</v>
      </c>
      <c r="E2924" s="2">
        <v>148</v>
      </c>
      <c r="F2924" s="2">
        <v>2853.96</v>
      </c>
    </row>
    <row r="2925" spans="3:6" x14ac:dyDescent="0.25">
      <c r="C2925" s="2" t="s">
        <v>4750</v>
      </c>
      <c r="D2925" s="2" t="s">
        <v>204</v>
      </c>
      <c r="E2925" s="2">
        <v>148</v>
      </c>
      <c r="F2925" s="2">
        <v>2783.06</v>
      </c>
    </row>
    <row r="2926" spans="3:6" x14ac:dyDescent="0.25">
      <c r="C2926" s="2" t="s">
        <v>4751</v>
      </c>
      <c r="D2926" s="2" t="s">
        <v>204</v>
      </c>
      <c r="E2926" s="2">
        <v>102</v>
      </c>
      <c r="F2926" s="2">
        <v>1946.219</v>
      </c>
    </row>
    <row r="2927" spans="3:6" x14ac:dyDescent="0.25">
      <c r="C2927" s="2" t="s">
        <v>4752</v>
      </c>
      <c r="D2927" s="2" t="s">
        <v>204</v>
      </c>
      <c r="E2927" s="2">
        <v>102</v>
      </c>
      <c r="F2927" s="2">
        <v>1972.799</v>
      </c>
    </row>
    <row r="2928" spans="3:6" x14ac:dyDescent="0.25">
      <c r="C2928" s="2" t="s">
        <v>4753</v>
      </c>
      <c r="D2928" s="2" t="s">
        <v>204</v>
      </c>
      <c r="E2928" s="2">
        <v>121</v>
      </c>
      <c r="F2928" s="2">
        <v>2317.249</v>
      </c>
    </row>
    <row r="2929" spans="3:6" x14ac:dyDescent="0.25">
      <c r="C2929" s="2" t="s">
        <v>4754</v>
      </c>
      <c r="D2929" s="2" t="s">
        <v>204</v>
      </c>
      <c r="E2929" s="2">
        <v>121</v>
      </c>
      <c r="F2929" s="2">
        <v>2364.13</v>
      </c>
    </row>
    <row r="2930" spans="3:6" x14ac:dyDescent="0.25">
      <c r="C2930" s="2" t="s">
        <v>4755</v>
      </c>
      <c r="D2930" s="2" t="s">
        <v>204</v>
      </c>
      <c r="E2930" s="2">
        <v>121</v>
      </c>
      <c r="F2930" s="2">
        <v>2356.03</v>
      </c>
    </row>
    <row r="2931" spans="3:6" x14ac:dyDescent="0.25">
      <c r="C2931" s="2" t="s">
        <v>4756</v>
      </c>
      <c r="D2931" s="2" t="s">
        <v>204</v>
      </c>
      <c r="E2931" s="2">
        <v>121</v>
      </c>
      <c r="F2931" s="2">
        <v>2441.26</v>
      </c>
    </row>
    <row r="2932" spans="3:6" x14ac:dyDescent="0.25">
      <c r="C2932" s="2" t="s">
        <v>4757</v>
      </c>
      <c r="D2932" s="2" t="s">
        <v>204</v>
      </c>
      <c r="E2932" s="2">
        <v>148</v>
      </c>
      <c r="F2932" s="2">
        <v>2676.63</v>
      </c>
    </row>
    <row r="2933" spans="3:6" x14ac:dyDescent="0.25">
      <c r="C2933" s="2" t="s">
        <v>4758</v>
      </c>
      <c r="D2933" s="2" t="s">
        <v>204</v>
      </c>
      <c r="E2933" s="2">
        <v>148</v>
      </c>
      <c r="F2933" s="2">
        <v>2769.268</v>
      </c>
    </row>
    <row r="2934" spans="3:6" x14ac:dyDescent="0.25">
      <c r="C2934" s="2" t="s">
        <v>4759</v>
      </c>
      <c r="D2934" s="2" t="s">
        <v>204</v>
      </c>
      <c r="E2934" s="2">
        <v>148</v>
      </c>
      <c r="F2934" s="2">
        <v>2826.54</v>
      </c>
    </row>
    <row r="2935" spans="3:6" x14ac:dyDescent="0.25">
      <c r="C2935" s="2" t="s">
        <v>4760</v>
      </c>
      <c r="D2935" s="2" t="s">
        <v>204</v>
      </c>
      <c r="E2935" s="2">
        <v>148</v>
      </c>
      <c r="F2935" s="2">
        <v>2858.589</v>
      </c>
    </row>
    <row r="2936" spans="3:6" x14ac:dyDescent="0.25">
      <c r="C2936" s="2" t="s">
        <v>4761</v>
      </c>
      <c r="D2936" s="2" t="s">
        <v>204</v>
      </c>
      <c r="E2936" s="2">
        <v>148</v>
      </c>
      <c r="F2936" s="2">
        <v>2746.527</v>
      </c>
    </row>
    <row r="2937" spans="3:6" x14ac:dyDescent="0.25">
      <c r="C2937" s="2" t="s">
        <v>4762</v>
      </c>
      <c r="D2937" s="2" t="s">
        <v>204</v>
      </c>
      <c r="E2937" s="2">
        <v>148</v>
      </c>
      <c r="F2937" s="2">
        <v>2567.69</v>
      </c>
    </row>
    <row r="2938" spans="3:6" x14ac:dyDescent="0.25">
      <c r="C2938" s="2" t="s">
        <v>4763</v>
      </c>
      <c r="D2938" s="2" t="s">
        <v>204</v>
      </c>
      <c r="E2938" s="2">
        <v>148</v>
      </c>
      <c r="F2938" s="2">
        <v>2632.38</v>
      </c>
    </row>
    <row r="2939" spans="3:6" x14ac:dyDescent="0.25">
      <c r="C2939" s="2" t="s">
        <v>4764</v>
      </c>
      <c r="D2939" s="2" t="s">
        <v>204</v>
      </c>
      <c r="E2939" s="2">
        <v>148</v>
      </c>
      <c r="F2939" s="2">
        <v>2814.039</v>
      </c>
    </row>
    <row r="2940" spans="3:6" x14ac:dyDescent="0.25">
      <c r="C2940" s="2" t="s">
        <v>4765</v>
      </c>
      <c r="D2940" s="2" t="s">
        <v>204</v>
      </c>
      <c r="E2940" s="2">
        <v>148</v>
      </c>
      <c r="F2940" s="2">
        <v>2893.69</v>
      </c>
    </row>
    <row r="2941" spans="3:6" x14ac:dyDescent="0.25">
      <c r="C2941" s="2" t="s">
        <v>4766</v>
      </c>
      <c r="D2941" s="2" t="s">
        <v>204</v>
      </c>
      <c r="E2941" s="2">
        <v>148</v>
      </c>
      <c r="F2941" s="2">
        <v>2843.84</v>
      </c>
    </row>
    <row r="2942" spans="3:6" x14ac:dyDescent="0.25">
      <c r="C2942" s="2" t="s">
        <v>4767</v>
      </c>
      <c r="D2942" s="2" t="s">
        <v>204</v>
      </c>
      <c r="E2942" s="2">
        <v>148</v>
      </c>
      <c r="F2942" s="2">
        <v>2769.239</v>
      </c>
    </row>
    <row r="2943" spans="3:6" x14ac:dyDescent="0.25">
      <c r="C2943" s="2" t="s">
        <v>4768</v>
      </c>
      <c r="D2943" s="2" t="s">
        <v>204</v>
      </c>
      <c r="E2943" s="2">
        <v>148</v>
      </c>
      <c r="F2943" s="2">
        <v>2742.91</v>
      </c>
    </row>
    <row r="2944" spans="3:6" x14ac:dyDescent="0.25">
      <c r="C2944" s="2" t="s">
        <v>4769</v>
      </c>
      <c r="D2944" s="2" t="s">
        <v>204</v>
      </c>
      <c r="E2944" s="2">
        <v>148</v>
      </c>
      <c r="F2944" s="2">
        <v>2784.71</v>
      </c>
    </row>
    <row r="2945" spans="3:6" x14ac:dyDescent="0.25">
      <c r="C2945" s="2" t="s">
        <v>4770</v>
      </c>
      <c r="D2945" s="2" t="s">
        <v>204</v>
      </c>
      <c r="E2945" s="2">
        <v>148</v>
      </c>
      <c r="F2945" s="2">
        <v>2820.69</v>
      </c>
    </row>
    <row r="2946" spans="3:6" x14ac:dyDescent="0.25">
      <c r="C2946" s="2" t="s">
        <v>4771</v>
      </c>
      <c r="D2946" s="2" t="s">
        <v>204</v>
      </c>
      <c r="E2946" s="2">
        <v>148</v>
      </c>
      <c r="F2946" s="2">
        <v>2862.198</v>
      </c>
    </row>
    <row r="2947" spans="3:6" x14ac:dyDescent="0.25">
      <c r="C2947" s="2" t="s">
        <v>4772</v>
      </c>
      <c r="D2947" s="2" t="s">
        <v>204</v>
      </c>
      <c r="E2947" s="2">
        <v>148</v>
      </c>
      <c r="F2947" s="2">
        <v>2753.737</v>
      </c>
    </row>
    <row r="2948" spans="3:6" x14ac:dyDescent="0.25">
      <c r="C2948" s="2" t="s">
        <v>4773</v>
      </c>
      <c r="D2948" s="2" t="s">
        <v>204</v>
      </c>
      <c r="E2948" s="2">
        <v>148</v>
      </c>
      <c r="F2948" s="2">
        <v>2627.83</v>
      </c>
    </row>
    <row r="2949" spans="3:6" x14ac:dyDescent="0.25">
      <c r="C2949" s="2" t="s">
        <v>4774</v>
      </c>
      <c r="D2949" s="2" t="s">
        <v>204</v>
      </c>
      <c r="E2949" s="2">
        <v>148</v>
      </c>
      <c r="F2949" s="2">
        <v>2844.14</v>
      </c>
    </row>
    <row r="2950" spans="3:6" x14ac:dyDescent="0.25">
      <c r="C2950" s="2" t="s">
        <v>4775</v>
      </c>
      <c r="D2950" s="2" t="s">
        <v>204</v>
      </c>
      <c r="E2950" s="2">
        <v>134</v>
      </c>
      <c r="F2950" s="2">
        <v>2705.198</v>
      </c>
    </row>
    <row r="2951" spans="3:6" x14ac:dyDescent="0.25">
      <c r="C2951" s="2" t="s">
        <v>4776</v>
      </c>
      <c r="D2951" s="2" t="s">
        <v>204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172</v>
      </c>
      <c r="C2953" s="2" t="s">
        <v>4777</v>
      </c>
      <c r="D2953" s="2" t="s">
        <v>122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4778</v>
      </c>
      <c r="D2954" s="2" t="s">
        <v>122</v>
      </c>
      <c r="E2954" s="2">
        <v>134</v>
      </c>
      <c r="F2954" s="2">
        <v>2575.44</v>
      </c>
    </row>
    <row r="2955" spans="3:6" x14ac:dyDescent="0.25">
      <c r="C2955" s="2" t="s">
        <v>4779</v>
      </c>
      <c r="D2955" s="2" t="s">
        <v>122</v>
      </c>
      <c r="E2955" s="2">
        <v>121</v>
      </c>
      <c r="F2955" s="2">
        <v>2508.289</v>
      </c>
    </row>
    <row r="2956" spans="3:6" x14ac:dyDescent="0.25">
      <c r="C2956" s="2" t="s">
        <v>4780</v>
      </c>
      <c r="D2956" s="2" t="s">
        <v>122</v>
      </c>
      <c r="E2956" s="2">
        <v>121</v>
      </c>
      <c r="F2956" s="2">
        <v>2505.62</v>
      </c>
    </row>
    <row r="2957" spans="3:6" x14ac:dyDescent="0.25">
      <c r="C2957" s="2" t="s">
        <v>4781</v>
      </c>
      <c r="D2957" s="2" t="s">
        <v>122</v>
      </c>
      <c r="E2957" s="2">
        <v>141</v>
      </c>
      <c r="F2957" s="2">
        <v>2984.46</v>
      </c>
    </row>
    <row r="2958" spans="3:6" x14ac:dyDescent="0.25">
      <c r="C2958" s="2" t="s">
        <v>4782</v>
      </c>
      <c r="D2958" s="2" t="s">
        <v>122</v>
      </c>
      <c r="E2958" s="2">
        <v>141</v>
      </c>
      <c r="F2958" s="2">
        <v>2875.189</v>
      </c>
    </row>
    <row r="2959" spans="3:6" x14ac:dyDescent="0.25">
      <c r="C2959" s="2" t="s">
        <v>4783</v>
      </c>
      <c r="D2959" s="2" t="s">
        <v>122</v>
      </c>
      <c r="E2959" s="2">
        <v>121</v>
      </c>
      <c r="F2959" s="2">
        <v>2456.58</v>
      </c>
    </row>
    <row r="2960" spans="3:6" x14ac:dyDescent="0.25">
      <c r="C2960" s="2" t="s">
        <v>4784</v>
      </c>
      <c r="D2960" s="2" t="s">
        <v>122</v>
      </c>
      <c r="E2960" s="2">
        <v>121</v>
      </c>
      <c r="F2960" s="2">
        <v>2369.81</v>
      </c>
    </row>
    <row r="2961" spans="3:6" x14ac:dyDescent="0.25">
      <c r="C2961" s="2" t="s">
        <v>4785</v>
      </c>
      <c r="D2961" s="2" t="s">
        <v>122</v>
      </c>
      <c r="E2961" s="2">
        <v>86</v>
      </c>
      <c r="F2961" s="2">
        <v>1728.159</v>
      </c>
    </row>
    <row r="2962" spans="3:6" x14ac:dyDescent="0.25">
      <c r="C2962" s="2" t="s">
        <v>4786</v>
      </c>
      <c r="D2962" s="2" t="s">
        <v>122</v>
      </c>
      <c r="E2962" s="2">
        <v>16</v>
      </c>
      <c r="F2962" s="2">
        <v>300.09</v>
      </c>
    </row>
    <row r="2963" spans="3:6" x14ac:dyDescent="0.25">
      <c r="C2963" s="2" t="s">
        <v>4787</v>
      </c>
      <c r="D2963" s="2" t="s">
        <v>122</v>
      </c>
      <c r="E2963" s="2">
        <v>102</v>
      </c>
      <c r="F2963" s="2">
        <v>2078.57</v>
      </c>
    </row>
    <row r="2964" spans="3:6" x14ac:dyDescent="0.25">
      <c r="C2964" s="2" t="s">
        <v>4788</v>
      </c>
      <c r="D2964" s="2" t="s">
        <v>122</v>
      </c>
      <c r="E2964" s="2">
        <v>20</v>
      </c>
      <c r="F2964" s="2">
        <v>369.14</v>
      </c>
    </row>
    <row r="2965" spans="3:6" x14ac:dyDescent="0.25">
      <c r="C2965" s="2" t="s">
        <v>4789</v>
      </c>
      <c r="D2965" s="2" t="s">
        <v>122</v>
      </c>
      <c r="E2965" s="2">
        <v>34</v>
      </c>
      <c r="F2965" s="2">
        <v>117.838</v>
      </c>
    </row>
    <row r="2966" spans="3:6" x14ac:dyDescent="0.25">
      <c r="C2966" s="2" t="s">
        <v>4790</v>
      </c>
      <c r="D2966" s="2" t="s">
        <v>122</v>
      </c>
      <c r="E2966" s="2">
        <v>90</v>
      </c>
      <c r="F2966" s="2">
        <v>1890.57</v>
      </c>
    </row>
    <row r="2967" spans="3:6" x14ac:dyDescent="0.25">
      <c r="C2967" s="2" t="s">
        <v>4791</v>
      </c>
      <c r="D2967" s="2" t="s">
        <v>122</v>
      </c>
      <c r="E2967" s="2">
        <v>54</v>
      </c>
      <c r="F2967" s="2">
        <v>1063.62</v>
      </c>
    </row>
    <row r="2968" spans="3:6" x14ac:dyDescent="0.25">
      <c r="C2968" s="2" t="s">
        <v>4792</v>
      </c>
      <c r="D2968" s="2" t="s">
        <v>122</v>
      </c>
      <c r="E2968" s="2">
        <v>87</v>
      </c>
      <c r="F2968" s="2">
        <v>1756.979</v>
      </c>
    </row>
    <row r="2969" spans="3:6" x14ac:dyDescent="0.25">
      <c r="C2969" s="2" t="s">
        <v>4793</v>
      </c>
      <c r="D2969" s="2" t="s">
        <v>122</v>
      </c>
      <c r="E2969" s="2">
        <v>102</v>
      </c>
      <c r="F2969" s="2">
        <v>2038.268</v>
      </c>
    </row>
    <row r="2970" spans="3:6" x14ac:dyDescent="0.25">
      <c r="C2970" s="2" t="s">
        <v>4794</v>
      </c>
      <c r="D2970" s="2" t="s">
        <v>122</v>
      </c>
      <c r="E2970" s="2">
        <v>33</v>
      </c>
      <c r="F2970" s="2">
        <v>81.109</v>
      </c>
    </row>
    <row r="2971" spans="3:6" x14ac:dyDescent="0.25">
      <c r="C2971" s="2" t="s">
        <v>4795</v>
      </c>
      <c r="D2971" s="2" t="s">
        <v>122</v>
      </c>
      <c r="E2971" s="2">
        <v>87</v>
      </c>
      <c r="F2971" s="2">
        <v>1796.63</v>
      </c>
    </row>
    <row r="2972" spans="3:6" x14ac:dyDescent="0.25">
      <c r="C2972" s="2" t="s">
        <v>4796</v>
      </c>
      <c r="D2972" s="2" t="s">
        <v>122</v>
      </c>
      <c r="E2972" s="2">
        <v>7</v>
      </c>
      <c r="F2972" s="2">
        <v>141.98</v>
      </c>
    </row>
    <row r="2973" spans="3:6" x14ac:dyDescent="0.25">
      <c r="C2973" s="2" t="s">
        <v>4797</v>
      </c>
      <c r="D2973" s="2" t="s">
        <v>122</v>
      </c>
      <c r="E2973" s="2">
        <v>53</v>
      </c>
      <c r="F2973" s="2">
        <v>1040.28</v>
      </c>
    </row>
    <row r="2974" spans="3:6" x14ac:dyDescent="0.25">
      <c r="C2974" s="2" t="s">
        <v>4798</v>
      </c>
      <c r="D2974" s="2" t="s">
        <v>122</v>
      </c>
      <c r="E2974" s="2">
        <v>15</v>
      </c>
      <c r="F2974" s="2">
        <v>307.13</v>
      </c>
    </row>
    <row r="2975" spans="3:6" x14ac:dyDescent="0.25">
      <c r="C2975" s="2" t="s">
        <v>4799</v>
      </c>
      <c r="D2975" s="2" t="s">
        <v>122</v>
      </c>
      <c r="E2975" s="2">
        <v>102</v>
      </c>
      <c r="F2975" s="2">
        <v>2124.75</v>
      </c>
    </row>
    <row r="2976" spans="3:6" x14ac:dyDescent="0.25">
      <c r="C2976" s="2" t="s">
        <v>4800</v>
      </c>
      <c r="D2976" s="2" t="s">
        <v>122</v>
      </c>
      <c r="E2976" s="2">
        <v>68</v>
      </c>
      <c r="F2976" s="2">
        <v>1395.059</v>
      </c>
    </row>
    <row r="2977" spans="3:6" x14ac:dyDescent="0.25">
      <c r="C2977" s="2" t="s">
        <v>4801</v>
      </c>
      <c r="D2977" s="2" t="s">
        <v>122</v>
      </c>
      <c r="E2977" s="2">
        <v>34</v>
      </c>
      <c r="F2977" s="2">
        <v>715.15</v>
      </c>
    </row>
    <row r="2978" spans="3:6" x14ac:dyDescent="0.25">
      <c r="C2978" s="2" t="s">
        <v>4802</v>
      </c>
      <c r="D2978" s="2" t="s">
        <v>122</v>
      </c>
      <c r="E2978" s="2">
        <v>135</v>
      </c>
      <c r="F2978" s="2">
        <v>568.096</v>
      </c>
    </row>
    <row r="2979" spans="3:6" x14ac:dyDescent="0.25">
      <c r="C2979" s="2" t="s">
        <v>4803</v>
      </c>
      <c r="D2979" s="2" t="s">
        <v>122</v>
      </c>
      <c r="E2979" s="2">
        <v>85</v>
      </c>
      <c r="F2979" s="2">
        <v>384.28</v>
      </c>
    </row>
    <row r="2980" spans="3:6" x14ac:dyDescent="0.25">
      <c r="C2980" s="2" t="s">
        <v>4804</v>
      </c>
      <c r="D2980" s="2" t="s">
        <v>122</v>
      </c>
      <c r="E2980" s="2">
        <v>141</v>
      </c>
      <c r="F2980" s="2">
        <v>2847.65</v>
      </c>
    </row>
    <row r="2981" spans="3:6" x14ac:dyDescent="0.25">
      <c r="C2981" s="2" t="s">
        <v>4805</v>
      </c>
      <c r="D2981" s="2" t="s">
        <v>122</v>
      </c>
      <c r="E2981" s="2">
        <v>141</v>
      </c>
      <c r="F2981" s="2">
        <v>2784.11</v>
      </c>
    </row>
    <row r="2982" spans="3:6" x14ac:dyDescent="0.25">
      <c r="C2982" s="2" t="s">
        <v>4806</v>
      </c>
      <c r="D2982" s="2" t="s">
        <v>122</v>
      </c>
      <c r="E2982" s="2">
        <v>141</v>
      </c>
      <c r="F2982" s="2">
        <v>2857.809</v>
      </c>
    </row>
    <row r="2983" spans="3:6" x14ac:dyDescent="0.25">
      <c r="C2983" s="2" t="s">
        <v>4807</v>
      </c>
      <c r="D2983" s="2" t="s">
        <v>122</v>
      </c>
      <c r="E2983" s="2">
        <v>77</v>
      </c>
      <c r="F2983" s="2">
        <v>1541.89</v>
      </c>
    </row>
    <row r="2984" spans="3:6" x14ac:dyDescent="0.25">
      <c r="C2984" s="2" t="s">
        <v>4808</v>
      </c>
      <c r="D2984" s="2" t="s">
        <v>122</v>
      </c>
      <c r="E2984" s="2">
        <v>20</v>
      </c>
      <c r="F2984" s="2">
        <v>443.74</v>
      </c>
    </row>
    <row r="2985" spans="3:6" x14ac:dyDescent="0.25">
      <c r="C2985" s="2" t="s">
        <v>4809</v>
      </c>
      <c r="D2985" s="2" t="s">
        <v>122</v>
      </c>
      <c r="E2985" s="2">
        <v>11</v>
      </c>
      <c r="F2985" s="2">
        <v>198.46</v>
      </c>
    </row>
    <row r="2986" spans="3:6" x14ac:dyDescent="0.25">
      <c r="C2986" s="2" t="s">
        <v>4810</v>
      </c>
      <c r="D2986" s="2" t="s">
        <v>122</v>
      </c>
      <c r="E2986" s="2">
        <v>33</v>
      </c>
      <c r="F2986" s="2">
        <v>680.49</v>
      </c>
    </row>
    <row r="2987" spans="3:6" x14ac:dyDescent="0.25">
      <c r="C2987" s="2" t="s">
        <v>4811</v>
      </c>
      <c r="D2987" s="2" t="s">
        <v>122</v>
      </c>
      <c r="E2987" s="2">
        <v>48</v>
      </c>
      <c r="F2987" s="2">
        <v>890.629</v>
      </c>
    </row>
    <row r="2988" spans="3:6" x14ac:dyDescent="0.25">
      <c r="C2988" s="2" t="s">
        <v>4812</v>
      </c>
      <c r="D2988" s="2" t="s">
        <v>122</v>
      </c>
      <c r="E2988" s="2">
        <v>53</v>
      </c>
      <c r="F2988" s="2">
        <v>1030.7</v>
      </c>
    </row>
    <row r="2989" spans="3:6" x14ac:dyDescent="0.25">
      <c r="C2989" s="2" t="s">
        <v>4813</v>
      </c>
      <c r="D2989" s="2" t="s">
        <v>122</v>
      </c>
      <c r="E2989" s="2">
        <v>40</v>
      </c>
      <c r="F2989" s="2">
        <v>776.23</v>
      </c>
    </row>
    <row r="2990" spans="3:6" x14ac:dyDescent="0.25">
      <c r="C2990" s="2" t="s">
        <v>4814</v>
      </c>
      <c r="D2990" s="2" t="s">
        <v>122</v>
      </c>
      <c r="E2990" s="2">
        <v>37</v>
      </c>
      <c r="F2990" s="2">
        <v>738.63</v>
      </c>
    </row>
    <row r="2991" spans="3:6" x14ac:dyDescent="0.25">
      <c r="C2991" s="2" t="s">
        <v>4815</v>
      </c>
      <c r="D2991" s="2" t="s">
        <v>122</v>
      </c>
      <c r="E2991" s="2">
        <v>48</v>
      </c>
      <c r="F2991" s="2">
        <v>977.909</v>
      </c>
    </row>
    <row r="2992" spans="3:6" x14ac:dyDescent="0.25">
      <c r="C2992" s="2" t="s">
        <v>4816</v>
      </c>
      <c r="D2992" s="2" t="s">
        <v>122</v>
      </c>
      <c r="E2992" s="2">
        <v>41</v>
      </c>
      <c r="F2992" s="2">
        <v>798.14</v>
      </c>
    </row>
    <row r="2993" spans="3:6" x14ac:dyDescent="0.25">
      <c r="C2993" s="2" t="s">
        <v>4817</v>
      </c>
      <c r="D2993" s="2" t="s">
        <v>122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10</v>
      </c>
      <c r="C2995" s="2" t="s">
        <v>4818</v>
      </c>
      <c r="D2995" s="2" t="s">
        <v>12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4819</v>
      </c>
      <c r="D2996" s="2" t="s">
        <v>12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1101</v>
      </c>
      <c r="C2998" s="2" t="s">
        <v>4820</v>
      </c>
      <c r="D2998" s="2" t="s">
        <v>20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4821</v>
      </c>
      <c r="D2999" s="2" t="s">
        <v>20</v>
      </c>
      <c r="E2999" s="2">
        <v>92</v>
      </c>
      <c r="F2999" s="2">
        <v>1846.578</v>
      </c>
    </row>
    <row r="3000" spans="3:6" x14ac:dyDescent="0.25">
      <c r="C3000" s="2" t="s">
        <v>4822</v>
      </c>
      <c r="D3000" s="2" t="s">
        <v>20</v>
      </c>
      <c r="E3000" s="2">
        <v>74</v>
      </c>
      <c r="F3000" s="2">
        <v>1460.19</v>
      </c>
    </row>
    <row r="3001" spans="3:6" x14ac:dyDescent="0.25">
      <c r="C3001" s="2" t="s">
        <v>4823</v>
      </c>
      <c r="D3001" s="2" t="s">
        <v>20</v>
      </c>
      <c r="E3001" s="2">
        <v>230</v>
      </c>
      <c r="F3001" s="2">
        <v>4471.319</v>
      </c>
    </row>
    <row r="3002" spans="3:6" x14ac:dyDescent="0.25">
      <c r="C3002" s="2" t="s">
        <v>4824</v>
      </c>
      <c r="D3002" s="2" t="s">
        <v>20</v>
      </c>
      <c r="E3002" s="2">
        <v>259</v>
      </c>
      <c r="F3002" s="2">
        <v>4697.197</v>
      </c>
    </row>
    <row r="3003" spans="3:6" x14ac:dyDescent="0.25">
      <c r="C3003" s="2" t="s">
        <v>4825</v>
      </c>
      <c r="D3003" s="2" t="s">
        <v>20</v>
      </c>
      <c r="E3003" s="2">
        <v>105</v>
      </c>
      <c r="F3003" s="2">
        <v>2032.679</v>
      </c>
    </row>
    <row r="3004" spans="3:6" x14ac:dyDescent="0.25">
      <c r="C3004" s="2" t="s">
        <v>4826</v>
      </c>
      <c r="D3004" s="2" t="s">
        <v>20</v>
      </c>
      <c r="E3004" s="2">
        <v>261</v>
      </c>
      <c r="F3004" s="2">
        <v>5222.388</v>
      </c>
    </row>
    <row r="3005" spans="3:6" x14ac:dyDescent="0.25">
      <c r="C3005" s="2" t="s">
        <v>4827</v>
      </c>
      <c r="D3005" s="2" t="s">
        <v>20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25</v>
      </c>
      <c r="C3007" s="2" t="s">
        <v>4828</v>
      </c>
      <c r="D3007" s="2" t="s">
        <v>27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4829</v>
      </c>
      <c r="D3008" s="2" t="s">
        <v>27</v>
      </c>
      <c r="E3008" s="2">
        <v>82</v>
      </c>
      <c r="F3008" s="2">
        <v>1516.144</v>
      </c>
    </row>
    <row r="3009" spans="3:6" x14ac:dyDescent="0.25">
      <c r="C3009" s="2" t="s">
        <v>4830</v>
      </c>
      <c r="D3009" s="2" t="s">
        <v>27</v>
      </c>
      <c r="E3009" s="2">
        <v>18</v>
      </c>
      <c r="F3009" s="2">
        <v>293.73</v>
      </c>
    </row>
    <row r="3010" spans="3:6" x14ac:dyDescent="0.25">
      <c r="C3010" s="2" t="s">
        <v>4831</v>
      </c>
      <c r="D3010" s="2" t="s">
        <v>27</v>
      </c>
      <c r="E3010" s="2">
        <v>45</v>
      </c>
      <c r="F3010" s="2">
        <v>824.08</v>
      </c>
    </row>
    <row r="3011" spans="3:6" x14ac:dyDescent="0.25">
      <c r="C3011" s="2" t="s">
        <v>4832</v>
      </c>
      <c r="D3011" s="2" t="s">
        <v>27</v>
      </c>
      <c r="E3011" s="2">
        <v>13</v>
      </c>
      <c r="F3011" s="2">
        <v>232.21</v>
      </c>
    </row>
    <row r="3012" spans="3:4" x14ac:dyDescent="0.25">
      <c r="C3012" s="2" t="s">
        <v>4833</v>
      </c>
      <c r="D3012" s="2" t="s">
        <v>27</v>
      </c>
    </row>
    <row r="3014" spans="1:7" x14ac:dyDescent="0.25">
      <c r="A3014" s="1">
        <v>46262</v>
      </c>
      <c r="B3014" s="2" t="s">
        <v>120</v>
      </c>
      <c r="C3014" s="2" t="s">
        <v>4834</v>
      </c>
      <c r="D3014" s="2" t="s">
        <v>122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4835</v>
      </c>
      <c r="D3015" s="2" t="s">
        <v>122</v>
      </c>
      <c r="E3015" s="2">
        <v>74</v>
      </c>
      <c r="F3015" s="2">
        <v>1481.72</v>
      </c>
    </row>
    <row r="3016" spans="3:6" x14ac:dyDescent="0.25">
      <c r="C3016" s="2" t="s">
        <v>4836</v>
      </c>
      <c r="D3016" s="2" t="s">
        <v>122</v>
      </c>
      <c r="E3016" s="2">
        <v>4</v>
      </c>
      <c r="F3016" s="2">
        <v>71.72</v>
      </c>
    </row>
    <row r="3017" spans="3:6" x14ac:dyDescent="0.25">
      <c r="C3017" s="2" t="s">
        <v>4837</v>
      </c>
      <c r="D3017" s="2" t="s">
        <v>122</v>
      </c>
      <c r="E3017" s="2">
        <v>43</v>
      </c>
      <c r="F3017" s="2">
        <v>860.55</v>
      </c>
    </row>
    <row r="3018" spans="3:6" x14ac:dyDescent="0.25">
      <c r="C3018" s="2" t="s">
        <v>4838</v>
      </c>
      <c r="D3018" s="2" t="s">
        <v>122</v>
      </c>
      <c r="E3018" s="2">
        <v>113</v>
      </c>
      <c r="F3018" s="2">
        <v>2412.845</v>
      </c>
    </row>
    <row r="3019" spans="3:6" x14ac:dyDescent="0.25">
      <c r="C3019" s="2" t="s">
        <v>4839</v>
      </c>
      <c r="D3019" s="2" t="s">
        <v>122</v>
      </c>
      <c r="E3019" s="2">
        <v>62</v>
      </c>
      <c r="F3019" s="2">
        <v>1202.48</v>
      </c>
    </row>
    <row r="3020" spans="3:6" x14ac:dyDescent="0.25">
      <c r="C3020" s="2" t="s">
        <v>4840</v>
      </c>
      <c r="D3020" s="2" t="s">
        <v>122</v>
      </c>
      <c r="E3020" s="2">
        <v>59</v>
      </c>
      <c r="F3020" s="2">
        <v>1192.39</v>
      </c>
    </row>
    <row r="3021" spans="3:6" x14ac:dyDescent="0.25">
      <c r="C3021" s="2" t="s">
        <v>4841</v>
      </c>
      <c r="D3021" s="2" t="s">
        <v>122</v>
      </c>
      <c r="E3021" s="2">
        <v>82</v>
      </c>
      <c r="F3021" s="2">
        <v>1613.889</v>
      </c>
    </row>
    <row r="3022" spans="3:6" x14ac:dyDescent="0.25">
      <c r="C3022" s="2" t="s">
        <v>4842</v>
      </c>
      <c r="D3022" s="2" t="s">
        <v>122</v>
      </c>
      <c r="E3022" s="2">
        <v>39</v>
      </c>
      <c r="F3022" s="2">
        <v>796.32</v>
      </c>
    </row>
    <row r="3023" spans="3:6" x14ac:dyDescent="0.25">
      <c r="C3023" s="2" t="s">
        <v>4843</v>
      </c>
      <c r="D3023" s="2" t="s">
        <v>122</v>
      </c>
      <c r="E3023" s="2">
        <v>102</v>
      </c>
      <c r="F3023" s="2">
        <v>2060.249</v>
      </c>
    </row>
    <row r="3024" spans="3:6" x14ac:dyDescent="0.25">
      <c r="C3024" s="2" t="s">
        <v>4844</v>
      </c>
      <c r="D3024" s="2" t="s">
        <v>122</v>
      </c>
      <c r="E3024" s="2">
        <v>61</v>
      </c>
      <c r="F3024" s="2">
        <v>1134.493</v>
      </c>
    </row>
    <row r="3025" spans="3:6" x14ac:dyDescent="0.25">
      <c r="C3025" s="2" t="s">
        <v>4845</v>
      </c>
      <c r="D3025" s="2" t="s">
        <v>122</v>
      </c>
      <c r="E3025" s="2">
        <v>102</v>
      </c>
      <c r="F3025" s="2">
        <v>2079.209</v>
      </c>
    </row>
    <row r="3026" spans="3:6" x14ac:dyDescent="0.25">
      <c r="C3026" s="2" t="s">
        <v>4846</v>
      </c>
      <c r="D3026" s="2" t="s">
        <v>122</v>
      </c>
      <c r="E3026" s="2">
        <v>52</v>
      </c>
      <c r="F3026" s="2">
        <v>230.899</v>
      </c>
    </row>
    <row r="3027" spans="3:6" x14ac:dyDescent="0.25">
      <c r="C3027" s="2" t="s">
        <v>4847</v>
      </c>
      <c r="D3027" s="2" t="s">
        <v>122</v>
      </c>
      <c r="E3027" s="2">
        <v>98</v>
      </c>
      <c r="F3027" s="2">
        <v>419.87</v>
      </c>
    </row>
    <row r="3028" spans="3:6" x14ac:dyDescent="0.25">
      <c r="C3028" s="2" t="s">
        <v>4848</v>
      </c>
      <c r="D3028" s="2" t="s">
        <v>122</v>
      </c>
      <c r="E3028" s="2">
        <v>17</v>
      </c>
      <c r="F3028" s="2">
        <v>345.129</v>
      </c>
    </row>
    <row r="3029" spans="3:6" x14ac:dyDescent="0.25">
      <c r="C3029" s="2" t="s">
        <v>4849</v>
      </c>
      <c r="D3029" s="2" t="s">
        <v>122</v>
      </c>
      <c r="E3029" s="2">
        <v>58</v>
      </c>
      <c r="F3029" s="2">
        <v>1174.41</v>
      </c>
    </row>
    <row r="3030" spans="3:6" x14ac:dyDescent="0.25">
      <c r="C3030" s="2" t="s">
        <v>4850</v>
      </c>
      <c r="D3030" s="2" t="s">
        <v>122</v>
      </c>
      <c r="E3030" s="2">
        <v>134</v>
      </c>
      <c r="F3030" s="2">
        <v>2687.46</v>
      </c>
    </row>
    <row r="3031" spans="3:6" x14ac:dyDescent="0.25">
      <c r="C3031" s="2" t="s">
        <v>4851</v>
      </c>
      <c r="D3031" s="2" t="s">
        <v>122</v>
      </c>
      <c r="E3031" s="2">
        <v>141</v>
      </c>
      <c r="F3031" s="2">
        <v>2787.85</v>
      </c>
    </row>
    <row r="3032" spans="3:6" x14ac:dyDescent="0.25">
      <c r="C3032" s="2" t="s">
        <v>4852</v>
      </c>
      <c r="D3032" s="2" t="s">
        <v>122</v>
      </c>
      <c r="E3032" s="2">
        <v>141</v>
      </c>
      <c r="F3032" s="2">
        <v>2891.5</v>
      </c>
    </row>
    <row r="3033" spans="3:6" x14ac:dyDescent="0.25">
      <c r="C3033" s="2" t="s">
        <v>4853</v>
      </c>
      <c r="D3033" s="2" t="s">
        <v>122</v>
      </c>
      <c r="E3033" s="2">
        <v>14</v>
      </c>
      <c r="F3033" s="2">
        <v>274.74</v>
      </c>
    </row>
    <row r="3034" spans="3:6" x14ac:dyDescent="0.25">
      <c r="C3034" s="2" t="s">
        <v>4854</v>
      </c>
      <c r="D3034" s="2" t="s">
        <v>122</v>
      </c>
      <c r="E3034" s="2">
        <v>48</v>
      </c>
      <c r="F3034" s="2">
        <v>974.32</v>
      </c>
    </row>
    <row r="3035" spans="3:6" x14ac:dyDescent="0.25">
      <c r="C3035" s="2" t="s">
        <v>4855</v>
      </c>
      <c r="D3035" s="2" t="s">
        <v>122</v>
      </c>
      <c r="E3035" s="2">
        <v>40</v>
      </c>
      <c r="F3035" s="2">
        <v>819.75</v>
      </c>
    </row>
    <row r="3036" spans="3:6" x14ac:dyDescent="0.25">
      <c r="C3036" s="2" t="s">
        <v>4856</v>
      </c>
      <c r="D3036" s="2" t="s">
        <v>122</v>
      </c>
      <c r="E3036" s="2">
        <v>23</v>
      </c>
      <c r="F3036" s="2">
        <v>493.24</v>
      </c>
    </row>
    <row r="3037" spans="3:6" x14ac:dyDescent="0.25">
      <c r="C3037" s="2" t="s">
        <v>4857</v>
      </c>
      <c r="D3037" s="2" t="s">
        <v>122</v>
      </c>
      <c r="E3037" s="2">
        <v>55</v>
      </c>
      <c r="F3037" s="2">
        <v>1144.25</v>
      </c>
    </row>
    <row r="3038" spans="3:6" x14ac:dyDescent="0.25">
      <c r="C3038" s="2" t="s">
        <v>4858</v>
      </c>
      <c r="D3038" s="2" t="s">
        <v>122</v>
      </c>
      <c r="E3038" s="2">
        <v>23</v>
      </c>
      <c r="F3038" s="2">
        <v>490.6</v>
      </c>
    </row>
    <row r="3039" spans="3:6" x14ac:dyDescent="0.25">
      <c r="C3039" s="2" t="s">
        <v>4859</v>
      </c>
      <c r="D3039" s="2" t="s">
        <v>122</v>
      </c>
      <c r="E3039" s="2">
        <v>14</v>
      </c>
      <c r="F3039" s="2">
        <v>283.05</v>
      </c>
    </row>
    <row r="3040" spans="3:6" x14ac:dyDescent="0.25">
      <c r="C3040" s="2" t="s">
        <v>4860</v>
      </c>
      <c r="D3040" s="2" t="s">
        <v>122</v>
      </c>
      <c r="E3040" s="2">
        <v>12</v>
      </c>
      <c r="F3040" s="2">
        <v>249.8</v>
      </c>
    </row>
    <row r="3041" spans="3:6" x14ac:dyDescent="0.25">
      <c r="C3041" s="2" t="s">
        <v>4861</v>
      </c>
      <c r="D3041" s="2" t="s">
        <v>122</v>
      </c>
      <c r="E3041" s="2">
        <v>5</v>
      </c>
      <c r="F3041" s="2">
        <v>101.7</v>
      </c>
    </row>
    <row r="3042" spans="3:6" x14ac:dyDescent="0.25">
      <c r="C3042" s="2" t="s">
        <v>4862</v>
      </c>
      <c r="D3042" s="2" t="s">
        <v>122</v>
      </c>
      <c r="E3042" s="2">
        <v>3</v>
      </c>
      <c r="F3042" s="2">
        <v>64.2</v>
      </c>
    </row>
    <row r="3043" spans="3:6" x14ac:dyDescent="0.25">
      <c r="C3043" s="2" t="s">
        <v>4863</v>
      </c>
      <c r="D3043" s="2" t="s">
        <v>122</v>
      </c>
      <c r="E3043" s="2">
        <v>4</v>
      </c>
      <c r="F3043" s="2">
        <v>82.05</v>
      </c>
    </row>
    <row r="3044" spans="3:6" x14ac:dyDescent="0.25">
      <c r="C3044" s="2" t="s">
        <v>4864</v>
      </c>
      <c r="D3044" s="2" t="s">
        <v>122</v>
      </c>
      <c r="E3044" s="2">
        <v>1</v>
      </c>
      <c r="F3044" s="2">
        <v>1.85</v>
      </c>
    </row>
    <row r="3045" spans="3:6" x14ac:dyDescent="0.25">
      <c r="C3045" s="2" t="s">
        <v>4865</v>
      </c>
      <c r="D3045" s="2" t="s">
        <v>122</v>
      </c>
      <c r="E3045" s="2">
        <v>141</v>
      </c>
      <c r="F3045" s="2">
        <v>2781.85</v>
      </c>
    </row>
    <row r="3046" spans="3:6" x14ac:dyDescent="0.25">
      <c r="C3046" s="2" t="s">
        <v>4866</v>
      </c>
      <c r="D3046" s="2" t="s">
        <v>122</v>
      </c>
      <c r="E3046" s="2">
        <v>141</v>
      </c>
      <c r="F3046" s="2">
        <v>2766.05</v>
      </c>
    </row>
    <row r="3047" spans="3:6" x14ac:dyDescent="0.25">
      <c r="C3047" s="2" t="s">
        <v>4867</v>
      </c>
      <c r="D3047" s="2" t="s">
        <v>122</v>
      </c>
      <c r="E3047" s="2">
        <v>141</v>
      </c>
      <c r="F3047" s="2">
        <v>2831.54</v>
      </c>
    </row>
    <row r="3048" spans="3:6" x14ac:dyDescent="0.25">
      <c r="C3048" s="2" t="s">
        <v>4868</v>
      </c>
      <c r="D3048" s="2" t="s">
        <v>122</v>
      </c>
      <c r="E3048" s="2">
        <v>74</v>
      </c>
      <c r="F3048" s="2">
        <v>1419.21</v>
      </c>
    </row>
    <row r="3049" spans="3:6" x14ac:dyDescent="0.25">
      <c r="C3049" s="2" t="s">
        <v>4869</v>
      </c>
      <c r="D3049" s="2" t="s">
        <v>122</v>
      </c>
      <c r="E3049" s="2">
        <v>67</v>
      </c>
      <c r="F3049" s="2">
        <v>1352.35</v>
      </c>
    </row>
    <row r="3050" spans="3:6" x14ac:dyDescent="0.25">
      <c r="C3050" s="2" t="s">
        <v>4870</v>
      </c>
      <c r="D3050" s="2" t="s">
        <v>122</v>
      </c>
      <c r="E3050" s="2">
        <v>18</v>
      </c>
      <c r="F3050" s="2">
        <v>369.85</v>
      </c>
    </row>
    <row r="3051" spans="3:6" x14ac:dyDescent="0.25">
      <c r="C3051" s="2" t="s">
        <v>4871</v>
      </c>
      <c r="D3051" s="2" t="s">
        <v>122</v>
      </c>
      <c r="E3051" s="2">
        <v>26</v>
      </c>
      <c r="F3051" s="2">
        <v>553.27</v>
      </c>
    </row>
    <row r="3052" spans="3:6" x14ac:dyDescent="0.25">
      <c r="C3052" s="2" t="s">
        <v>4872</v>
      </c>
      <c r="D3052" s="2" t="s">
        <v>122</v>
      </c>
      <c r="E3052" s="2">
        <v>19</v>
      </c>
      <c r="F3052" s="2">
        <v>362.23</v>
      </c>
    </row>
    <row r="3053" spans="3:6" x14ac:dyDescent="0.25">
      <c r="C3053" s="2" t="s">
        <v>4873</v>
      </c>
      <c r="D3053" s="2" t="s">
        <v>122</v>
      </c>
      <c r="E3053" s="2">
        <v>42</v>
      </c>
      <c r="F3053" s="2">
        <v>859.35</v>
      </c>
    </row>
    <row r="3054" spans="3:6" x14ac:dyDescent="0.25">
      <c r="C3054" s="2" t="s">
        <v>4874</v>
      </c>
      <c r="D3054" s="2" t="s">
        <v>122</v>
      </c>
      <c r="E3054" s="2">
        <v>24</v>
      </c>
      <c r="F3054" s="2">
        <v>491.21</v>
      </c>
    </row>
    <row r="3055" spans="3:6" x14ac:dyDescent="0.25">
      <c r="C3055" s="2" t="s">
        <v>4875</v>
      </c>
      <c r="D3055" s="2" t="s">
        <v>122</v>
      </c>
      <c r="E3055" s="2">
        <v>12</v>
      </c>
      <c r="F3055" s="2">
        <v>239.539</v>
      </c>
    </row>
    <row r="3056" spans="3:6" x14ac:dyDescent="0.25">
      <c r="C3056" s="2" t="s">
        <v>4876</v>
      </c>
      <c r="D3056" s="2" t="s">
        <v>122</v>
      </c>
      <c r="E3056" s="2">
        <v>82</v>
      </c>
      <c r="F3056" s="2">
        <v>1568.109</v>
      </c>
    </row>
    <row r="3057" spans="3:6" x14ac:dyDescent="0.25">
      <c r="C3057" s="2" t="s">
        <v>4877</v>
      </c>
      <c r="D3057" s="2" t="s">
        <v>122</v>
      </c>
      <c r="E3057" s="2">
        <v>59</v>
      </c>
      <c r="F3057" s="2">
        <v>1091.33</v>
      </c>
    </row>
    <row r="3058" spans="3:6" x14ac:dyDescent="0.25">
      <c r="C3058" s="2" t="s">
        <v>4878</v>
      </c>
      <c r="D3058" s="2" t="s">
        <v>122</v>
      </c>
      <c r="E3058" s="2">
        <v>34</v>
      </c>
      <c r="F3058" s="2">
        <v>657.67</v>
      </c>
    </row>
    <row r="3059" spans="3:6" x14ac:dyDescent="0.25">
      <c r="C3059" s="2" t="s">
        <v>4879</v>
      </c>
      <c r="D3059" s="2" t="s">
        <v>122</v>
      </c>
      <c r="E3059" s="2">
        <v>22</v>
      </c>
      <c r="F3059" s="2">
        <v>449.97</v>
      </c>
    </row>
    <row r="3060" spans="3:6" x14ac:dyDescent="0.25">
      <c r="C3060" s="2" t="s">
        <v>4880</v>
      </c>
      <c r="D3060" s="2" t="s">
        <v>122</v>
      </c>
      <c r="E3060" s="2">
        <v>19</v>
      </c>
      <c r="F3060" s="2">
        <v>365.78</v>
      </c>
    </row>
    <row r="3061" spans="3:6" x14ac:dyDescent="0.25">
      <c r="C3061" s="2" t="s">
        <v>4881</v>
      </c>
      <c r="D3061" s="2" t="s">
        <v>122</v>
      </c>
      <c r="E3061" s="2">
        <v>18</v>
      </c>
      <c r="F3061" s="2">
        <v>360.49</v>
      </c>
    </row>
    <row r="3062" spans="3:6" x14ac:dyDescent="0.25">
      <c r="C3062" s="2" t="s">
        <v>4882</v>
      </c>
      <c r="D3062" s="2" t="s">
        <v>122</v>
      </c>
      <c r="E3062" s="2">
        <v>18</v>
      </c>
      <c r="F3062" s="2">
        <v>348.91</v>
      </c>
    </row>
    <row r="3063" spans="3:6" x14ac:dyDescent="0.25">
      <c r="C3063" s="2" t="s">
        <v>4883</v>
      </c>
      <c r="D3063" s="2" t="s">
        <v>122</v>
      </c>
      <c r="E3063" s="2">
        <v>30</v>
      </c>
      <c r="F3063" s="2">
        <v>623.79</v>
      </c>
    </row>
    <row r="3064" spans="3:6" x14ac:dyDescent="0.25">
      <c r="C3064" s="2" t="s">
        <v>4884</v>
      </c>
      <c r="D3064" s="2" t="s">
        <v>122</v>
      </c>
      <c r="E3064" s="2">
        <v>141</v>
      </c>
      <c r="F3064" s="2">
        <v>2845.05</v>
      </c>
    </row>
    <row r="3065" spans="3:6" x14ac:dyDescent="0.25">
      <c r="C3065" s="2" t="s">
        <v>4885</v>
      </c>
      <c r="D3065" s="2" t="s">
        <v>122</v>
      </c>
      <c r="E3065" s="2">
        <v>82</v>
      </c>
      <c r="F3065" s="2">
        <v>507.187</v>
      </c>
    </row>
    <row r="3066" spans="3:6" x14ac:dyDescent="0.25">
      <c r="C3066" s="2" t="s">
        <v>4886</v>
      </c>
      <c r="D3066" s="2" t="s">
        <v>122</v>
      </c>
      <c r="E3066" s="2">
        <v>80</v>
      </c>
      <c r="F3066" s="2">
        <v>1336.988</v>
      </c>
    </row>
    <row r="3067" spans="3:4" x14ac:dyDescent="0.25">
      <c r="C3067" s="2" t="s">
        <v>4887</v>
      </c>
      <c r="D3067" s="2" t="s">
        <v>122</v>
      </c>
    </row>
    <row r="3069" spans="1:7" x14ac:dyDescent="0.25">
      <c r="A3069" s="1">
        <v>46262</v>
      </c>
      <c r="B3069" s="2" t="s">
        <v>40</v>
      </c>
      <c r="C3069" s="2" t="s">
        <v>4888</v>
      </c>
      <c r="D3069" s="2" t="s">
        <v>42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4889</v>
      </c>
      <c r="D3070" s="2" t="s">
        <v>42</v>
      </c>
      <c r="E3070" s="2">
        <v>141</v>
      </c>
      <c r="F3070" s="2">
        <v>2757.87</v>
      </c>
    </row>
    <row r="3071" spans="3:6" x14ac:dyDescent="0.25">
      <c r="C3071" s="2" t="s">
        <v>4890</v>
      </c>
      <c r="D3071" s="2" t="s">
        <v>42</v>
      </c>
      <c r="E3071" s="2">
        <v>141</v>
      </c>
      <c r="F3071" s="2">
        <v>2859.46</v>
      </c>
    </row>
    <row r="3072" spans="3:6" x14ac:dyDescent="0.25">
      <c r="C3072" s="2" t="s">
        <v>4891</v>
      </c>
      <c r="D3072" s="2" t="s">
        <v>42</v>
      </c>
      <c r="E3072" s="2">
        <v>123</v>
      </c>
      <c r="F3072" s="2">
        <v>2670.068</v>
      </c>
    </row>
    <row r="3073" spans="3:6" x14ac:dyDescent="0.25">
      <c r="C3073" s="2" t="s">
        <v>4892</v>
      </c>
      <c r="D3073" s="2" t="s">
        <v>42</v>
      </c>
      <c r="E3073" s="2">
        <v>123</v>
      </c>
      <c r="F3073" s="2">
        <v>2536.278</v>
      </c>
    </row>
    <row r="3074" spans="3:6" x14ac:dyDescent="0.25">
      <c r="C3074" s="2" t="s">
        <v>4893</v>
      </c>
      <c r="D3074" s="2" t="s">
        <v>42</v>
      </c>
      <c r="E3074" s="2">
        <v>141</v>
      </c>
      <c r="F3074" s="2">
        <v>2770.84</v>
      </c>
    </row>
    <row r="3075" spans="3:6" x14ac:dyDescent="0.25">
      <c r="C3075" s="2" t="s">
        <v>4894</v>
      </c>
      <c r="D3075" s="2" t="s">
        <v>42</v>
      </c>
      <c r="E3075" s="2">
        <v>141</v>
      </c>
      <c r="F3075" s="2">
        <v>2805.729</v>
      </c>
    </row>
    <row r="3076" spans="3:6" x14ac:dyDescent="0.25">
      <c r="C3076" s="2" t="s">
        <v>4895</v>
      </c>
      <c r="D3076" s="2" t="s">
        <v>42</v>
      </c>
      <c r="E3076" s="2">
        <v>100</v>
      </c>
      <c r="F3076" s="2">
        <v>1892.579</v>
      </c>
    </row>
    <row r="3077" spans="3:6" x14ac:dyDescent="0.25">
      <c r="C3077" s="2" t="s">
        <v>4896</v>
      </c>
      <c r="D3077" s="2" t="s">
        <v>42</v>
      </c>
      <c r="E3077" s="2">
        <v>33</v>
      </c>
      <c r="F3077" s="2">
        <v>607.4</v>
      </c>
    </row>
    <row r="3078" spans="3:6" x14ac:dyDescent="0.25">
      <c r="C3078" s="2" t="s">
        <v>4897</v>
      </c>
      <c r="D3078" s="2" t="s">
        <v>42</v>
      </c>
      <c r="E3078" s="2">
        <v>18</v>
      </c>
      <c r="F3078" s="2">
        <v>344.7</v>
      </c>
    </row>
    <row r="3079" spans="3:6" x14ac:dyDescent="0.25">
      <c r="C3079" s="2" t="s">
        <v>4898</v>
      </c>
      <c r="D3079" s="2" t="s">
        <v>42</v>
      </c>
      <c r="E3079" s="2">
        <v>123</v>
      </c>
      <c r="F3079" s="2">
        <v>2615.13</v>
      </c>
    </row>
    <row r="3080" spans="3:6" x14ac:dyDescent="0.25">
      <c r="C3080" s="2" t="s">
        <v>4899</v>
      </c>
      <c r="D3080" s="2" t="s">
        <v>42</v>
      </c>
      <c r="E3080" s="2">
        <v>141</v>
      </c>
      <c r="F3080" s="2">
        <v>2859.87</v>
      </c>
    </row>
    <row r="3081" spans="3:6" x14ac:dyDescent="0.25">
      <c r="C3081" s="2" t="s">
        <v>4900</v>
      </c>
      <c r="D3081" s="2" t="s">
        <v>42</v>
      </c>
      <c r="E3081" s="2">
        <v>108</v>
      </c>
      <c r="F3081" s="2">
        <v>2670.67</v>
      </c>
    </row>
    <row r="3082" spans="3:6" x14ac:dyDescent="0.25">
      <c r="C3082" s="2" t="s">
        <v>4901</v>
      </c>
      <c r="D3082" s="2" t="s">
        <v>42</v>
      </c>
      <c r="E3082" s="2">
        <v>141</v>
      </c>
      <c r="F3082" s="2">
        <v>2765.889</v>
      </c>
    </row>
    <row r="3083" spans="3:6" x14ac:dyDescent="0.25">
      <c r="C3083" s="2" t="s">
        <v>4902</v>
      </c>
      <c r="D3083" s="2" t="s">
        <v>42</v>
      </c>
      <c r="E3083" s="2">
        <v>10</v>
      </c>
      <c r="F3083" s="2">
        <v>231.56</v>
      </c>
    </row>
    <row r="3084" spans="3:6" x14ac:dyDescent="0.25">
      <c r="C3084" s="2" t="s">
        <v>4903</v>
      </c>
      <c r="D3084" s="2" t="s">
        <v>42</v>
      </c>
      <c r="E3084" s="2">
        <v>65</v>
      </c>
      <c r="F3084" s="2">
        <v>1461.78</v>
      </c>
    </row>
    <row r="3085" spans="3:6" x14ac:dyDescent="0.25">
      <c r="C3085" s="2" t="s">
        <v>4904</v>
      </c>
      <c r="D3085" s="2" t="s">
        <v>42</v>
      </c>
      <c r="E3085" s="2">
        <v>121</v>
      </c>
      <c r="F3085" s="2">
        <v>2188.946</v>
      </c>
    </row>
    <row r="3086" spans="3:6" x14ac:dyDescent="0.25">
      <c r="C3086" s="2" t="s">
        <v>4893</v>
      </c>
      <c r="D3086" s="2" t="s">
        <v>42</v>
      </c>
      <c r="E3086" s="2">
        <v>141</v>
      </c>
      <c r="F3086" s="2">
        <v>2770.84</v>
      </c>
    </row>
    <row r="3087" spans="3:6" x14ac:dyDescent="0.25">
      <c r="C3087" s="2" t="s">
        <v>4905</v>
      </c>
      <c r="D3087" s="2" t="s">
        <v>42</v>
      </c>
      <c r="E3087" s="2">
        <v>45</v>
      </c>
      <c r="F3087" s="2">
        <v>985.4</v>
      </c>
    </row>
    <row r="3088" spans="3:6" x14ac:dyDescent="0.25">
      <c r="C3088" s="2" t="s">
        <v>4906</v>
      </c>
      <c r="D3088" s="2" t="s">
        <v>42</v>
      </c>
      <c r="E3088" s="2">
        <v>32</v>
      </c>
      <c r="F3088" s="2">
        <v>707.29</v>
      </c>
    </row>
    <row r="3089" spans="3:6" x14ac:dyDescent="0.25">
      <c r="C3089" s="2" t="s">
        <v>4907</v>
      </c>
      <c r="D3089" s="2" t="s">
        <v>42</v>
      </c>
      <c r="E3089" s="2">
        <v>48</v>
      </c>
      <c r="F3089" s="2">
        <v>969.7</v>
      </c>
    </row>
    <row r="3090" spans="3:6" x14ac:dyDescent="0.25">
      <c r="C3090" s="2" t="s">
        <v>4908</v>
      </c>
      <c r="D3090" s="2" t="s">
        <v>42</v>
      </c>
      <c r="E3090" s="2">
        <v>28</v>
      </c>
      <c r="F3090" s="2">
        <v>576.13</v>
      </c>
    </row>
    <row r="3091" spans="3:6" x14ac:dyDescent="0.25">
      <c r="C3091" s="2" t="s">
        <v>4909</v>
      </c>
      <c r="D3091" s="2" t="s">
        <v>42</v>
      </c>
      <c r="E3091" s="2">
        <v>64</v>
      </c>
      <c r="F3091" s="2">
        <v>1083.782</v>
      </c>
    </row>
    <row r="3092" spans="3:6" x14ac:dyDescent="0.25">
      <c r="C3092" s="2" t="s">
        <v>4910</v>
      </c>
      <c r="D3092" s="2" t="s">
        <v>42</v>
      </c>
      <c r="E3092" s="2">
        <v>36</v>
      </c>
      <c r="F3092" s="2">
        <v>746.36</v>
      </c>
    </row>
    <row r="3093" spans="3:6" x14ac:dyDescent="0.25">
      <c r="C3093" s="2" t="s">
        <v>4911</v>
      </c>
      <c r="D3093" s="2" t="s">
        <v>42</v>
      </c>
      <c r="E3093" s="2">
        <v>105</v>
      </c>
      <c r="F3093" s="2">
        <v>2034.429</v>
      </c>
    </row>
    <row r="3094" spans="3:6" x14ac:dyDescent="0.25">
      <c r="C3094" s="2" t="s">
        <v>4912</v>
      </c>
      <c r="D3094" s="2" t="s">
        <v>42</v>
      </c>
      <c r="E3094" s="2">
        <v>37</v>
      </c>
      <c r="F3094" s="2">
        <v>677.68</v>
      </c>
    </row>
    <row r="3095" spans="3:6" x14ac:dyDescent="0.25">
      <c r="C3095" s="2" t="s">
        <v>4913</v>
      </c>
      <c r="D3095" s="2" t="s">
        <v>42</v>
      </c>
      <c r="E3095" s="2">
        <v>97</v>
      </c>
      <c r="F3095" s="2">
        <v>1669.013</v>
      </c>
    </row>
    <row r="3096" spans="3:6" x14ac:dyDescent="0.25">
      <c r="C3096" s="2" t="s">
        <v>4914</v>
      </c>
      <c r="D3096" s="2" t="s">
        <v>42</v>
      </c>
      <c r="E3096" s="2">
        <v>104</v>
      </c>
      <c r="F3096" s="2">
        <v>2009.59</v>
      </c>
    </row>
    <row r="3097" spans="3:6" x14ac:dyDescent="0.25">
      <c r="C3097" s="2" t="s">
        <v>4915</v>
      </c>
      <c r="D3097" s="2" t="s">
        <v>42</v>
      </c>
      <c r="E3097" s="2">
        <v>63</v>
      </c>
      <c r="F3097" s="2">
        <v>309.73</v>
      </c>
    </row>
    <row r="3098" spans="3:6" x14ac:dyDescent="0.25">
      <c r="C3098" s="2" t="s">
        <v>4916</v>
      </c>
      <c r="D3098" s="2" t="s">
        <v>42</v>
      </c>
      <c r="E3098" s="2">
        <v>62</v>
      </c>
      <c r="F3098" s="2">
        <v>1192.72</v>
      </c>
    </row>
    <row r="3099" spans="3:6" x14ac:dyDescent="0.25">
      <c r="C3099" s="2" t="s">
        <v>4917</v>
      </c>
      <c r="D3099" s="2" t="s">
        <v>42</v>
      </c>
      <c r="E3099" s="2">
        <v>79</v>
      </c>
      <c r="F3099" s="2">
        <v>1515.39</v>
      </c>
    </row>
    <row r="3100" spans="3:6" x14ac:dyDescent="0.25">
      <c r="C3100" s="2" t="s">
        <v>4918</v>
      </c>
      <c r="D3100" s="2" t="s">
        <v>42</v>
      </c>
      <c r="E3100" s="2">
        <v>25</v>
      </c>
      <c r="F3100" s="2">
        <v>472.189</v>
      </c>
    </row>
    <row r="3101" spans="3:6" x14ac:dyDescent="0.25">
      <c r="C3101" s="2" t="s">
        <v>4919</v>
      </c>
      <c r="D3101" s="2" t="s">
        <v>42</v>
      </c>
      <c r="E3101" s="2">
        <v>45</v>
      </c>
      <c r="F3101" s="2">
        <v>216.33</v>
      </c>
    </row>
    <row r="3102" spans="3:6" x14ac:dyDescent="0.25">
      <c r="C3102" s="2" t="s">
        <v>4920</v>
      </c>
      <c r="D3102" s="2" t="s">
        <v>42</v>
      </c>
      <c r="E3102" s="2">
        <v>45</v>
      </c>
      <c r="F3102" s="2">
        <v>233.68</v>
      </c>
    </row>
    <row r="3103" spans="3:6" x14ac:dyDescent="0.25">
      <c r="C3103" s="2" t="s">
        <v>4921</v>
      </c>
      <c r="D3103" s="2" t="s">
        <v>42</v>
      </c>
      <c r="E3103" s="2">
        <v>17</v>
      </c>
      <c r="F3103" s="2">
        <v>351.76</v>
      </c>
    </row>
    <row r="3104" spans="3:6" x14ac:dyDescent="0.25">
      <c r="C3104" s="2" t="s">
        <v>4922</v>
      </c>
      <c r="D3104" s="2" t="s">
        <v>42</v>
      </c>
      <c r="E3104" s="2">
        <v>11</v>
      </c>
      <c r="F3104" s="2">
        <v>244.03</v>
      </c>
    </row>
    <row r="3105" spans="3:6" x14ac:dyDescent="0.25">
      <c r="C3105" s="2" t="s">
        <v>4923</v>
      </c>
      <c r="D3105" s="2" t="s">
        <v>42</v>
      </c>
      <c r="E3105" s="2">
        <v>47</v>
      </c>
      <c r="F3105" s="2">
        <v>879.58</v>
      </c>
    </row>
    <row r="3106" spans="3:6" x14ac:dyDescent="0.25">
      <c r="C3106" s="2" t="s">
        <v>4924</v>
      </c>
      <c r="D3106" s="2" t="s">
        <v>42</v>
      </c>
      <c r="E3106" s="2">
        <v>28</v>
      </c>
      <c r="F3106" s="2">
        <v>559.221</v>
      </c>
    </row>
    <row r="3107" spans="3:6" x14ac:dyDescent="0.25">
      <c r="C3107" s="2" t="s">
        <v>4925</v>
      </c>
      <c r="D3107" s="2" t="s">
        <v>42</v>
      </c>
      <c r="E3107" s="2">
        <v>11</v>
      </c>
      <c r="F3107" s="2">
        <v>217.74</v>
      </c>
    </row>
    <row r="3108" spans="3:6" x14ac:dyDescent="0.25">
      <c r="C3108" s="2" t="s">
        <v>4926</v>
      </c>
      <c r="D3108" s="2" t="s">
        <v>42</v>
      </c>
      <c r="E3108" s="2">
        <v>70</v>
      </c>
      <c r="F3108" s="2">
        <v>1405.22</v>
      </c>
    </row>
    <row r="3109" spans="3:6" x14ac:dyDescent="0.25">
      <c r="C3109" s="2" t="s">
        <v>4927</v>
      </c>
      <c r="D3109" s="2" t="s">
        <v>42</v>
      </c>
      <c r="E3109" s="2">
        <v>100</v>
      </c>
      <c r="F3109" s="2">
        <v>1931.32</v>
      </c>
    </row>
    <row r="3110" spans="3:6" x14ac:dyDescent="0.25">
      <c r="C3110" s="2" t="s">
        <v>4928</v>
      </c>
      <c r="D3110" s="2" t="s">
        <v>42</v>
      </c>
      <c r="E3110" s="2">
        <v>120</v>
      </c>
      <c r="F3110" s="2">
        <v>2154.025</v>
      </c>
    </row>
    <row r="3111" spans="3:6" x14ac:dyDescent="0.25">
      <c r="C3111" s="2" t="s">
        <v>4929</v>
      </c>
      <c r="D3111" s="2" t="s">
        <v>42</v>
      </c>
      <c r="E3111" s="2">
        <v>48</v>
      </c>
      <c r="F3111" s="2">
        <v>921.89</v>
      </c>
    </row>
    <row r="3112" spans="3:6" x14ac:dyDescent="0.25">
      <c r="C3112" s="2" t="s">
        <v>4930</v>
      </c>
      <c r="D3112" s="2" t="s">
        <v>42</v>
      </c>
      <c r="E3112" s="2">
        <v>20</v>
      </c>
      <c r="F3112" s="2">
        <v>459</v>
      </c>
    </row>
    <row r="3113" spans="3:6" x14ac:dyDescent="0.25">
      <c r="C3113" s="2" t="s">
        <v>4931</v>
      </c>
      <c r="D3113" s="2" t="s">
        <v>42</v>
      </c>
      <c r="E3113" s="2">
        <v>34</v>
      </c>
      <c r="F3113" s="2">
        <v>624.535</v>
      </c>
    </row>
    <row r="3114" spans="3:6" x14ac:dyDescent="0.25">
      <c r="C3114" s="2" t="s">
        <v>4932</v>
      </c>
      <c r="D3114" s="2" t="s">
        <v>42</v>
      </c>
      <c r="E3114" s="2">
        <v>25</v>
      </c>
      <c r="F3114" s="2">
        <v>469.34</v>
      </c>
    </row>
    <row r="3115" spans="3:6" x14ac:dyDescent="0.25">
      <c r="C3115" s="2" t="s">
        <v>4933</v>
      </c>
      <c r="D3115" s="2" t="s">
        <v>42</v>
      </c>
      <c r="E3115" s="2">
        <v>21</v>
      </c>
      <c r="F3115" s="2">
        <v>393.04</v>
      </c>
    </row>
    <row r="3116" spans="3:6" x14ac:dyDescent="0.25">
      <c r="C3116" s="2" t="s">
        <v>4934</v>
      </c>
      <c r="D3116" s="2" t="s">
        <v>42</v>
      </c>
      <c r="E3116" s="2">
        <v>9</v>
      </c>
      <c r="F3116" s="2">
        <v>155.25</v>
      </c>
    </row>
    <row r="3117" spans="3:6" x14ac:dyDescent="0.25">
      <c r="C3117" s="2" t="s">
        <v>4935</v>
      </c>
      <c r="D3117" s="2" t="s">
        <v>42</v>
      </c>
      <c r="E3117" s="2">
        <v>40</v>
      </c>
      <c r="F3117" s="2">
        <v>808.97</v>
      </c>
    </row>
    <row r="3118" spans="3:6" x14ac:dyDescent="0.25">
      <c r="C3118" s="2" t="s">
        <v>4936</v>
      </c>
      <c r="D3118" s="2" t="s">
        <v>42</v>
      </c>
      <c r="E3118" s="2">
        <v>34</v>
      </c>
      <c r="F3118" s="2">
        <v>644.57</v>
      </c>
    </row>
    <row r="3119" spans="3:6" x14ac:dyDescent="0.25">
      <c r="C3119" s="2" t="s">
        <v>4937</v>
      </c>
      <c r="D3119" s="2" t="s">
        <v>42</v>
      </c>
      <c r="E3119" s="2">
        <v>17</v>
      </c>
      <c r="F3119" s="2">
        <v>338.69</v>
      </c>
    </row>
    <row r="3120" spans="3:6" x14ac:dyDescent="0.25">
      <c r="C3120" s="2" t="s">
        <v>4938</v>
      </c>
      <c r="D3120" s="2" t="s">
        <v>42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14</v>
      </c>
      <c r="C3122" s="2" t="s">
        <v>4939</v>
      </c>
      <c r="D3122" s="2" t="s">
        <v>12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4940</v>
      </c>
      <c r="D3123" s="2" t="s">
        <v>12</v>
      </c>
      <c r="E3123" s="2">
        <v>150</v>
      </c>
      <c r="F3123" s="2">
        <v>3084.559</v>
      </c>
    </row>
    <row r="3124" spans="3:6" x14ac:dyDescent="0.25">
      <c r="C3124" s="2" t="s">
        <v>4941</v>
      </c>
      <c r="D3124" s="2" t="s">
        <v>12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10</v>
      </c>
      <c r="C3126" s="2" t="s">
        <v>4942</v>
      </c>
      <c r="D3126" s="2" t="s">
        <v>12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4943</v>
      </c>
      <c r="D3127" s="2" t="s">
        <v>12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4944</v>
      </c>
      <c r="C3129" s="2" t="s">
        <v>4945</v>
      </c>
      <c r="D3129" s="2" t="s">
        <v>204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4946</v>
      </c>
      <c r="D3130" s="2" t="s">
        <v>204</v>
      </c>
      <c r="E3130" s="2">
        <v>163</v>
      </c>
      <c r="F3130" s="2">
        <v>3106.669</v>
      </c>
    </row>
    <row r="3131" spans="3:6" x14ac:dyDescent="0.25">
      <c r="C3131" s="2" t="s">
        <v>4947</v>
      </c>
      <c r="D3131" s="2" t="s">
        <v>214</v>
      </c>
      <c r="E3131" s="2">
        <v>156</v>
      </c>
      <c r="F3131" s="2">
        <v>3156.69</v>
      </c>
    </row>
    <row r="3132" spans="3:6" x14ac:dyDescent="0.25">
      <c r="C3132" s="2" t="s">
        <v>4948</v>
      </c>
      <c r="D3132" s="2" t="s">
        <v>214</v>
      </c>
      <c r="E3132" s="2">
        <v>156</v>
      </c>
      <c r="F3132" s="2">
        <v>3148.58</v>
      </c>
    </row>
    <row r="3133" spans="3:6" x14ac:dyDescent="0.25">
      <c r="C3133" s="2" t="s">
        <v>4949</v>
      </c>
      <c r="D3133" s="2" t="s">
        <v>216</v>
      </c>
      <c r="E3133" s="2">
        <v>163</v>
      </c>
      <c r="F3133" s="2">
        <v>3305.72</v>
      </c>
    </row>
    <row r="3134" spans="3:6" x14ac:dyDescent="0.25">
      <c r="C3134" s="2" t="s">
        <v>4950</v>
      </c>
      <c r="D3134" s="2" t="s">
        <v>347</v>
      </c>
      <c r="E3134" s="2">
        <v>56</v>
      </c>
      <c r="F3134" s="2">
        <v>1029.25</v>
      </c>
    </row>
    <row r="3135" spans="3:6" x14ac:dyDescent="0.25">
      <c r="C3135" s="2" t="s">
        <v>4951</v>
      </c>
      <c r="D3135" s="2" t="s">
        <v>347</v>
      </c>
      <c r="E3135" s="2">
        <v>100</v>
      </c>
      <c r="F3135" s="2">
        <v>1888.95</v>
      </c>
    </row>
    <row r="3136" spans="3:6" x14ac:dyDescent="0.25">
      <c r="C3136" s="2" t="s">
        <v>4952</v>
      </c>
      <c r="D3136" s="2" t="s">
        <v>204</v>
      </c>
      <c r="E3136" s="2">
        <v>58</v>
      </c>
      <c r="F3136" s="2">
        <v>1320.04</v>
      </c>
    </row>
    <row r="3137" spans="3:6" x14ac:dyDescent="0.25">
      <c r="C3137" s="2" t="s">
        <v>4953</v>
      </c>
      <c r="D3137" s="2" t="s">
        <v>214</v>
      </c>
      <c r="E3137" s="2">
        <v>56</v>
      </c>
      <c r="F3137" s="2">
        <v>1126.08</v>
      </c>
    </row>
    <row r="3138" spans="3:6" x14ac:dyDescent="0.25">
      <c r="C3138" s="2" t="s">
        <v>4954</v>
      </c>
      <c r="D3138" s="2" t="s">
        <v>214</v>
      </c>
      <c r="E3138" s="2">
        <v>100</v>
      </c>
      <c r="F3138" s="2">
        <v>1984.709</v>
      </c>
    </row>
    <row r="3139" spans="3:6" x14ac:dyDescent="0.25">
      <c r="C3139" s="2" t="s">
        <v>4955</v>
      </c>
      <c r="D3139" s="2" t="s">
        <v>204</v>
      </c>
      <c r="E3139" s="2">
        <v>124</v>
      </c>
      <c r="F3139" s="2">
        <v>503.798</v>
      </c>
    </row>
    <row r="3140" spans="3:6" x14ac:dyDescent="0.25">
      <c r="C3140" s="2" t="s">
        <v>4956</v>
      </c>
      <c r="D3140" s="2" t="s">
        <v>204</v>
      </c>
      <c r="E3140" s="2">
        <v>163</v>
      </c>
      <c r="F3140" s="2">
        <v>3152.51</v>
      </c>
    </row>
    <row r="3141" spans="3:6" x14ac:dyDescent="0.25">
      <c r="C3141" s="2" t="s">
        <v>4957</v>
      </c>
      <c r="D3141" s="2" t="s">
        <v>204</v>
      </c>
      <c r="E3141" s="2">
        <v>163</v>
      </c>
      <c r="F3141" s="2">
        <v>3000.67</v>
      </c>
    </row>
    <row r="3142" spans="3:6" x14ac:dyDescent="0.25">
      <c r="C3142" s="2" t="s">
        <v>4958</v>
      </c>
      <c r="D3142" s="2" t="s">
        <v>204</v>
      </c>
      <c r="E3142" s="2">
        <v>134</v>
      </c>
      <c r="F3142" s="2">
        <v>2595.419</v>
      </c>
    </row>
    <row r="3143" spans="3:6" x14ac:dyDescent="0.25">
      <c r="C3143" s="2" t="s">
        <v>4959</v>
      </c>
      <c r="D3143" s="2" t="s">
        <v>204</v>
      </c>
      <c r="E3143" s="2">
        <v>134</v>
      </c>
      <c r="F3143" s="2">
        <v>2438.7</v>
      </c>
    </row>
    <row r="3144" spans="3:6" x14ac:dyDescent="0.25">
      <c r="C3144" s="2" t="s">
        <v>4960</v>
      </c>
      <c r="D3144" s="2" t="s">
        <v>216</v>
      </c>
      <c r="E3144" s="2">
        <v>36</v>
      </c>
      <c r="F3144" s="2">
        <v>677.99</v>
      </c>
    </row>
    <row r="3145" spans="3:6" x14ac:dyDescent="0.25">
      <c r="C3145" s="2" t="s">
        <v>4961</v>
      </c>
      <c r="D3145" s="2" t="s">
        <v>216</v>
      </c>
      <c r="E3145" s="2">
        <v>163</v>
      </c>
      <c r="F3145" s="2">
        <v>3226.75</v>
      </c>
    </row>
    <row r="3146" spans="3:6" x14ac:dyDescent="0.25">
      <c r="C3146" s="2" t="s">
        <v>4962</v>
      </c>
      <c r="D3146" s="2" t="s">
        <v>216</v>
      </c>
      <c r="E3146" s="2">
        <v>163</v>
      </c>
      <c r="F3146" s="2">
        <v>3185.79</v>
      </c>
    </row>
    <row r="3147" spans="3:6" x14ac:dyDescent="0.25">
      <c r="C3147" s="2" t="s">
        <v>4963</v>
      </c>
      <c r="D3147" s="2" t="s">
        <v>204</v>
      </c>
      <c r="E3147" s="2">
        <v>134</v>
      </c>
      <c r="F3147" s="2">
        <v>2649.21</v>
      </c>
    </row>
    <row r="3148" spans="3:6" x14ac:dyDescent="0.25">
      <c r="C3148" s="2" t="s">
        <v>4964</v>
      </c>
      <c r="D3148" s="2" t="s">
        <v>216</v>
      </c>
      <c r="E3148" s="2">
        <v>163</v>
      </c>
      <c r="F3148" s="2">
        <v>3300.47</v>
      </c>
    </row>
    <row r="3149" spans="3:6" x14ac:dyDescent="0.25">
      <c r="C3149" s="2" t="s">
        <v>4965</v>
      </c>
      <c r="D3149" s="2" t="s">
        <v>216</v>
      </c>
      <c r="E3149" s="2">
        <v>163</v>
      </c>
      <c r="F3149" s="2">
        <v>3316.58</v>
      </c>
    </row>
    <row r="3150" spans="3:6" x14ac:dyDescent="0.25">
      <c r="C3150" s="2" t="s">
        <v>4966</v>
      </c>
      <c r="D3150" s="2" t="s">
        <v>216</v>
      </c>
      <c r="E3150" s="2">
        <v>163</v>
      </c>
      <c r="F3150" s="2">
        <v>3173.249</v>
      </c>
    </row>
    <row r="3151" spans="3:6" x14ac:dyDescent="0.25">
      <c r="C3151" s="2" t="s">
        <v>4967</v>
      </c>
      <c r="D3151" s="2" t="s">
        <v>236</v>
      </c>
      <c r="E3151" s="2">
        <v>45</v>
      </c>
      <c r="F3151" s="2">
        <v>829.31</v>
      </c>
    </row>
    <row r="3152" spans="3:6" x14ac:dyDescent="0.25">
      <c r="C3152" s="2" t="s">
        <v>4968</v>
      </c>
      <c r="D3152" s="2" t="s">
        <v>236</v>
      </c>
      <c r="E3152" s="2">
        <v>60</v>
      </c>
      <c r="F3152" s="2">
        <v>1079.43</v>
      </c>
    </row>
    <row r="3153" spans="3:6" x14ac:dyDescent="0.25">
      <c r="C3153" s="2" t="s">
        <v>4969</v>
      </c>
      <c r="D3153" s="2" t="s">
        <v>236</v>
      </c>
      <c r="E3153" s="2">
        <v>80</v>
      </c>
      <c r="F3153" s="2">
        <v>1554.449</v>
      </c>
    </row>
    <row r="3154" spans="3:6" x14ac:dyDescent="0.25">
      <c r="C3154" s="2" t="s">
        <v>4970</v>
      </c>
      <c r="D3154" s="2" t="s">
        <v>236</v>
      </c>
      <c r="E3154" s="2">
        <v>25</v>
      </c>
      <c r="F3154" s="2">
        <v>448.62</v>
      </c>
    </row>
    <row r="3155" spans="3:6" x14ac:dyDescent="0.25">
      <c r="C3155" s="2" t="s">
        <v>4971</v>
      </c>
      <c r="D3155" s="2" t="s">
        <v>204</v>
      </c>
      <c r="E3155" s="2">
        <v>134</v>
      </c>
      <c r="F3155" s="2">
        <v>2621.73</v>
      </c>
    </row>
    <row r="3156" spans="3:6" x14ac:dyDescent="0.25">
      <c r="C3156" s="2" t="s">
        <v>4972</v>
      </c>
      <c r="D3156" s="2" t="s">
        <v>204</v>
      </c>
      <c r="E3156" s="2">
        <v>134</v>
      </c>
      <c r="F3156" s="2">
        <v>2527.61</v>
      </c>
    </row>
    <row r="3157" spans="3:6" x14ac:dyDescent="0.25">
      <c r="C3157" s="2" t="s">
        <v>4973</v>
      </c>
      <c r="D3157" s="2" t="s">
        <v>204</v>
      </c>
      <c r="E3157" s="2">
        <v>134</v>
      </c>
      <c r="F3157" s="2">
        <v>2553.78</v>
      </c>
    </row>
    <row r="3158" spans="3:6" x14ac:dyDescent="0.25">
      <c r="C3158" s="2" t="s">
        <v>4974</v>
      </c>
      <c r="D3158" s="2" t="s">
        <v>236</v>
      </c>
      <c r="E3158" s="2">
        <v>45</v>
      </c>
      <c r="F3158" s="2">
        <v>798.868</v>
      </c>
    </row>
    <row r="3159" spans="3:6" x14ac:dyDescent="0.25">
      <c r="C3159" s="2" t="s">
        <v>4975</v>
      </c>
      <c r="D3159" s="2" t="s">
        <v>236</v>
      </c>
      <c r="E3159" s="2">
        <v>60</v>
      </c>
      <c r="F3159" s="2">
        <v>1066.03</v>
      </c>
    </row>
    <row r="3160" spans="3:6" x14ac:dyDescent="0.25">
      <c r="C3160" s="2" t="s">
        <v>4976</v>
      </c>
      <c r="D3160" s="2" t="s">
        <v>236</v>
      </c>
      <c r="E3160" s="2">
        <v>80</v>
      </c>
      <c r="F3160" s="2">
        <v>1524.17</v>
      </c>
    </row>
    <row r="3161" spans="3:6" x14ac:dyDescent="0.25">
      <c r="C3161" s="2" t="s">
        <v>4977</v>
      </c>
      <c r="D3161" s="2" t="s">
        <v>236</v>
      </c>
      <c r="E3161" s="2">
        <v>25</v>
      </c>
      <c r="F3161" s="2">
        <v>487.49</v>
      </c>
    </row>
    <row r="3162" spans="3:6" x14ac:dyDescent="0.25">
      <c r="C3162" s="2" t="s">
        <v>4978</v>
      </c>
      <c r="D3162" s="2" t="s">
        <v>347</v>
      </c>
      <c r="E3162" s="2">
        <v>100</v>
      </c>
      <c r="F3162" s="2">
        <v>1875.22</v>
      </c>
    </row>
    <row r="3163" spans="3:6" x14ac:dyDescent="0.25">
      <c r="C3163" s="2" t="s">
        <v>4979</v>
      </c>
      <c r="D3163" s="2" t="s">
        <v>347</v>
      </c>
      <c r="E3163" s="2">
        <v>56</v>
      </c>
      <c r="F3163" s="2">
        <v>1074.32</v>
      </c>
    </row>
    <row r="3164" spans="3:6" x14ac:dyDescent="0.25">
      <c r="C3164" s="2" t="s">
        <v>4679</v>
      </c>
      <c r="D3164" s="2" t="s">
        <v>204</v>
      </c>
      <c r="E3164" s="2">
        <v>100</v>
      </c>
      <c r="F3164" s="2">
        <v>1719.367</v>
      </c>
    </row>
    <row r="3165" spans="3:6" x14ac:dyDescent="0.25">
      <c r="C3165" s="2" t="s">
        <v>4980</v>
      </c>
      <c r="D3165" s="2" t="s">
        <v>204</v>
      </c>
      <c r="E3165" s="2">
        <v>163</v>
      </c>
      <c r="F3165" s="2">
        <v>3013.588</v>
      </c>
    </row>
    <row r="3167" spans="2:7" x14ac:dyDescent="0.25">
      <c r="B3167" s="2" t="s">
        <v>2077</v>
      </c>
      <c r="C3167" s="2" t="s">
        <v>4981</v>
      </c>
      <c r="D3167" s="2" t="s">
        <v>297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4982</v>
      </c>
      <c r="D3168" s="2" t="s">
        <v>216</v>
      </c>
      <c r="E3168" s="2">
        <v>148</v>
      </c>
      <c r="F3168" s="2">
        <v>2730.25</v>
      </c>
    </row>
    <row r="3169" spans="3:6" x14ac:dyDescent="0.25">
      <c r="C3169" s="2" t="s">
        <v>4983</v>
      </c>
      <c r="D3169" s="2" t="s">
        <v>297</v>
      </c>
      <c r="E3169" s="2">
        <v>156</v>
      </c>
      <c r="F3169" s="2">
        <v>2907.85</v>
      </c>
    </row>
    <row r="3170" spans="3:6" x14ac:dyDescent="0.25">
      <c r="C3170" s="2" t="s">
        <v>4984</v>
      </c>
      <c r="D3170" s="2" t="s">
        <v>216</v>
      </c>
      <c r="E3170" s="2">
        <v>56</v>
      </c>
      <c r="F3170" s="2">
        <v>1002.64</v>
      </c>
    </row>
    <row r="3171" spans="3:6" x14ac:dyDescent="0.25">
      <c r="C3171" s="2" t="s">
        <v>4985</v>
      </c>
      <c r="D3171" s="2" t="s">
        <v>216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1101</v>
      </c>
      <c r="C3173" s="2" t="s">
        <v>4986</v>
      </c>
      <c r="D3173" s="2" t="s">
        <v>20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4987</v>
      </c>
      <c r="D3174" s="2" t="s">
        <v>20</v>
      </c>
      <c r="E3174" s="2">
        <v>207</v>
      </c>
      <c r="F3174" s="2">
        <v>3819.38</v>
      </c>
    </row>
    <row r="3175" spans="3:6" x14ac:dyDescent="0.25">
      <c r="C3175" s="2" t="s">
        <v>4988</v>
      </c>
      <c r="D3175" s="2" t="s">
        <v>20</v>
      </c>
      <c r="E3175" s="2">
        <v>156</v>
      </c>
      <c r="F3175" s="2">
        <v>2865.89</v>
      </c>
    </row>
    <row r="3176" spans="3:6" x14ac:dyDescent="0.25">
      <c r="C3176" s="2" t="s">
        <v>4989</v>
      </c>
      <c r="D3176" s="2" t="s">
        <v>20</v>
      </c>
      <c r="E3176" s="2">
        <v>105</v>
      </c>
      <c r="F3176" s="2">
        <v>2018.848</v>
      </c>
    </row>
    <row r="3177" spans="3:6" x14ac:dyDescent="0.25">
      <c r="C3177" s="2" t="s">
        <v>4990</v>
      </c>
      <c r="D3177" s="2" t="s">
        <v>20</v>
      </c>
      <c r="E3177" s="2">
        <v>243</v>
      </c>
      <c r="F3177" s="2">
        <v>4813.53</v>
      </c>
    </row>
    <row r="3178" spans="3:6" x14ac:dyDescent="0.25">
      <c r="C3178" s="2" t="s">
        <v>4991</v>
      </c>
      <c r="D3178" s="2" t="s">
        <v>20</v>
      </c>
      <c r="E3178" s="2">
        <v>133</v>
      </c>
      <c r="F3178" s="2">
        <v>2518.97</v>
      </c>
    </row>
    <row r="3179" spans="3:6" x14ac:dyDescent="0.25">
      <c r="C3179" s="2" t="s">
        <v>4992</v>
      </c>
      <c r="D3179" s="2" t="s">
        <v>20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18</v>
      </c>
      <c r="C3181" s="2" t="s">
        <v>4993</v>
      </c>
      <c r="D3181" s="2" t="s">
        <v>20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4994</v>
      </c>
      <c r="D3182" s="2" t="s">
        <v>20</v>
      </c>
      <c r="E3182" s="2">
        <v>142</v>
      </c>
      <c r="F3182" s="2">
        <v>2577.718</v>
      </c>
    </row>
    <row r="3183" spans="3:6" x14ac:dyDescent="0.25">
      <c r="C3183" s="2" t="s">
        <v>4995</v>
      </c>
      <c r="D3183" s="2" t="s">
        <v>20</v>
      </c>
      <c r="E3183" s="2">
        <v>142</v>
      </c>
      <c r="F3183" s="2">
        <v>2818.009</v>
      </c>
    </row>
    <row r="3184" spans="3:6" x14ac:dyDescent="0.25">
      <c r="C3184" s="2" t="s">
        <v>4996</v>
      </c>
      <c r="D3184" s="2" t="s">
        <v>20</v>
      </c>
      <c r="E3184" s="2">
        <v>102</v>
      </c>
      <c r="F3184" s="2">
        <v>2021.59</v>
      </c>
    </row>
    <row r="3185" spans="3:6" x14ac:dyDescent="0.25">
      <c r="C3185" s="2" t="s">
        <v>4997</v>
      </c>
      <c r="D3185" s="2" t="s">
        <v>20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2738</v>
      </c>
      <c r="C3187" s="2" t="s">
        <v>4998</v>
      </c>
      <c r="D3187" s="2" t="s">
        <v>20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4999</v>
      </c>
      <c r="D3188" s="2" t="s">
        <v>20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5000</v>
      </c>
      <c r="C3190" s="2" t="s">
        <v>5001</v>
      </c>
      <c r="D3190" s="2" t="s">
        <v>342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324</v>
      </c>
      <c r="C3192" s="2" t="s">
        <v>5002</v>
      </c>
      <c r="D3192" s="2" t="s">
        <v>27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5003</v>
      </c>
      <c r="D3193" s="2" t="s">
        <v>27</v>
      </c>
      <c r="E3193" s="2">
        <v>91</v>
      </c>
      <c r="F3193" s="2">
        <v>1850.16</v>
      </c>
    </row>
    <row r="3194" spans="3:6" x14ac:dyDescent="0.25">
      <c r="C3194" s="2" t="s">
        <v>5004</v>
      </c>
      <c r="D3194" s="2" t="s">
        <v>27</v>
      </c>
      <c r="E3194" s="2">
        <v>100</v>
      </c>
      <c r="F3194" s="2">
        <v>1612.936</v>
      </c>
    </row>
    <row r="3195" spans="3:6" x14ac:dyDescent="0.25">
      <c r="C3195" s="2" t="s">
        <v>5005</v>
      </c>
      <c r="D3195" s="2" t="s">
        <v>27</v>
      </c>
      <c r="E3195" s="2">
        <v>17</v>
      </c>
      <c r="F3195" s="2">
        <v>290.08</v>
      </c>
    </row>
    <row r="3196" spans="3:6" x14ac:dyDescent="0.25">
      <c r="C3196" s="2" t="s">
        <v>5006</v>
      </c>
      <c r="D3196" s="2" t="s">
        <v>27</v>
      </c>
      <c r="E3196" s="2">
        <v>26</v>
      </c>
      <c r="F3196" s="2">
        <v>489.99</v>
      </c>
    </row>
    <row r="3197" spans="3:6" x14ac:dyDescent="0.25">
      <c r="C3197" s="2" t="s">
        <v>5007</v>
      </c>
      <c r="D3197" s="2" t="s">
        <v>27</v>
      </c>
      <c r="E3197" s="2">
        <v>46</v>
      </c>
      <c r="F3197" s="2">
        <v>892.969</v>
      </c>
    </row>
    <row r="3198" spans="3:6" x14ac:dyDescent="0.25">
      <c r="C3198" s="2" t="s">
        <v>5008</v>
      </c>
      <c r="D3198" s="2" t="s">
        <v>27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10</v>
      </c>
      <c r="C3200" s="2" t="s">
        <v>5009</v>
      </c>
      <c r="D3200" s="2" t="s">
        <v>12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5010</v>
      </c>
      <c r="D3201" s="2" t="s">
        <v>12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453</v>
      </c>
      <c r="C3203" s="2" t="s">
        <v>5011</v>
      </c>
      <c r="D3203" s="2" t="s">
        <v>204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5012</v>
      </c>
      <c r="D3204" s="2" t="s">
        <v>204</v>
      </c>
      <c r="E3204" s="2">
        <v>163</v>
      </c>
      <c r="F3204" s="2">
        <v>3133.428</v>
      </c>
    </row>
    <row r="3205" spans="3:6" x14ac:dyDescent="0.25">
      <c r="C3205" s="2" t="s">
        <v>5013</v>
      </c>
      <c r="D3205" s="2" t="s">
        <v>204</v>
      </c>
      <c r="E3205" s="2">
        <v>163</v>
      </c>
      <c r="F3205" s="2">
        <v>2990.956</v>
      </c>
    </row>
    <row r="3206" spans="3:6" x14ac:dyDescent="0.25">
      <c r="C3206" s="2" t="s">
        <v>5014</v>
      </c>
      <c r="D3206" s="2" t="s">
        <v>204</v>
      </c>
      <c r="E3206" s="2">
        <v>105</v>
      </c>
      <c r="F3206" s="2">
        <v>2022</v>
      </c>
    </row>
    <row r="3207" spans="3:6" x14ac:dyDescent="0.25">
      <c r="C3207" s="2" t="s">
        <v>5015</v>
      </c>
      <c r="D3207" s="2" t="s">
        <v>204</v>
      </c>
      <c r="E3207" s="2">
        <v>48</v>
      </c>
      <c r="F3207" s="2">
        <v>1087.44</v>
      </c>
    </row>
    <row r="3208" spans="3:6" x14ac:dyDescent="0.25">
      <c r="C3208" s="2" t="s">
        <v>5016</v>
      </c>
      <c r="D3208" s="2" t="s">
        <v>204</v>
      </c>
      <c r="E3208" s="2">
        <v>111</v>
      </c>
      <c r="F3208" s="2">
        <v>1086.644</v>
      </c>
    </row>
    <row r="3209" spans="3:6" x14ac:dyDescent="0.25">
      <c r="C3209" s="2" t="s">
        <v>5017</v>
      </c>
      <c r="D3209" s="2" t="s">
        <v>204</v>
      </c>
      <c r="E3209" s="2">
        <v>53</v>
      </c>
      <c r="F3209" s="2">
        <v>1067.49</v>
      </c>
    </row>
    <row r="3210" spans="3:6" x14ac:dyDescent="0.25">
      <c r="C3210" s="2" t="s">
        <v>5018</v>
      </c>
      <c r="D3210" s="2" t="s">
        <v>204</v>
      </c>
      <c r="E3210" s="2">
        <v>52</v>
      </c>
      <c r="F3210" s="2">
        <v>992.7</v>
      </c>
    </row>
    <row r="3211" spans="3:6" x14ac:dyDescent="0.25">
      <c r="C3211" s="2" t="s">
        <v>5019</v>
      </c>
      <c r="D3211" s="2" t="s">
        <v>204</v>
      </c>
      <c r="E3211" s="2">
        <v>163</v>
      </c>
      <c r="F3211" s="2">
        <v>3134.418</v>
      </c>
    </row>
    <row r="3212" spans="3:6" x14ac:dyDescent="0.25">
      <c r="C3212" s="2" t="s">
        <v>5020</v>
      </c>
      <c r="D3212" s="2" t="s">
        <v>204</v>
      </c>
      <c r="E3212" s="2">
        <v>163</v>
      </c>
      <c r="F3212" s="2">
        <v>3059.26</v>
      </c>
    </row>
    <row r="3213" spans="3:6" x14ac:dyDescent="0.25">
      <c r="C3213" s="2" t="s">
        <v>5021</v>
      </c>
      <c r="D3213" s="2" t="s">
        <v>204</v>
      </c>
      <c r="E3213" s="2">
        <v>163</v>
      </c>
      <c r="F3213" s="2">
        <v>2878.179</v>
      </c>
    </row>
    <row r="3214" spans="3:6" x14ac:dyDescent="0.25">
      <c r="C3214" s="2" t="s">
        <v>5022</v>
      </c>
      <c r="D3214" s="2" t="s">
        <v>204</v>
      </c>
      <c r="E3214" s="2">
        <v>163</v>
      </c>
      <c r="F3214" s="2">
        <v>3112.578</v>
      </c>
    </row>
    <row r="3215" spans="3:6" x14ac:dyDescent="0.25">
      <c r="C3215" s="2" t="s">
        <v>5023</v>
      </c>
      <c r="D3215" s="2" t="s">
        <v>204</v>
      </c>
      <c r="E3215" s="2">
        <v>163</v>
      </c>
      <c r="F3215" s="2">
        <v>2902.119</v>
      </c>
    </row>
    <row r="3216" spans="3:6" x14ac:dyDescent="0.25">
      <c r="C3216" s="2" t="s">
        <v>5024</v>
      </c>
      <c r="D3216" s="2" t="s">
        <v>204</v>
      </c>
      <c r="E3216" s="2">
        <v>163</v>
      </c>
      <c r="F3216" s="2">
        <v>3159.95</v>
      </c>
    </row>
    <row r="3217" spans="3:6" x14ac:dyDescent="0.25">
      <c r="C3217" s="2" t="s">
        <v>5025</v>
      </c>
      <c r="D3217" s="2" t="s">
        <v>204</v>
      </c>
      <c r="E3217" s="2">
        <v>105</v>
      </c>
      <c r="F3217" s="2">
        <v>2083.109</v>
      </c>
    </row>
    <row r="3218" spans="3:6" x14ac:dyDescent="0.25">
      <c r="C3218" s="2" t="s">
        <v>5026</v>
      </c>
      <c r="D3218" s="2" t="s">
        <v>204</v>
      </c>
      <c r="E3218" s="2">
        <v>105</v>
      </c>
      <c r="F3218" s="2">
        <v>2113.929</v>
      </c>
    </row>
    <row r="3219" spans="3:6" x14ac:dyDescent="0.25">
      <c r="C3219" s="2" t="s">
        <v>5027</v>
      </c>
      <c r="D3219" s="2" t="s">
        <v>204</v>
      </c>
      <c r="E3219" s="2">
        <v>36</v>
      </c>
      <c r="F3219" s="2">
        <v>759.73</v>
      </c>
    </row>
    <row r="3220" spans="3:6" x14ac:dyDescent="0.25">
      <c r="C3220" s="2" t="s">
        <v>5028</v>
      </c>
      <c r="D3220" s="2" t="s">
        <v>214</v>
      </c>
      <c r="E3220" s="2">
        <v>100</v>
      </c>
      <c r="F3220" s="2">
        <v>1965.879</v>
      </c>
    </row>
    <row r="3221" spans="3:6" x14ac:dyDescent="0.25">
      <c r="C3221" s="2" t="s">
        <v>5029</v>
      </c>
      <c r="D3221" s="2" t="s">
        <v>214</v>
      </c>
      <c r="E3221" s="2">
        <v>56</v>
      </c>
      <c r="F3221" s="2">
        <v>1119.89</v>
      </c>
    </row>
    <row r="3222" spans="3:6" x14ac:dyDescent="0.25">
      <c r="C3222" s="2" t="s">
        <v>5030</v>
      </c>
      <c r="D3222" s="2" t="s">
        <v>214</v>
      </c>
      <c r="E3222" s="2">
        <v>156</v>
      </c>
      <c r="F3222" s="2">
        <v>3156.7</v>
      </c>
    </row>
    <row r="3223" spans="3:6" x14ac:dyDescent="0.25">
      <c r="C3223" s="2" t="s">
        <v>5031</v>
      </c>
      <c r="D3223" s="2" t="s">
        <v>214</v>
      </c>
      <c r="E3223" s="2">
        <v>156</v>
      </c>
      <c r="F3223" s="2">
        <v>2820.709</v>
      </c>
    </row>
    <row r="3224" spans="3:6" x14ac:dyDescent="0.25">
      <c r="C3224" s="2" t="s">
        <v>5032</v>
      </c>
      <c r="D3224" s="2" t="s">
        <v>216</v>
      </c>
      <c r="E3224" s="2">
        <v>95</v>
      </c>
      <c r="F3224" s="2">
        <v>1986.78</v>
      </c>
    </row>
    <row r="3225" spans="3:6" x14ac:dyDescent="0.25">
      <c r="C3225" s="2" t="s">
        <v>5033</v>
      </c>
      <c r="D3225" s="2" t="s">
        <v>216</v>
      </c>
      <c r="E3225" s="2">
        <v>156</v>
      </c>
      <c r="F3225" s="2">
        <v>3241.15</v>
      </c>
    </row>
    <row r="3226" spans="3:6" x14ac:dyDescent="0.25">
      <c r="C3226" s="2" t="s">
        <v>5034</v>
      </c>
      <c r="D3226" s="2" t="s">
        <v>216</v>
      </c>
      <c r="E3226" s="2">
        <v>134</v>
      </c>
      <c r="F3226" s="2">
        <v>2633.518</v>
      </c>
    </row>
    <row r="3227" spans="3:6" x14ac:dyDescent="0.25">
      <c r="C3227" s="2" t="s">
        <v>5035</v>
      </c>
      <c r="D3227" s="2" t="s">
        <v>216</v>
      </c>
      <c r="E3227" s="2">
        <v>134</v>
      </c>
      <c r="F3227" s="2">
        <v>2631.07</v>
      </c>
    </row>
    <row r="3228" spans="3:6" x14ac:dyDescent="0.25">
      <c r="C3228" s="2" t="s">
        <v>5036</v>
      </c>
      <c r="D3228" s="2" t="s">
        <v>216</v>
      </c>
      <c r="E3228" s="2">
        <v>134</v>
      </c>
      <c r="F3228" s="2">
        <v>2804.13</v>
      </c>
    </row>
    <row r="3229" spans="3:6" x14ac:dyDescent="0.25">
      <c r="C3229" s="2" t="s">
        <v>5037</v>
      </c>
      <c r="D3229" s="2" t="s">
        <v>216</v>
      </c>
      <c r="E3229" s="2">
        <v>134</v>
      </c>
      <c r="F3229" s="2">
        <v>2761.45</v>
      </c>
    </row>
    <row r="3230" spans="3:6" x14ac:dyDescent="0.25">
      <c r="C3230" s="2" t="s">
        <v>5038</v>
      </c>
      <c r="D3230" s="2" t="s">
        <v>216</v>
      </c>
      <c r="E3230" s="2">
        <v>134</v>
      </c>
      <c r="F3230" s="2">
        <v>2851.44</v>
      </c>
    </row>
    <row r="3231" spans="3:6" x14ac:dyDescent="0.25">
      <c r="C3231" s="2" t="s">
        <v>5039</v>
      </c>
      <c r="D3231" s="2" t="s">
        <v>216</v>
      </c>
      <c r="E3231" s="2">
        <v>134</v>
      </c>
      <c r="F3231" s="2">
        <v>2759.4</v>
      </c>
    </row>
    <row r="3232" spans="3:6" x14ac:dyDescent="0.25">
      <c r="C3232" s="2" t="s">
        <v>5040</v>
      </c>
      <c r="D3232" s="2" t="s">
        <v>236</v>
      </c>
      <c r="E3232" s="2">
        <v>60</v>
      </c>
      <c r="F3232" s="2">
        <v>1101.329</v>
      </c>
    </row>
    <row r="3233" spans="3:6" x14ac:dyDescent="0.25">
      <c r="C3233" s="2" t="s">
        <v>5041</v>
      </c>
      <c r="D3233" s="2" t="s">
        <v>236</v>
      </c>
      <c r="E3233" s="2">
        <v>45</v>
      </c>
      <c r="F3233" s="2">
        <v>828.28</v>
      </c>
    </row>
    <row r="3234" spans="3:6" x14ac:dyDescent="0.25">
      <c r="C3234" s="2" t="s">
        <v>5042</v>
      </c>
      <c r="D3234" s="2" t="s">
        <v>236</v>
      </c>
      <c r="E3234" s="2">
        <v>76</v>
      </c>
      <c r="F3234" s="2">
        <v>1467.95</v>
      </c>
    </row>
    <row r="3235" spans="3:6" x14ac:dyDescent="0.25">
      <c r="C3235" s="2" t="s">
        <v>5043</v>
      </c>
      <c r="D3235" s="2" t="s">
        <v>236</v>
      </c>
      <c r="E3235" s="2">
        <v>80</v>
      </c>
      <c r="F3235" s="2">
        <v>1534.94</v>
      </c>
    </row>
    <row r="3236" spans="3:6" x14ac:dyDescent="0.25">
      <c r="C3236" s="2" t="s">
        <v>5044</v>
      </c>
      <c r="D3236" s="2" t="s">
        <v>236</v>
      </c>
      <c r="E3236" s="2">
        <v>52</v>
      </c>
      <c r="F3236" s="2">
        <v>1009.509</v>
      </c>
    </row>
    <row r="3237" spans="3:6" x14ac:dyDescent="0.25">
      <c r="C3237" s="2" t="s">
        <v>5045</v>
      </c>
      <c r="D3237" s="2" t="s">
        <v>236</v>
      </c>
      <c r="E3237" s="2">
        <v>24</v>
      </c>
      <c r="F3237" s="2">
        <v>513</v>
      </c>
    </row>
    <row r="3238" spans="3:6" x14ac:dyDescent="0.25">
      <c r="C3238" s="2" t="s">
        <v>5046</v>
      </c>
      <c r="D3238" s="2" t="s">
        <v>236</v>
      </c>
      <c r="E3238" s="2">
        <v>80</v>
      </c>
      <c r="F3238" s="2">
        <v>1534.399</v>
      </c>
    </row>
    <row r="3239" spans="3:6" x14ac:dyDescent="0.25">
      <c r="C3239" s="2" t="s">
        <v>5047</v>
      </c>
      <c r="D3239" s="2" t="s">
        <v>236</v>
      </c>
      <c r="E3239" s="2">
        <v>45</v>
      </c>
      <c r="F3239" s="2">
        <v>825.14</v>
      </c>
    </row>
    <row r="3240" spans="3:6" x14ac:dyDescent="0.25">
      <c r="C3240" s="2" t="s">
        <v>5048</v>
      </c>
      <c r="D3240" s="2" t="s">
        <v>236</v>
      </c>
      <c r="E3240" s="2">
        <v>60</v>
      </c>
      <c r="F3240" s="2">
        <v>1101.94</v>
      </c>
    </row>
    <row r="3242" spans="2:7" x14ac:dyDescent="0.25">
      <c r="B3242" s="2" t="s">
        <v>2077</v>
      </c>
      <c r="C3242" s="2" t="s">
        <v>5049</v>
      </c>
      <c r="D3242" s="2" t="s">
        <v>216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5050</v>
      </c>
      <c r="D3243" s="2" t="s">
        <v>216</v>
      </c>
      <c r="E3243" s="2">
        <v>29</v>
      </c>
      <c r="F3243" s="2">
        <v>355.13</v>
      </c>
    </row>
    <row r="3244" spans="3:6" x14ac:dyDescent="0.25">
      <c r="C3244" s="2" t="s">
        <v>5051</v>
      </c>
      <c r="D3244" s="2" t="s">
        <v>297</v>
      </c>
      <c r="E3244" s="2">
        <v>105</v>
      </c>
      <c r="F3244" s="2">
        <v>2061.22</v>
      </c>
    </row>
    <row r="3245" spans="3:6" x14ac:dyDescent="0.25">
      <c r="C3245" s="2" t="s">
        <v>5052</v>
      </c>
      <c r="D3245" s="2" t="s">
        <v>297</v>
      </c>
      <c r="E3245" s="2">
        <v>105</v>
      </c>
      <c r="F3245" s="2">
        <v>2100.97</v>
      </c>
    </row>
    <row r="3246" spans="3:6" x14ac:dyDescent="0.25">
      <c r="C3246" s="2" t="s">
        <v>5053</v>
      </c>
      <c r="D3246" s="2" t="s">
        <v>204</v>
      </c>
      <c r="E3246" s="2">
        <v>43</v>
      </c>
      <c r="F3246" s="2">
        <v>766.69</v>
      </c>
    </row>
    <row r="3247" spans="3:6" x14ac:dyDescent="0.25">
      <c r="C3247" s="2" t="s">
        <v>5054</v>
      </c>
      <c r="D3247" s="2" t="s">
        <v>204</v>
      </c>
      <c r="E3247" s="2">
        <v>114</v>
      </c>
      <c r="F3247" s="2">
        <v>2154.67</v>
      </c>
    </row>
    <row r="3248" spans="3:6" x14ac:dyDescent="0.25">
      <c r="C3248" s="2" t="s">
        <v>5055</v>
      </c>
      <c r="D3248" s="2" t="s">
        <v>216</v>
      </c>
      <c r="E3248" s="2">
        <v>56</v>
      </c>
      <c r="F3248" s="2">
        <v>993.91</v>
      </c>
    </row>
    <row r="3249" spans="3:6" x14ac:dyDescent="0.25">
      <c r="C3249" s="2" t="s">
        <v>5056</v>
      </c>
      <c r="D3249" s="2" t="s">
        <v>216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503</v>
      </c>
      <c r="C3251" s="2" t="s">
        <v>5057</v>
      </c>
      <c r="D3251" s="2" t="s">
        <v>42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2557</v>
      </c>
      <c r="C3253" s="2" t="s">
        <v>5058</v>
      </c>
      <c r="D3253" s="2" t="s">
        <v>1288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5059</v>
      </c>
      <c r="D3254" s="2" t="s">
        <v>1288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172</v>
      </c>
      <c r="C3256" s="2" t="s">
        <v>5060</v>
      </c>
      <c r="D3256" s="2" t="s">
        <v>9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5061</v>
      </c>
      <c r="D3257" s="2" t="s">
        <v>9</v>
      </c>
      <c r="E3257" s="2">
        <v>55</v>
      </c>
      <c r="F3257" s="2">
        <v>1055.2</v>
      </c>
    </row>
    <row r="3258" spans="3:6" x14ac:dyDescent="0.25">
      <c r="C3258" s="2" t="s">
        <v>5062</v>
      </c>
      <c r="D3258" s="2" t="s">
        <v>9</v>
      </c>
      <c r="E3258" s="2">
        <v>68</v>
      </c>
      <c r="F3258" s="2">
        <v>1330.7</v>
      </c>
    </row>
    <row r="3259" spans="3:6" x14ac:dyDescent="0.25">
      <c r="C3259" s="2" t="s">
        <v>5063</v>
      </c>
      <c r="D3259" s="2" t="s">
        <v>9</v>
      </c>
      <c r="E3259" s="2">
        <v>47</v>
      </c>
      <c r="F3259" s="2">
        <v>212.5</v>
      </c>
    </row>
    <row r="3260" spans="3:6" x14ac:dyDescent="0.25">
      <c r="C3260" s="2" t="s">
        <v>5064</v>
      </c>
      <c r="D3260" s="2" t="s">
        <v>9</v>
      </c>
      <c r="E3260" s="2">
        <v>83</v>
      </c>
      <c r="F3260" s="2">
        <v>1576.249</v>
      </c>
    </row>
    <row r="3261" spans="3:6" x14ac:dyDescent="0.25">
      <c r="C3261" s="2" t="s">
        <v>5065</v>
      </c>
      <c r="D3261" s="2" t="s">
        <v>9</v>
      </c>
      <c r="E3261" s="2">
        <v>41</v>
      </c>
      <c r="F3261" s="2">
        <v>788.41</v>
      </c>
    </row>
    <row r="3262" spans="3:6" x14ac:dyDescent="0.25">
      <c r="C3262" s="2" t="s">
        <v>5066</v>
      </c>
      <c r="D3262" s="2" t="s">
        <v>9</v>
      </c>
      <c r="E3262" s="2">
        <v>78</v>
      </c>
      <c r="F3262" s="2">
        <v>1345.646</v>
      </c>
    </row>
    <row r="3263" spans="3:6" x14ac:dyDescent="0.25">
      <c r="C3263" s="2" t="s">
        <v>5067</v>
      </c>
      <c r="D3263" s="2" t="s">
        <v>9</v>
      </c>
      <c r="E3263" s="2">
        <v>52</v>
      </c>
      <c r="F3263" s="2">
        <v>1020.009</v>
      </c>
    </row>
    <row r="3264" spans="3:6" x14ac:dyDescent="0.25">
      <c r="C3264" s="2" t="s">
        <v>5068</v>
      </c>
      <c r="D3264" s="2" t="s">
        <v>9</v>
      </c>
      <c r="E3264" s="2">
        <v>58</v>
      </c>
      <c r="F3264" s="2">
        <v>1153.88</v>
      </c>
    </row>
    <row r="3265" spans="3:6" x14ac:dyDescent="0.25">
      <c r="C3265" s="2" t="s">
        <v>5069</v>
      </c>
      <c r="D3265" s="2" t="s">
        <v>9</v>
      </c>
      <c r="E3265" s="2">
        <v>45</v>
      </c>
      <c r="F3265" s="2">
        <v>778.988</v>
      </c>
    </row>
    <row r="3266" spans="3:6" x14ac:dyDescent="0.25">
      <c r="C3266" s="2" t="s">
        <v>5070</v>
      </c>
      <c r="D3266" s="2" t="s">
        <v>9</v>
      </c>
      <c r="E3266" s="2">
        <v>20</v>
      </c>
      <c r="F3266" s="2">
        <v>372.58</v>
      </c>
    </row>
    <row r="3267" spans="3:6" x14ac:dyDescent="0.25">
      <c r="C3267" s="2" t="s">
        <v>5071</v>
      </c>
      <c r="D3267" s="2" t="s">
        <v>9</v>
      </c>
      <c r="E3267" s="2">
        <v>101</v>
      </c>
      <c r="F3267" s="2">
        <v>1945.76</v>
      </c>
    </row>
    <row r="3268" spans="3:6" x14ac:dyDescent="0.25">
      <c r="C3268" s="2" t="s">
        <v>5072</v>
      </c>
      <c r="D3268" s="2" t="s">
        <v>9</v>
      </c>
      <c r="E3268" s="2">
        <v>135</v>
      </c>
      <c r="F3268" s="2">
        <v>602.949</v>
      </c>
    </row>
    <row r="3269" spans="3:6" x14ac:dyDescent="0.25">
      <c r="C3269" s="2" t="s">
        <v>5073</v>
      </c>
      <c r="D3269" s="2" t="s">
        <v>9</v>
      </c>
      <c r="E3269" s="2">
        <v>55</v>
      </c>
      <c r="F3269" s="2">
        <v>1060.35</v>
      </c>
    </row>
    <row r="3270" spans="3:6" x14ac:dyDescent="0.25">
      <c r="C3270" s="2" t="s">
        <v>5074</v>
      </c>
      <c r="D3270" s="2" t="s">
        <v>9</v>
      </c>
      <c r="E3270" s="2">
        <v>47</v>
      </c>
      <c r="F3270" s="2">
        <v>881.86</v>
      </c>
    </row>
    <row r="3271" spans="3:6" x14ac:dyDescent="0.25">
      <c r="C3271" s="2" t="s">
        <v>5075</v>
      </c>
      <c r="D3271" s="2" t="s">
        <v>9</v>
      </c>
      <c r="E3271" s="2">
        <v>141</v>
      </c>
      <c r="F3271" s="2">
        <v>2905.748</v>
      </c>
    </row>
    <row r="3272" spans="3:6" x14ac:dyDescent="0.25">
      <c r="C3272" s="2" t="s">
        <v>5076</v>
      </c>
      <c r="D3272" s="2" t="s">
        <v>9</v>
      </c>
      <c r="E3272" s="2">
        <v>141</v>
      </c>
      <c r="F3272" s="2">
        <v>2894.65</v>
      </c>
    </row>
    <row r="3273" spans="3:6" x14ac:dyDescent="0.25">
      <c r="C3273" s="2" t="s">
        <v>5077</v>
      </c>
      <c r="D3273" s="2" t="s">
        <v>9</v>
      </c>
      <c r="E3273" s="2">
        <v>141</v>
      </c>
      <c r="F3273" s="2">
        <v>2919.05</v>
      </c>
    </row>
    <row r="3274" spans="3:6" x14ac:dyDescent="0.25">
      <c r="C3274" s="2" t="s">
        <v>5078</v>
      </c>
      <c r="D3274" s="2" t="s">
        <v>9</v>
      </c>
      <c r="E3274" s="2">
        <v>90</v>
      </c>
      <c r="F3274" s="2">
        <v>388.819</v>
      </c>
    </row>
    <row r="3275" spans="3:6" x14ac:dyDescent="0.25">
      <c r="C3275" s="2" t="s">
        <v>5079</v>
      </c>
      <c r="D3275" s="2" t="s">
        <v>9</v>
      </c>
      <c r="E3275" s="2">
        <v>141</v>
      </c>
      <c r="F3275" s="2">
        <v>2842.83</v>
      </c>
    </row>
    <row r="3276" spans="3:6" x14ac:dyDescent="0.25">
      <c r="C3276" s="2" t="s">
        <v>5080</v>
      </c>
      <c r="D3276" s="2" t="s">
        <v>9</v>
      </c>
      <c r="E3276" s="2">
        <v>102</v>
      </c>
      <c r="F3276" s="2">
        <v>2124.47</v>
      </c>
    </row>
    <row r="3277" spans="3:6" x14ac:dyDescent="0.25">
      <c r="C3277" s="2" t="s">
        <v>5081</v>
      </c>
      <c r="D3277" s="2" t="s">
        <v>9</v>
      </c>
      <c r="E3277" s="2">
        <v>39</v>
      </c>
      <c r="F3277" s="2">
        <v>828.74</v>
      </c>
    </row>
    <row r="3278" spans="3:6" x14ac:dyDescent="0.25">
      <c r="C3278" s="2" t="s">
        <v>5082</v>
      </c>
      <c r="D3278" s="2" t="s">
        <v>9</v>
      </c>
      <c r="E3278" s="2">
        <v>69</v>
      </c>
      <c r="F3278" s="2">
        <v>1340.55</v>
      </c>
    </row>
    <row r="3279" spans="3:6" x14ac:dyDescent="0.25">
      <c r="C3279" s="2" t="s">
        <v>5083</v>
      </c>
      <c r="D3279" s="2" t="s">
        <v>9</v>
      </c>
      <c r="E3279" s="2">
        <v>72</v>
      </c>
      <c r="F3279" s="2">
        <v>1436.389</v>
      </c>
    </row>
    <row r="3280" spans="3:6" x14ac:dyDescent="0.25">
      <c r="C3280" s="2" t="s">
        <v>5084</v>
      </c>
      <c r="D3280" s="2" t="s">
        <v>9</v>
      </c>
      <c r="E3280" s="2">
        <v>141</v>
      </c>
      <c r="F3280" s="2">
        <v>2840.01</v>
      </c>
    </row>
    <row r="3281" spans="3:6" x14ac:dyDescent="0.25">
      <c r="C3281" s="2" t="s">
        <v>5085</v>
      </c>
      <c r="D3281" s="2" t="s">
        <v>9</v>
      </c>
      <c r="E3281" s="2">
        <v>141</v>
      </c>
      <c r="F3281" s="2">
        <v>2723.349</v>
      </c>
    </row>
    <row r="3282" spans="3:6" x14ac:dyDescent="0.25">
      <c r="C3282" s="2" t="s">
        <v>5086</v>
      </c>
      <c r="D3282" s="2" t="s">
        <v>9</v>
      </c>
      <c r="E3282" s="2">
        <v>102</v>
      </c>
      <c r="F3282" s="2">
        <v>2157.04</v>
      </c>
    </row>
    <row r="3283" spans="3:6" x14ac:dyDescent="0.25">
      <c r="C3283" s="2" t="s">
        <v>5087</v>
      </c>
      <c r="D3283" s="2" t="s">
        <v>9</v>
      </c>
      <c r="E3283" s="2">
        <v>141</v>
      </c>
      <c r="F3283" s="2">
        <v>2464.895</v>
      </c>
    </row>
    <row r="3284" spans="3:6" x14ac:dyDescent="0.25">
      <c r="C3284" s="2" t="s">
        <v>5088</v>
      </c>
      <c r="D3284" s="2" t="s">
        <v>9</v>
      </c>
      <c r="E3284" s="2">
        <v>141</v>
      </c>
      <c r="F3284" s="2">
        <v>2690.398</v>
      </c>
    </row>
    <row r="3285" spans="3:6" x14ac:dyDescent="0.25">
      <c r="C3285" s="2" t="s">
        <v>5089</v>
      </c>
      <c r="D3285" s="2" t="s">
        <v>9</v>
      </c>
      <c r="E3285" s="2">
        <v>106</v>
      </c>
      <c r="F3285" s="2">
        <v>2015.33</v>
      </c>
    </row>
    <row r="3286" spans="3:6" x14ac:dyDescent="0.25">
      <c r="C3286" s="2" t="s">
        <v>5090</v>
      </c>
      <c r="D3286" s="2" t="s">
        <v>9</v>
      </c>
      <c r="E3286" s="2">
        <v>35</v>
      </c>
      <c r="F3286" s="2">
        <v>545.55</v>
      </c>
    </row>
    <row r="3287" spans="3:6" x14ac:dyDescent="0.25">
      <c r="C3287" s="2" t="s">
        <v>5091</v>
      </c>
      <c r="D3287" s="2" t="s">
        <v>9</v>
      </c>
      <c r="E3287" s="2">
        <v>47</v>
      </c>
      <c r="F3287" s="2">
        <v>886.72</v>
      </c>
    </row>
    <row r="3288" spans="3:6" x14ac:dyDescent="0.25">
      <c r="C3288" s="2" t="s">
        <v>5092</v>
      </c>
      <c r="D3288" s="2" t="s">
        <v>9</v>
      </c>
      <c r="E3288" s="2">
        <v>16</v>
      </c>
      <c r="F3288" s="2">
        <v>296.01</v>
      </c>
    </row>
    <row r="3289" spans="3:6" x14ac:dyDescent="0.25">
      <c r="C3289" s="2" t="s">
        <v>5093</v>
      </c>
      <c r="D3289" s="2" t="s">
        <v>9</v>
      </c>
      <c r="E3289" s="2">
        <v>39</v>
      </c>
      <c r="F3289" s="2">
        <v>821.429</v>
      </c>
    </row>
    <row r="3290" spans="3:6" x14ac:dyDescent="0.25">
      <c r="C3290" s="2" t="s">
        <v>5094</v>
      </c>
      <c r="D3290" s="2" t="s">
        <v>9</v>
      </c>
      <c r="E3290" s="2">
        <v>100</v>
      </c>
      <c r="F3290" s="2">
        <v>1648.138</v>
      </c>
    </row>
    <row r="3291" spans="3:6" x14ac:dyDescent="0.25">
      <c r="C3291" s="2" t="s">
        <v>5095</v>
      </c>
      <c r="D3291" s="2" t="s">
        <v>9</v>
      </c>
      <c r="E3291" s="2">
        <v>41</v>
      </c>
      <c r="F3291" s="2">
        <v>819.98</v>
      </c>
    </row>
    <row r="3292" spans="3:6" x14ac:dyDescent="0.25">
      <c r="C3292" s="2" t="s">
        <v>5096</v>
      </c>
      <c r="D3292" s="2" t="s">
        <v>9</v>
      </c>
      <c r="E3292" s="2">
        <v>141</v>
      </c>
      <c r="F3292" s="2">
        <v>2917.77</v>
      </c>
    </row>
    <row r="3293" spans="3:6" x14ac:dyDescent="0.25">
      <c r="C3293" s="2" t="s">
        <v>5097</v>
      </c>
      <c r="D3293" s="2" t="s">
        <v>9</v>
      </c>
      <c r="E3293" s="2">
        <v>141</v>
      </c>
      <c r="F3293" s="2">
        <v>2811.53</v>
      </c>
    </row>
    <row r="3294" spans="3:6" x14ac:dyDescent="0.25">
      <c r="C3294" s="2" t="s">
        <v>5098</v>
      </c>
      <c r="D3294" s="2" t="s">
        <v>9</v>
      </c>
      <c r="E3294" s="2">
        <v>44</v>
      </c>
      <c r="F3294" s="2">
        <v>839.82</v>
      </c>
    </row>
    <row r="3295" spans="3:6" x14ac:dyDescent="0.25">
      <c r="C3295" s="2" t="s">
        <v>5099</v>
      </c>
      <c r="D3295" s="2" t="s">
        <v>9</v>
      </c>
      <c r="E3295" s="2">
        <v>29</v>
      </c>
      <c r="F3295" s="2">
        <v>556.752</v>
      </c>
    </row>
    <row r="3296" spans="3:6" x14ac:dyDescent="0.25">
      <c r="C3296" s="2" t="s">
        <v>5100</v>
      </c>
      <c r="D3296" s="2" t="s">
        <v>9</v>
      </c>
      <c r="E3296" s="2">
        <v>29</v>
      </c>
      <c r="F3296" s="2">
        <v>591.57</v>
      </c>
    </row>
    <row r="3297" spans="3:6" x14ac:dyDescent="0.25">
      <c r="C3297" s="2" t="s">
        <v>5101</v>
      </c>
      <c r="D3297" s="2" t="s">
        <v>9</v>
      </c>
      <c r="E3297" s="2">
        <v>23</v>
      </c>
      <c r="F3297" s="2">
        <v>490.96</v>
      </c>
    </row>
    <row r="3298" spans="3:6" x14ac:dyDescent="0.25">
      <c r="C3298" s="2" t="s">
        <v>5102</v>
      </c>
      <c r="D3298" s="2" t="s">
        <v>9</v>
      </c>
      <c r="E3298" s="2">
        <v>118</v>
      </c>
      <c r="F3298" s="2">
        <v>2283.02</v>
      </c>
    </row>
    <row r="3299" spans="3:6" x14ac:dyDescent="0.25">
      <c r="C3299" s="2" t="s">
        <v>5103</v>
      </c>
      <c r="D3299" s="2" t="s">
        <v>9</v>
      </c>
      <c r="E3299" s="2">
        <v>42</v>
      </c>
      <c r="F3299" s="2">
        <v>826.94</v>
      </c>
    </row>
    <row r="3300" spans="3:6" x14ac:dyDescent="0.25">
      <c r="C3300" s="2" t="s">
        <v>5104</v>
      </c>
      <c r="D3300" s="2" t="s">
        <v>9</v>
      </c>
      <c r="E3300" s="2">
        <v>58</v>
      </c>
      <c r="F3300" s="2">
        <v>1049.349</v>
      </c>
    </row>
    <row r="3301" spans="3:6" x14ac:dyDescent="0.25">
      <c r="C3301" s="2" t="s">
        <v>5105</v>
      </c>
      <c r="D3301" s="2" t="s">
        <v>9</v>
      </c>
      <c r="E3301" s="2">
        <v>17</v>
      </c>
      <c r="F3301" s="2">
        <v>289.569</v>
      </c>
    </row>
    <row r="3302" spans="3:6" x14ac:dyDescent="0.25">
      <c r="C3302" s="2" t="s">
        <v>5106</v>
      </c>
      <c r="D3302" s="2" t="s">
        <v>9</v>
      </c>
      <c r="E3302" s="2">
        <v>25</v>
      </c>
      <c r="F3302" s="2">
        <v>395.86</v>
      </c>
    </row>
    <row r="3303" spans="3:6" x14ac:dyDescent="0.25">
      <c r="C3303" s="2" t="s">
        <v>5107</v>
      </c>
      <c r="D3303" s="2" t="s">
        <v>9</v>
      </c>
      <c r="E3303" s="2">
        <v>35</v>
      </c>
      <c r="F3303" s="2">
        <v>758.11</v>
      </c>
    </row>
    <row r="3304" spans="3:6" x14ac:dyDescent="0.25">
      <c r="C3304" s="2" t="s">
        <v>5108</v>
      </c>
      <c r="D3304" s="2" t="s">
        <v>9</v>
      </c>
      <c r="E3304" s="2">
        <v>29</v>
      </c>
      <c r="F3304" s="2">
        <v>548.23</v>
      </c>
    </row>
    <row r="3305" spans="3:6" x14ac:dyDescent="0.25">
      <c r="C3305" s="2" t="s">
        <v>5109</v>
      </c>
      <c r="D3305" s="2" t="s">
        <v>9</v>
      </c>
      <c r="E3305" s="2">
        <v>31</v>
      </c>
      <c r="F3305" s="2">
        <v>529.91</v>
      </c>
    </row>
    <row r="3306" spans="3:6" x14ac:dyDescent="0.25">
      <c r="C3306" s="2" t="s">
        <v>5110</v>
      </c>
      <c r="D3306" s="2" t="s">
        <v>9</v>
      </c>
      <c r="E3306" s="2">
        <v>80</v>
      </c>
      <c r="F3306" s="2">
        <v>1503.68</v>
      </c>
    </row>
    <row r="3307" spans="3:6" x14ac:dyDescent="0.25">
      <c r="C3307" s="2" t="s">
        <v>5111</v>
      </c>
      <c r="D3307" s="2" t="s">
        <v>9</v>
      </c>
      <c r="E3307" s="2">
        <v>102</v>
      </c>
      <c r="F3307" s="2">
        <v>2012.7</v>
      </c>
    </row>
    <row r="3308" spans="3:6" x14ac:dyDescent="0.25">
      <c r="C3308" s="2" t="s">
        <v>5112</v>
      </c>
      <c r="D3308" s="2" t="s">
        <v>9</v>
      </c>
      <c r="E3308" s="2">
        <v>32</v>
      </c>
      <c r="F3308" s="2">
        <v>637.24</v>
      </c>
    </row>
    <row r="3309" spans="3:6" x14ac:dyDescent="0.25">
      <c r="C3309" s="2" t="s">
        <v>5113</v>
      </c>
      <c r="D3309" s="2" t="s">
        <v>9</v>
      </c>
      <c r="E3309" s="2">
        <v>49</v>
      </c>
      <c r="F3309" s="2">
        <v>992.89</v>
      </c>
    </row>
    <row r="3310" spans="3:6" x14ac:dyDescent="0.25">
      <c r="C3310" s="2" t="s">
        <v>5114</v>
      </c>
      <c r="D3310" s="2" t="s">
        <v>9</v>
      </c>
      <c r="E3310" s="2">
        <v>52</v>
      </c>
      <c r="F3310" s="2">
        <v>1110.91</v>
      </c>
    </row>
    <row r="3311" spans="3:6" x14ac:dyDescent="0.25">
      <c r="C3311" s="2" t="s">
        <v>5115</v>
      </c>
      <c r="D3311" s="2" t="s">
        <v>9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183</v>
      </c>
      <c r="C3313" s="2" t="s">
        <v>5116</v>
      </c>
      <c r="D3313" s="2" t="s">
        <v>122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5117</v>
      </c>
      <c r="D3314" s="2" t="s">
        <v>122</v>
      </c>
      <c r="E3314" s="2">
        <v>141</v>
      </c>
      <c r="F3314" s="2">
        <v>3042.55</v>
      </c>
    </row>
    <row r="3315" spans="3:6" x14ac:dyDescent="0.25">
      <c r="C3315" s="2" t="s">
        <v>5118</v>
      </c>
      <c r="D3315" s="2" t="s">
        <v>122</v>
      </c>
      <c r="E3315" s="2">
        <v>141</v>
      </c>
      <c r="F3315" s="2">
        <v>2892.599</v>
      </c>
    </row>
    <row r="3316" spans="3:6" x14ac:dyDescent="0.25">
      <c r="C3316" s="2" t="s">
        <v>5119</v>
      </c>
      <c r="D3316" s="2" t="s">
        <v>122</v>
      </c>
      <c r="E3316" s="2">
        <v>121</v>
      </c>
      <c r="F3316" s="2">
        <v>2480.07</v>
      </c>
    </row>
    <row r="3317" spans="3:6" x14ac:dyDescent="0.25">
      <c r="C3317" s="2" t="s">
        <v>5120</v>
      </c>
      <c r="D3317" s="2" t="s">
        <v>122</v>
      </c>
      <c r="E3317" s="2">
        <v>121</v>
      </c>
      <c r="F3317" s="2">
        <v>2444.97</v>
      </c>
    </row>
    <row r="3318" spans="3:6" x14ac:dyDescent="0.25">
      <c r="C3318" s="2" t="s">
        <v>5121</v>
      </c>
      <c r="D3318" s="2" t="s">
        <v>122</v>
      </c>
      <c r="E3318" s="2">
        <v>121</v>
      </c>
      <c r="F3318" s="2">
        <v>2453.04</v>
      </c>
    </row>
    <row r="3319" spans="3:6" x14ac:dyDescent="0.25">
      <c r="C3319" s="2" t="s">
        <v>5122</v>
      </c>
      <c r="D3319" s="2" t="s">
        <v>122</v>
      </c>
      <c r="E3319" s="2">
        <v>121</v>
      </c>
      <c r="F3319" s="2">
        <v>2472.709</v>
      </c>
    </row>
    <row r="3320" spans="3:6" x14ac:dyDescent="0.25">
      <c r="C3320" s="2" t="s">
        <v>5123</v>
      </c>
      <c r="D3320" s="2" t="s">
        <v>122</v>
      </c>
      <c r="E3320" s="2">
        <v>120</v>
      </c>
      <c r="F3320" s="2">
        <v>2265.619</v>
      </c>
    </row>
    <row r="3321" spans="3:6" x14ac:dyDescent="0.25">
      <c r="C3321" s="2" t="s">
        <v>5124</v>
      </c>
      <c r="D3321" s="2" t="s">
        <v>122</v>
      </c>
      <c r="E3321" s="2">
        <v>21</v>
      </c>
      <c r="F3321" s="2">
        <v>412.92</v>
      </c>
    </row>
    <row r="3322" spans="3:6" x14ac:dyDescent="0.25">
      <c r="C3322" s="2" t="s">
        <v>5125</v>
      </c>
      <c r="D3322" s="2" t="s">
        <v>122</v>
      </c>
      <c r="E3322" s="2">
        <v>89</v>
      </c>
      <c r="F3322" s="2">
        <v>1697.898</v>
      </c>
    </row>
    <row r="3323" spans="3:6" x14ac:dyDescent="0.25">
      <c r="C3323" s="2" t="s">
        <v>5126</v>
      </c>
      <c r="D3323" s="2" t="s">
        <v>122</v>
      </c>
      <c r="E3323" s="2">
        <v>52</v>
      </c>
      <c r="F3323" s="2">
        <v>1031.32</v>
      </c>
    </row>
    <row r="3324" spans="3:6" x14ac:dyDescent="0.25">
      <c r="C3324" s="2" t="s">
        <v>5127</v>
      </c>
      <c r="D3324" s="2" t="s">
        <v>122</v>
      </c>
      <c r="E3324" s="2">
        <v>61</v>
      </c>
      <c r="F3324" s="2">
        <v>1566.963</v>
      </c>
    </row>
    <row r="3325" spans="3:6" x14ac:dyDescent="0.25">
      <c r="C3325" s="2" t="s">
        <v>5128</v>
      </c>
      <c r="D3325" s="2" t="s">
        <v>122</v>
      </c>
      <c r="E3325" s="2">
        <v>69</v>
      </c>
      <c r="F3325" s="2">
        <v>1228.894</v>
      </c>
    </row>
    <row r="3326" spans="3:6" x14ac:dyDescent="0.25">
      <c r="C3326" s="2" t="s">
        <v>5129</v>
      </c>
      <c r="D3326" s="2" t="s">
        <v>122</v>
      </c>
      <c r="E3326" s="2">
        <v>94</v>
      </c>
      <c r="F3326" s="2">
        <v>1854.299</v>
      </c>
    </row>
    <row r="3327" spans="3:6" x14ac:dyDescent="0.25">
      <c r="C3327" s="2" t="s">
        <v>5130</v>
      </c>
      <c r="D3327" s="2" t="s">
        <v>122</v>
      </c>
      <c r="E3327" s="2">
        <v>47</v>
      </c>
      <c r="F3327" s="2">
        <v>932.41</v>
      </c>
    </row>
    <row r="3328" spans="3:6" x14ac:dyDescent="0.25">
      <c r="C3328" s="2" t="s">
        <v>5131</v>
      </c>
      <c r="D3328" s="2" t="s">
        <v>122</v>
      </c>
      <c r="E3328" s="2">
        <v>89</v>
      </c>
      <c r="F3328" s="2">
        <v>1781.879</v>
      </c>
    </row>
    <row r="3329" spans="3:6" x14ac:dyDescent="0.25">
      <c r="C3329" s="2" t="s">
        <v>5132</v>
      </c>
      <c r="D3329" s="2" t="s">
        <v>122</v>
      </c>
      <c r="E3329" s="2">
        <v>52</v>
      </c>
      <c r="F3329" s="2">
        <v>1081.44</v>
      </c>
    </row>
    <row r="3330" spans="3:6" x14ac:dyDescent="0.25">
      <c r="C3330" s="2" t="s">
        <v>5133</v>
      </c>
      <c r="D3330" s="2" t="s">
        <v>122</v>
      </c>
      <c r="E3330" s="2">
        <v>83</v>
      </c>
      <c r="F3330" s="2">
        <v>1759.22</v>
      </c>
    </row>
    <row r="3331" spans="3:6" x14ac:dyDescent="0.25">
      <c r="C3331" s="2" t="s">
        <v>5134</v>
      </c>
      <c r="D3331" s="2" t="s">
        <v>122</v>
      </c>
      <c r="E3331" s="2">
        <v>58</v>
      </c>
      <c r="F3331" s="2">
        <v>1177.229</v>
      </c>
    </row>
    <row r="3332" spans="3:6" x14ac:dyDescent="0.25">
      <c r="C3332" s="2" t="s">
        <v>5135</v>
      </c>
      <c r="D3332" s="2" t="s">
        <v>122</v>
      </c>
      <c r="E3332" s="2">
        <v>77</v>
      </c>
      <c r="F3332" s="2">
        <v>326.459</v>
      </c>
    </row>
    <row r="3333" spans="3:6" x14ac:dyDescent="0.25">
      <c r="C3333" s="2" t="s">
        <v>5136</v>
      </c>
      <c r="D3333" s="2" t="s">
        <v>122</v>
      </c>
      <c r="E3333" s="2">
        <v>143</v>
      </c>
      <c r="F3333" s="2">
        <v>611.568</v>
      </c>
    </row>
    <row r="3334" spans="3:6" x14ac:dyDescent="0.25">
      <c r="C3334" s="2" t="s">
        <v>5137</v>
      </c>
      <c r="D3334" s="2" t="s">
        <v>122</v>
      </c>
      <c r="E3334" s="2">
        <v>69</v>
      </c>
      <c r="F3334" s="2">
        <v>1460.72</v>
      </c>
    </row>
    <row r="3335" spans="3:6" x14ac:dyDescent="0.25">
      <c r="C3335" s="2" t="s">
        <v>5138</v>
      </c>
      <c r="D3335" s="2" t="s">
        <v>122</v>
      </c>
      <c r="E3335" s="2">
        <v>17</v>
      </c>
      <c r="F3335" s="2">
        <v>570.051</v>
      </c>
    </row>
    <row r="3336" spans="3:6" x14ac:dyDescent="0.25">
      <c r="C3336" s="2" t="s">
        <v>5139</v>
      </c>
      <c r="D3336" s="2" t="s">
        <v>122</v>
      </c>
      <c r="E3336" s="2">
        <v>17</v>
      </c>
      <c r="F3336" s="2">
        <v>332.12</v>
      </c>
    </row>
    <row r="3337" spans="3:6" x14ac:dyDescent="0.25">
      <c r="C3337" s="2" t="s">
        <v>5140</v>
      </c>
      <c r="D3337" s="2" t="s">
        <v>122</v>
      </c>
      <c r="E3337" s="2">
        <v>69</v>
      </c>
      <c r="F3337" s="2">
        <v>948.722</v>
      </c>
    </row>
    <row r="3338" spans="3:6" x14ac:dyDescent="0.25">
      <c r="C3338" s="2" t="s">
        <v>5141</v>
      </c>
      <c r="D3338" s="2" t="s">
        <v>122</v>
      </c>
      <c r="E3338" s="2">
        <v>41</v>
      </c>
      <c r="F3338" s="2">
        <v>768.63</v>
      </c>
    </row>
    <row r="3339" spans="3:6" x14ac:dyDescent="0.25">
      <c r="C3339" s="2" t="s">
        <v>5142</v>
      </c>
      <c r="D3339" s="2" t="s">
        <v>122</v>
      </c>
      <c r="E3339" s="2">
        <v>19</v>
      </c>
      <c r="F3339" s="2">
        <v>362.68</v>
      </c>
    </row>
    <row r="3340" spans="3:6" x14ac:dyDescent="0.25">
      <c r="C3340" s="2" t="s">
        <v>5143</v>
      </c>
      <c r="D3340" s="2" t="s">
        <v>122</v>
      </c>
      <c r="E3340" s="2">
        <v>6</v>
      </c>
      <c r="F3340" s="2">
        <v>121.49</v>
      </c>
    </row>
    <row r="3341" spans="3:6" x14ac:dyDescent="0.25">
      <c r="C3341" s="2" t="s">
        <v>5144</v>
      </c>
      <c r="D3341" s="2" t="s">
        <v>122</v>
      </c>
      <c r="E3341" s="2">
        <v>9</v>
      </c>
      <c r="F3341" s="2">
        <v>189.83</v>
      </c>
    </row>
    <row r="3342" spans="3:6" x14ac:dyDescent="0.25">
      <c r="C3342" s="2" t="s">
        <v>5145</v>
      </c>
      <c r="D3342" s="2" t="s">
        <v>122</v>
      </c>
      <c r="E3342" s="2">
        <v>141</v>
      </c>
      <c r="F3342" s="2">
        <v>2819.29</v>
      </c>
    </row>
    <row r="3343" spans="3:6" x14ac:dyDescent="0.25">
      <c r="C3343" s="2" t="s">
        <v>5146</v>
      </c>
      <c r="D3343" s="2" t="s">
        <v>122</v>
      </c>
      <c r="E3343" s="2">
        <v>141</v>
      </c>
      <c r="F3343" s="2">
        <v>2923.479</v>
      </c>
    </row>
    <row r="3344" spans="3:6" x14ac:dyDescent="0.25">
      <c r="C3344" s="2" t="s">
        <v>5147</v>
      </c>
      <c r="D3344" s="2" t="s">
        <v>122</v>
      </c>
      <c r="E3344" s="2">
        <v>141</v>
      </c>
      <c r="F3344" s="2">
        <v>2817.679</v>
      </c>
    </row>
    <row r="3345" spans="3:6" x14ac:dyDescent="0.25">
      <c r="C3345" s="2" t="s">
        <v>5148</v>
      </c>
      <c r="D3345" s="2" t="s">
        <v>122</v>
      </c>
      <c r="E3345" s="2">
        <v>69</v>
      </c>
      <c r="F3345" s="2">
        <v>1411.11</v>
      </c>
    </row>
    <row r="3346" spans="3:6" x14ac:dyDescent="0.25">
      <c r="C3346" s="2" t="s">
        <v>5149</v>
      </c>
      <c r="D3346" s="2" t="s">
        <v>122</v>
      </c>
      <c r="E3346" s="2">
        <v>33</v>
      </c>
      <c r="F3346" s="2">
        <v>675.74</v>
      </c>
    </row>
    <row r="3347" spans="3:6" x14ac:dyDescent="0.25">
      <c r="C3347" s="2" t="s">
        <v>5150</v>
      </c>
      <c r="D3347" s="2" t="s">
        <v>122</v>
      </c>
      <c r="E3347" s="2">
        <v>30</v>
      </c>
      <c r="F3347" s="2">
        <v>562.94</v>
      </c>
    </row>
    <row r="3348" spans="3:6" x14ac:dyDescent="0.25">
      <c r="C3348" s="2" t="s">
        <v>5151</v>
      </c>
      <c r="D3348" s="2" t="s">
        <v>122</v>
      </c>
      <c r="E3348" s="2">
        <v>13</v>
      </c>
      <c r="F3348" s="2">
        <v>249.36</v>
      </c>
    </row>
    <row r="3349" spans="3:6" x14ac:dyDescent="0.25">
      <c r="C3349" s="2" t="s">
        <v>5152</v>
      </c>
      <c r="D3349" s="2" t="s">
        <v>122</v>
      </c>
      <c r="E3349" s="2">
        <v>51</v>
      </c>
      <c r="F3349" s="2">
        <v>934.139</v>
      </c>
    </row>
    <row r="3350" spans="3:6" x14ac:dyDescent="0.25">
      <c r="C3350" s="2" t="s">
        <v>5153</v>
      </c>
      <c r="D3350" s="2" t="s">
        <v>122</v>
      </c>
      <c r="E3350" s="2">
        <v>33</v>
      </c>
      <c r="F3350" s="2">
        <v>673.75</v>
      </c>
    </row>
    <row r="3351" spans="3:6" x14ac:dyDescent="0.25">
      <c r="C3351" s="2" t="s">
        <v>5154</v>
      </c>
      <c r="D3351" s="2" t="s">
        <v>122</v>
      </c>
      <c r="E3351" s="2">
        <v>14</v>
      </c>
      <c r="F3351" s="2">
        <v>275.8</v>
      </c>
    </row>
    <row r="3352" spans="3:6" x14ac:dyDescent="0.25">
      <c r="C3352" s="2" t="s">
        <v>5155</v>
      </c>
      <c r="D3352" s="2" t="s">
        <v>122</v>
      </c>
      <c r="E3352" s="2">
        <v>23</v>
      </c>
      <c r="F3352" s="2">
        <v>442.2</v>
      </c>
    </row>
    <row r="3353" spans="3:6" x14ac:dyDescent="0.25">
      <c r="C3353" s="2" t="s">
        <v>5156</v>
      </c>
      <c r="D3353" s="2" t="s">
        <v>122</v>
      </c>
      <c r="E3353" s="2">
        <v>22</v>
      </c>
      <c r="F3353" s="2">
        <v>425.209</v>
      </c>
    </row>
    <row r="3354" spans="3:6" x14ac:dyDescent="0.25">
      <c r="C3354" s="2" t="s">
        <v>5157</v>
      </c>
      <c r="D3354" s="2" t="s">
        <v>122</v>
      </c>
      <c r="E3354" s="2">
        <v>21</v>
      </c>
      <c r="F3354" s="2">
        <v>370.35</v>
      </c>
    </row>
    <row r="3355" spans="3:6" x14ac:dyDescent="0.25">
      <c r="C3355" s="2" t="s">
        <v>5158</v>
      </c>
      <c r="D3355" s="2" t="s">
        <v>122</v>
      </c>
      <c r="E3355" s="2">
        <v>21</v>
      </c>
      <c r="F3355" s="2">
        <v>422.07</v>
      </c>
    </row>
    <row r="3356" spans="3:6" x14ac:dyDescent="0.25">
      <c r="C3356" s="2" t="s">
        <v>5159</v>
      </c>
      <c r="D3356" s="2" t="s">
        <v>122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398</v>
      </c>
      <c r="C3358" s="2" t="s">
        <v>5160</v>
      </c>
      <c r="D3358" s="2" t="s">
        <v>12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5161</v>
      </c>
      <c r="D3359" s="2" t="s">
        <v>12</v>
      </c>
      <c r="E3359" s="2">
        <v>150</v>
      </c>
      <c r="F3359" s="2">
        <v>3167.9</v>
      </c>
    </row>
    <row r="3360" spans="3:6" x14ac:dyDescent="0.25">
      <c r="C3360" s="2" t="s">
        <v>5162</v>
      </c>
      <c r="D3360" s="2" t="s">
        <v>12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10</v>
      </c>
      <c r="C3362" s="2" t="s">
        <v>5163</v>
      </c>
      <c r="D3362" s="2" t="s">
        <v>12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5164</v>
      </c>
      <c r="D3363" s="2" t="s">
        <v>12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1610</v>
      </c>
      <c r="C3365" s="2" t="s">
        <v>5165</v>
      </c>
      <c r="D3365" s="2" t="s">
        <v>27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5166</v>
      </c>
      <c r="D3366" s="2" t="s">
        <v>27</v>
      </c>
      <c r="E3366" s="2">
        <v>25</v>
      </c>
      <c r="F3366" s="2">
        <v>530.55</v>
      </c>
    </row>
    <row r="3367" spans="3:6" x14ac:dyDescent="0.25">
      <c r="C3367" s="2" t="s">
        <v>5167</v>
      </c>
      <c r="D3367" s="2" t="s">
        <v>27</v>
      </c>
      <c r="E3367" s="2">
        <v>28</v>
      </c>
      <c r="F3367" s="2">
        <v>589.219</v>
      </c>
    </row>
    <row r="3368" spans="3:6" x14ac:dyDescent="0.25">
      <c r="C3368" s="2" t="s">
        <v>5168</v>
      </c>
      <c r="D3368" s="2" t="s">
        <v>27</v>
      </c>
      <c r="E3368" s="2">
        <v>24</v>
      </c>
      <c r="F3368" s="2">
        <v>434.06</v>
      </c>
    </row>
    <row r="3369" spans="3:6" x14ac:dyDescent="0.25">
      <c r="C3369" s="2" t="s">
        <v>5169</v>
      </c>
      <c r="D3369" s="2" t="s">
        <v>27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324</v>
      </c>
      <c r="C3371" s="2" t="s">
        <v>5170</v>
      </c>
      <c r="D3371" s="2" t="s">
        <v>27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5171</v>
      </c>
      <c r="D3372" s="2" t="s">
        <v>27</v>
      </c>
      <c r="E3372" s="2">
        <v>25</v>
      </c>
      <c r="F3372" s="2">
        <v>496.44</v>
      </c>
    </row>
    <row r="3373" spans="3:6" x14ac:dyDescent="0.25">
      <c r="C3373" s="2" t="s">
        <v>5172</v>
      </c>
      <c r="D3373" s="2" t="s">
        <v>27</v>
      </c>
      <c r="E3373" s="2">
        <v>45</v>
      </c>
      <c r="F3373" s="2">
        <v>867.92</v>
      </c>
    </row>
    <row r="3374" spans="3:6" x14ac:dyDescent="0.25">
      <c r="C3374" s="2" t="s">
        <v>5173</v>
      </c>
      <c r="D3374" s="2" t="s">
        <v>27</v>
      </c>
      <c r="E3374" s="2">
        <v>87</v>
      </c>
      <c r="F3374" s="2">
        <v>1794.029</v>
      </c>
    </row>
    <row r="3375" spans="3:6" x14ac:dyDescent="0.25">
      <c r="C3375" s="2" t="s">
        <v>5174</v>
      </c>
      <c r="D3375" s="2" t="s">
        <v>27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5175</v>
      </c>
      <c r="C3377" s="2" t="s">
        <v>5176</v>
      </c>
      <c r="D3377" s="2" t="s">
        <v>122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5177</v>
      </c>
      <c r="D3378" s="2" t="s">
        <v>122</v>
      </c>
      <c r="E3378" s="2">
        <v>34</v>
      </c>
      <c r="F3378" s="2">
        <f>40.2+1157.03</f>
        <v>1197.23</v>
      </c>
    </row>
    <row r="3379" spans="3:6" x14ac:dyDescent="0.25">
      <c r="C3379" s="2" t="s">
        <v>5178</v>
      </c>
      <c r="D3379" s="2" t="s">
        <v>122</v>
      </c>
      <c r="E3379" s="2">
        <v>7</v>
      </c>
      <c r="F3379" s="2">
        <v>157.6</v>
      </c>
    </row>
    <row r="3380" spans="4:6" x14ac:dyDescent="0.25">
      <c r="D3380" s="2" t="s">
        <v>122</v>
      </c>
      <c r="E3380" s="2">
        <v>142</v>
      </c>
      <c r="F3380" s="2">
        <v>2840.876</v>
      </c>
    </row>
    <row r="3381" spans="3:6" x14ac:dyDescent="0.25">
      <c r="C3381" s="2" t="s">
        <v>5179</v>
      </c>
      <c r="D3381" s="2" t="s">
        <v>122</v>
      </c>
      <c r="E3381" s="2">
        <v>14</v>
      </c>
      <c r="F3381" s="2">
        <v>305.6</v>
      </c>
    </row>
    <row r="3382" spans="4:6" x14ac:dyDescent="0.25">
      <c r="D3382" s="2" t="s">
        <v>122</v>
      </c>
      <c r="E3382" s="2">
        <v>43</v>
      </c>
      <c r="F3382" s="2">
        <v>843.32</v>
      </c>
    </row>
    <row r="3383" spans="3:6" x14ac:dyDescent="0.25">
      <c r="C3383" s="2" t="s">
        <v>5180</v>
      </c>
      <c r="D3383" s="2" t="s">
        <v>122</v>
      </c>
      <c r="E3383" s="2">
        <v>6</v>
      </c>
      <c r="F3383" s="2">
        <v>131.45</v>
      </c>
    </row>
    <row r="3384" spans="4:6" x14ac:dyDescent="0.25">
      <c r="D3384" s="2" t="s">
        <v>122</v>
      </c>
      <c r="E3384" s="2">
        <v>31</v>
      </c>
      <c r="F3384" s="2">
        <v>625.64</v>
      </c>
    </row>
    <row r="3385" spans="3:6" x14ac:dyDescent="0.25">
      <c r="C3385" s="2" t="s">
        <v>5181</v>
      </c>
      <c r="D3385" s="2" t="s">
        <v>122</v>
      </c>
      <c r="E3385" s="2">
        <v>1</v>
      </c>
      <c r="F3385" s="2">
        <v>17.1</v>
      </c>
    </row>
    <row r="3386" spans="4:6" x14ac:dyDescent="0.25">
      <c r="D3386" s="2" t="s">
        <v>122</v>
      </c>
      <c r="E3386" s="2">
        <v>2</v>
      </c>
      <c r="F3386" s="2">
        <v>43.56</v>
      </c>
    </row>
    <row r="3387" spans="3:6" x14ac:dyDescent="0.25">
      <c r="C3387" s="2" t="s">
        <v>5182</v>
      </c>
      <c r="D3387" s="2" t="s">
        <v>122</v>
      </c>
      <c r="E3387" s="2">
        <v>1</v>
      </c>
      <c r="F3387" s="2">
        <v>3.2</v>
      </c>
    </row>
    <row r="3388" spans="4:6" x14ac:dyDescent="0.25">
      <c r="D3388" s="2" t="s">
        <v>122</v>
      </c>
      <c r="E3388" s="2">
        <v>4</v>
      </c>
      <c r="F3388" s="2">
        <v>74.37</v>
      </c>
    </row>
    <row r="3389" spans="3:6" x14ac:dyDescent="0.25">
      <c r="C3389" s="2" t="s">
        <v>5183</v>
      </c>
      <c r="D3389" s="2" t="s">
        <v>122</v>
      </c>
      <c r="E3389" s="2">
        <v>92</v>
      </c>
      <c r="F3389" s="2">
        <v>1854.6</v>
      </c>
    </row>
    <row r="3390" spans="4:6" x14ac:dyDescent="0.25">
      <c r="D3390" s="2" t="s">
        <v>122</v>
      </c>
      <c r="E3390" s="2">
        <v>10</v>
      </c>
      <c r="F3390" s="2">
        <v>185.03</v>
      </c>
    </row>
    <row r="3391" spans="3:6" x14ac:dyDescent="0.25">
      <c r="C3391" s="2" t="s">
        <v>5184</v>
      </c>
      <c r="D3391" s="2" t="s">
        <v>122</v>
      </c>
      <c r="E3391" s="2">
        <v>121</v>
      </c>
      <c r="F3391" s="2">
        <v>2506.51</v>
      </c>
    </row>
    <row r="3392" spans="3:6" x14ac:dyDescent="0.25">
      <c r="C3392" s="2" t="s">
        <v>5185</v>
      </c>
      <c r="D3392" s="2" t="s">
        <v>122</v>
      </c>
      <c r="E3392" s="2">
        <v>57</v>
      </c>
      <c r="F3392" s="2">
        <v>952.974</v>
      </c>
    </row>
    <row r="3393" spans="3:6" x14ac:dyDescent="0.25">
      <c r="C3393" s="2" t="s">
        <v>5186</v>
      </c>
      <c r="D3393" s="2" t="s">
        <v>122</v>
      </c>
      <c r="E3393" s="2">
        <v>11</v>
      </c>
      <c r="F3393" s="2">
        <v>199.45</v>
      </c>
    </row>
    <row r="3394" spans="3:6" x14ac:dyDescent="0.25">
      <c r="C3394" s="2" t="s">
        <v>5187</v>
      </c>
      <c r="D3394" s="2" t="s">
        <v>122</v>
      </c>
      <c r="E3394" s="2">
        <v>33</v>
      </c>
      <c r="F3394" s="2">
        <v>678.36</v>
      </c>
    </row>
    <row r="3395" spans="3:6" x14ac:dyDescent="0.25">
      <c r="C3395" s="2" t="s">
        <v>5188</v>
      </c>
      <c r="D3395" s="2" t="s">
        <v>122</v>
      </c>
      <c r="E3395" s="2">
        <v>141</v>
      </c>
      <c r="F3395" s="2">
        <v>2942.19</v>
      </c>
    </row>
    <row r="3396" spans="3:6" x14ac:dyDescent="0.25">
      <c r="C3396" s="2" t="s">
        <v>5189</v>
      </c>
      <c r="D3396" s="2" t="s">
        <v>122</v>
      </c>
      <c r="E3396" s="2">
        <v>141</v>
      </c>
      <c r="F3396" s="2">
        <v>2957.52</v>
      </c>
    </row>
    <row r="3397" spans="3:6" x14ac:dyDescent="0.25">
      <c r="C3397" s="2" t="s">
        <v>5190</v>
      </c>
      <c r="D3397" s="2" t="s">
        <v>122</v>
      </c>
      <c r="E3397" s="2">
        <v>98</v>
      </c>
      <c r="F3397" s="2">
        <v>2013.84</v>
      </c>
    </row>
    <row r="3398" spans="3:6" x14ac:dyDescent="0.25">
      <c r="C3398" s="2" t="s">
        <v>5191</v>
      </c>
      <c r="D3398" s="2" t="s">
        <v>122</v>
      </c>
      <c r="E3398" s="2">
        <v>43</v>
      </c>
      <c r="F3398" s="2">
        <v>915.84</v>
      </c>
    </row>
    <row r="3399" spans="3:6" x14ac:dyDescent="0.25">
      <c r="C3399" s="2" t="s">
        <v>5192</v>
      </c>
      <c r="D3399" s="2" t="s">
        <v>122</v>
      </c>
      <c r="E3399" s="2">
        <v>108</v>
      </c>
      <c r="F3399" s="2">
        <v>466.457</v>
      </c>
    </row>
    <row r="3400" spans="3:6" x14ac:dyDescent="0.25">
      <c r="C3400" s="2" t="s">
        <v>5193</v>
      </c>
      <c r="D3400" s="2" t="s">
        <v>122</v>
      </c>
      <c r="E3400" s="2">
        <v>52</v>
      </c>
      <c r="F3400" s="2">
        <v>225.179</v>
      </c>
    </row>
    <row r="3401" spans="3:6" x14ac:dyDescent="0.25">
      <c r="C3401" s="2" t="s">
        <v>5194</v>
      </c>
      <c r="D3401" s="2" t="s">
        <v>122</v>
      </c>
      <c r="E3401" s="2">
        <v>121</v>
      </c>
      <c r="F3401" s="2">
        <v>2543.099</v>
      </c>
    </row>
    <row r="3402" spans="3:6" x14ac:dyDescent="0.25">
      <c r="C3402" s="2" t="s">
        <v>5195</v>
      </c>
      <c r="D3402" s="2" t="s">
        <v>122</v>
      </c>
      <c r="E3402" s="2">
        <v>121</v>
      </c>
      <c r="F3402" s="2">
        <v>2477.2</v>
      </c>
    </row>
    <row r="3403" spans="3:6" x14ac:dyDescent="0.25">
      <c r="C3403" s="2" t="s">
        <v>5196</v>
      </c>
      <c r="D3403" s="2" t="s">
        <v>122</v>
      </c>
      <c r="E3403" s="2">
        <v>71</v>
      </c>
      <c r="F3403" s="2">
        <v>1446.05</v>
      </c>
    </row>
    <row r="3404" spans="3:6" x14ac:dyDescent="0.25">
      <c r="C3404" s="2" t="s">
        <v>5197</v>
      </c>
      <c r="D3404" s="2" t="s">
        <v>122</v>
      </c>
      <c r="E3404" s="2">
        <v>50</v>
      </c>
      <c r="F3404" s="2">
        <v>1016.96</v>
      </c>
    </row>
    <row r="3405" spans="3:6" x14ac:dyDescent="0.25">
      <c r="C3405" s="2" t="s">
        <v>5198</v>
      </c>
      <c r="D3405" s="2" t="s">
        <v>122</v>
      </c>
      <c r="E3405" s="2">
        <v>75</v>
      </c>
      <c r="F3405" s="2">
        <v>1495.99</v>
      </c>
    </row>
    <row r="3406" spans="3:6" x14ac:dyDescent="0.25">
      <c r="C3406" s="2" t="s">
        <v>5199</v>
      </c>
      <c r="D3406" s="2" t="s">
        <v>122</v>
      </c>
      <c r="E3406" s="2">
        <v>141</v>
      </c>
      <c r="F3406" s="2">
        <v>2832.55</v>
      </c>
    </row>
    <row r="3407" spans="3:6" x14ac:dyDescent="0.25">
      <c r="C3407" s="2" t="s">
        <v>5200</v>
      </c>
      <c r="D3407" s="2" t="s">
        <v>122</v>
      </c>
      <c r="E3407" s="2">
        <v>141</v>
      </c>
      <c r="F3407" s="2">
        <v>2852.248</v>
      </c>
    </row>
    <row r="3408" spans="3:6" x14ac:dyDescent="0.25">
      <c r="C3408" s="2" t="s">
        <v>5201</v>
      </c>
      <c r="D3408" s="2" t="s">
        <v>122</v>
      </c>
      <c r="E3408" s="2">
        <v>141</v>
      </c>
      <c r="F3408" s="2">
        <v>2752.28</v>
      </c>
    </row>
    <row r="3409" spans="3:6" x14ac:dyDescent="0.25">
      <c r="C3409" s="2" t="s">
        <v>5202</v>
      </c>
      <c r="D3409" s="2" t="s">
        <v>122</v>
      </c>
      <c r="E3409" s="2">
        <v>100</v>
      </c>
      <c r="F3409" s="2">
        <v>1956.24</v>
      </c>
    </row>
    <row r="3410" spans="3:6" x14ac:dyDescent="0.25">
      <c r="C3410" s="2" t="s">
        <v>5203</v>
      </c>
      <c r="D3410" s="2" t="s">
        <v>122</v>
      </c>
      <c r="E3410" s="2">
        <v>41</v>
      </c>
      <c r="F3410" s="2">
        <v>811.47</v>
      </c>
    </row>
    <row r="3411" spans="3:6" x14ac:dyDescent="0.25">
      <c r="C3411" s="2" t="s">
        <v>5204</v>
      </c>
      <c r="D3411" s="2" t="s">
        <v>122</v>
      </c>
      <c r="E3411" s="2">
        <v>62</v>
      </c>
      <c r="F3411" s="2">
        <v>1185.46</v>
      </c>
    </row>
    <row r="3412" spans="3:6" x14ac:dyDescent="0.25">
      <c r="C3412" s="2" t="s">
        <v>5205</v>
      </c>
      <c r="D3412" s="2" t="s">
        <v>122</v>
      </c>
      <c r="E3412" s="2">
        <v>34</v>
      </c>
      <c r="F3412" s="2">
        <v>637.98</v>
      </c>
    </row>
    <row r="3413" spans="3:6" x14ac:dyDescent="0.25">
      <c r="C3413" s="2" t="s">
        <v>5206</v>
      </c>
      <c r="D3413" s="2" t="s">
        <v>122</v>
      </c>
      <c r="E3413" s="2">
        <v>12</v>
      </c>
      <c r="F3413" s="2">
        <v>257.96</v>
      </c>
    </row>
    <row r="3414" spans="3:6" x14ac:dyDescent="0.25">
      <c r="C3414" s="2" t="s">
        <v>5207</v>
      </c>
      <c r="D3414" s="2" t="s">
        <v>122</v>
      </c>
      <c r="E3414" s="2">
        <v>33</v>
      </c>
      <c r="F3414" s="2">
        <v>648.609</v>
      </c>
    </row>
    <row r="3415" spans="3:6" x14ac:dyDescent="0.25">
      <c r="C3415" s="2" t="s">
        <v>5208</v>
      </c>
      <c r="D3415" s="2" t="s">
        <v>122</v>
      </c>
      <c r="E3415" s="2">
        <v>52</v>
      </c>
      <c r="F3415" s="2">
        <v>1068.24</v>
      </c>
    </row>
    <row r="3416" spans="3:6" x14ac:dyDescent="0.25">
      <c r="C3416" s="2" t="s">
        <v>5209</v>
      </c>
      <c r="D3416" s="2" t="s">
        <v>122</v>
      </c>
      <c r="E3416" s="2">
        <v>30</v>
      </c>
      <c r="F3416" s="2">
        <v>616.61</v>
      </c>
    </row>
    <row r="3417" spans="3:6" x14ac:dyDescent="0.25">
      <c r="C3417" s="2" t="s">
        <v>5210</v>
      </c>
      <c r="D3417" s="2" t="s">
        <v>122</v>
      </c>
      <c r="E3417" s="2">
        <v>23</v>
      </c>
      <c r="F3417" s="2">
        <v>472.44</v>
      </c>
    </row>
    <row r="3418" spans="3:6" x14ac:dyDescent="0.25">
      <c r="C3418" s="2" t="s">
        <v>5211</v>
      </c>
      <c r="D3418" s="2" t="s">
        <v>122</v>
      </c>
      <c r="E3418" s="2">
        <v>36</v>
      </c>
      <c r="F3418" s="2">
        <v>730.62</v>
      </c>
    </row>
    <row r="3419" spans="3:6" x14ac:dyDescent="0.25">
      <c r="C3419" s="2" t="s">
        <v>5212</v>
      </c>
      <c r="D3419" s="2" t="s">
        <v>122</v>
      </c>
      <c r="E3419" s="2">
        <v>33</v>
      </c>
      <c r="F3419" s="2">
        <v>658.669</v>
      </c>
    </row>
    <row r="3420" spans="3:6" x14ac:dyDescent="0.25">
      <c r="C3420" s="2" t="s">
        <v>5213</v>
      </c>
      <c r="D3420" s="2" t="s">
        <v>122</v>
      </c>
      <c r="E3420" s="2">
        <v>32</v>
      </c>
      <c r="F3420" s="2">
        <v>667.029</v>
      </c>
    </row>
    <row r="3421" spans="3:6" x14ac:dyDescent="0.25">
      <c r="C3421" s="2" t="s">
        <v>5214</v>
      </c>
      <c r="D3421" s="2" t="s">
        <v>122</v>
      </c>
      <c r="E3421" s="2">
        <v>20</v>
      </c>
      <c r="F3421" s="2">
        <v>366.8</v>
      </c>
    </row>
    <row r="3422" spans="3:6" x14ac:dyDescent="0.25">
      <c r="C3422" s="2" t="s">
        <v>5215</v>
      </c>
      <c r="D3422" s="2" t="s">
        <v>122</v>
      </c>
      <c r="E3422" s="2">
        <v>17</v>
      </c>
      <c r="F3422" s="2">
        <v>316.58</v>
      </c>
    </row>
    <row r="3423" spans="3:6" x14ac:dyDescent="0.25">
      <c r="C3423" s="2" t="s">
        <v>5216</v>
      </c>
      <c r="D3423" s="2" t="s">
        <v>122</v>
      </c>
      <c r="E3423" s="2">
        <v>19</v>
      </c>
      <c r="F3423" s="2">
        <v>397.14</v>
      </c>
    </row>
    <row r="3424" spans="3:6" x14ac:dyDescent="0.25">
      <c r="C3424" s="2" t="s">
        <v>5217</v>
      </c>
      <c r="D3424" s="2" t="s">
        <v>122</v>
      </c>
      <c r="E3424" s="2">
        <v>20</v>
      </c>
      <c r="F3424" s="2">
        <v>408.91</v>
      </c>
    </row>
    <row r="3425" spans="3:6" x14ac:dyDescent="0.25">
      <c r="C3425" s="2" t="s">
        <v>5218</v>
      </c>
      <c r="D3425" s="2" t="s">
        <v>122</v>
      </c>
      <c r="E3425" s="2">
        <v>86</v>
      </c>
      <c r="F3425" s="2">
        <v>1790.08</v>
      </c>
    </row>
    <row r="3426" spans="3:6" x14ac:dyDescent="0.25">
      <c r="C3426" s="2" t="s">
        <v>5219</v>
      </c>
      <c r="D3426" s="2" t="s">
        <v>122</v>
      </c>
      <c r="E3426" s="2">
        <v>20</v>
      </c>
      <c r="F3426" s="2">
        <v>382.01</v>
      </c>
    </row>
    <row r="3427" spans="3:6" x14ac:dyDescent="0.25">
      <c r="C3427" s="2" t="s">
        <v>5220</v>
      </c>
      <c r="D3427" s="2" t="s">
        <v>122</v>
      </c>
      <c r="E3427" s="2">
        <v>35</v>
      </c>
      <c r="F3427" s="2">
        <v>727.35</v>
      </c>
    </row>
    <row r="3428" spans="3:6" x14ac:dyDescent="0.25">
      <c r="C3428" s="2" t="s">
        <v>5221</v>
      </c>
      <c r="D3428" s="2" t="s">
        <v>122</v>
      </c>
      <c r="E3428" s="2">
        <v>84</v>
      </c>
      <c r="F3428" s="2">
        <v>1779.78</v>
      </c>
    </row>
    <row r="3429" spans="3:6" x14ac:dyDescent="0.25">
      <c r="C3429" s="2" t="s">
        <v>5222</v>
      </c>
      <c r="D3429" s="2" t="s">
        <v>122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90</v>
      </c>
      <c r="C3431" s="2" t="s">
        <v>5223</v>
      </c>
      <c r="D3431" s="2" t="s">
        <v>42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5224</v>
      </c>
      <c r="D3432" s="2" t="s">
        <v>42</v>
      </c>
      <c r="E3432" s="2">
        <v>123</v>
      </c>
      <c r="F3432" s="2">
        <v>2372.577</v>
      </c>
    </row>
    <row r="3433" spans="3:6" x14ac:dyDescent="0.25">
      <c r="C3433" s="2" t="s">
        <v>5225</v>
      </c>
      <c r="D3433" s="2" t="s">
        <v>42</v>
      </c>
      <c r="E3433" s="2">
        <v>123</v>
      </c>
      <c r="F3433" s="2">
        <v>2350.628</v>
      </c>
    </row>
    <row r="3434" spans="3:6" x14ac:dyDescent="0.25">
      <c r="C3434" s="2" t="s">
        <v>5226</v>
      </c>
      <c r="D3434" s="2" t="s">
        <v>42</v>
      </c>
      <c r="E3434" s="2">
        <v>141</v>
      </c>
      <c r="F3434" s="2">
        <v>2833.429</v>
      </c>
    </row>
    <row r="3435" spans="3:6" x14ac:dyDescent="0.25">
      <c r="C3435" s="2" t="s">
        <v>5227</v>
      </c>
      <c r="D3435" s="2" t="s">
        <v>42</v>
      </c>
      <c r="E3435" s="2">
        <v>68</v>
      </c>
      <c r="F3435" s="2">
        <v>1666.97</v>
      </c>
    </row>
    <row r="3436" spans="3:6" x14ac:dyDescent="0.25">
      <c r="C3436" s="2" t="s">
        <v>5228</v>
      </c>
      <c r="D3436" s="2" t="s">
        <v>42</v>
      </c>
      <c r="E3436" s="2">
        <v>73</v>
      </c>
      <c r="F3436" s="2">
        <v>1417.62</v>
      </c>
    </row>
    <row r="3437" spans="3:6" x14ac:dyDescent="0.25">
      <c r="C3437" s="2" t="s">
        <v>5229</v>
      </c>
      <c r="D3437" s="2" t="s">
        <v>42</v>
      </c>
      <c r="E3437" s="2">
        <v>123</v>
      </c>
      <c r="F3437" s="2">
        <v>2434.89</v>
      </c>
    </row>
    <row r="3438" spans="3:6" x14ac:dyDescent="0.25">
      <c r="C3438" s="2" t="s">
        <v>5230</v>
      </c>
      <c r="D3438" s="2" t="s">
        <v>42</v>
      </c>
      <c r="E3438" s="2">
        <v>53</v>
      </c>
      <c r="F3438" s="2">
        <v>1011.76</v>
      </c>
    </row>
    <row r="3439" spans="3:6" x14ac:dyDescent="0.25">
      <c r="C3439" s="2" t="s">
        <v>5231</v>
      </c>
      <c r="D3439" s="2" t="s">
        <v>42</v>
      </c>
      <c r="E3439" s="2">
        <v>141</v>
      </c>
      <c r="F3439" s="2">
        <v>2732.18</v>
      </c>
    </row>
    <row r="3440" spans="3:6" x14ac:dyDescent="0.25">
      <c r="C3440" s="2" t="s">
        <v>5232</v>
      </c>
      <c r="D3440" s="2" t="s">
        <v>42</v>
      </c>
      <c r="E3440" s="2">
        <v>57</v>
      </c>
      <c r="F3440" s="2">
        <v>1309.94</v>
      </c>
    </row>
    <row r="3441" spans="3:6" x14ac:dyDescent="0.25">
      <c r="C3441" s="2" t="s">
        <v>5233</v>
      </c>
      <c r="D3441" s="2" t="s">
        <v>42</v>
      </c>
      <c r="E3441" s="2">
        <v>65</v>
      </c>
      <c r="F3441" s="2">
        <v>1387.68</v>
      </c>
    </row>
    <row r="3442" spans="3:6" x14ac:dyDescent="0.25">
      <c r="C3442" s="2" t="s">
        <v>5234</v>
      </c>
      <c r="D3442" s="2" t="s">
        <v>42</v>
      </c>
      <c r="E3442" s="2">
        <v>10</v>
      </c>
      <c r="F3442" s="2">
        <v>201.15</v>
      </c>
    </row>
    <row r="3443" spans="3:6" x14ac:dyDescent="0.25">
      <c r="C3443" s="2" t="s">
        <v>5235</v>
      </c>
      <c r="D3443" s="2" t="s">
        <v>42</v>
      </c>
      <c r="E3443" s="2">
        <v>31</v>
      </c>
      <c r="F3443" s="2">
        <v>560.06</v>
      </c>
    </row>
    <row r="3444" spans="3:6" x14ac:dyDescent="0.25">
      <c r="C3444" s="2" t="s">
        <v>5236</v>
      </c>
      <c r="D3444" s="2" t="s">
        <v>42</v>
      </c>
      <c r="E3444" s="2">
        <v>134</v>
      </c>
      <c r="F3444" s="2">
        <v>2667.34</v>
      </c>
    </row>
    <row r="3445" spans="3:6" x14ac:dyDescent="0.25">
      <c r="C3445" s="2" t="s">
        <v>5237</v>
      </c>
      <c r="D3445" s="2" t="s">
        <v>42</v>
      </c>
      <c r="E3445" s="2">
        <v>14</v>
      </c>
      <c r="F3445" s="2">
        <v>263.43</v>
      </c>
    </row>
    <row r="3446" spans="3:6" x14ac:dyDescent="0.25">
      <c r="C3446" s="2" t="s">
        <v>5238</v>
      </c>
      <c r="D3446" s="2" t="s">
        <v>42</v>
      </c>
      <c r="E3446" s="2">
        <v>127</v>
      </c>
      <c r="F3446" s="2">
        <v>2857.42</v>
      </c>
    </row>
    <row r="3447" spans="3:6" x14ac:dyDescent="0.25">
      <c r="C3447" s="2" t="s">
        <v>5239</v>
      </c>
      <c r="D3447" s="2" t="s">
        <v>42</v>
      </c>
      <c r="E3447" s="2">
        <v>36</v>
      </c>
      <c r="F3447" s="2">
        <v>724.45</v>
      </c>
    </row>
    <row r="3448" spans="3:6" x14ac:dyDescent="0.25">
      <c r="C3448" s="2" t="s">
        <v>5240</v>
      </c>
      <c r="D3448" s="2" t="s">
        <v>42</v>
      </c>
      <c r="E3448" s="2">
        <v>27</v>
      </c>
      <c r="F3448" s="2">
        <v>459.48</v>
      </c>
    </row>
    <row r="3449" spans="3:6" x14ac:dyDescent="0.25">
      <c r="C3449" s="2" t="s">
        <v>5241</v>
      </c>
      <c r="D3449" s="2" t="s">
        <v>42</v>
      </c>
      <c r="E3449" s="2">
        <v>45</v>
      </c>
      <c r="F3449" s="2">
        <v>236.06</v>
      </c>
    </row>
    <row r="3450" spans="3:6" x14ac:dyDescent="0.25">
      <c r="C3450" s="2" t="s">
        <v>5242</v>
      </c>
      <c r="D3450" s="2" t="s">
        <v>42</v>
      </c>
      <c r="E3450" s="2">
        <v>115</v>
      </c>
      <c r="F3450" s="2">
        <v>2372.66</v>
      </c>
    </row>
    <row r="3451" spans="3:6" x14ac:dyDescent="0.25">
      <c r="C3451" s="2" t="s">
        <v>5226</v>
      </c>
      <c r="D3451" s="2" t="s">
        <v>42</v>
      </c>
      <c r="E3451" s="2">
        <v>141</v>
      </c>
      <c r="F3451" s="2">
        <v>2833.429</v>
      </c>
    </row>
    <row r="3452" spans="3:6" x14ac:dyDescent="0.25">
      <c r="C3452" s="2" t="s">
        <v>5243</v>
      </c>
      <c r="D3452" s="2" t="s">
        <v>42</v>
      </c>
      <c r="E3452" s="2">
        <v>141</v>
      </c>
      <c r="F3452" s="2">
        <v>2741.01</v>
      </c>
    </row>
    <row r="3453" spans="3:6" x14ac:dyDescent="0.25">
      <c r="C3453" s="2" t="s">
        <v>5244</v>
      </c>
      <c r="D3453" s="2" t="s">
        <v>42</v>
      </c>
      <c r="E3453" s="2">
        <v>50</v>
      </c>
      <c r="F3453" s="2">
        <v>261.53</v>
      </c>
    </row>
    <row r="3454" spans="3:6" x14ac:dyDescent="0.25">
      <c r="C3454" s="2" t="s">
        <v>5245</v>
      </c>
      <c r="D3454" s="2" t="s">
        <v>42</v>
      </c>
      <c r="E3454" s="2">
        <v>44</v>
      </c>
      <c r="F3454" s="2">
        <v>885.75</v>
      </c>
    </row>
    <row r="3455" spans="3:6" x14ac:dyDescent="0.25">
      <c r="C3455" s="2" t="s">
        <v>5246</v>
      </c>
      <c r="D3455" s="2" t="s">
        <v>42</v>
      </c>
      <c r="E3455" s="2">
        <v>40</v>
      </c>
      <c r="F3455" s="2">
        <v>840.53</v>
      </c>
    </row>
    <row r="3456" spans="3:6" x14ac:dyDescent="0.25">
      <c r="C3456" s="2" t="s">
        <v>5247</v>
      </c>
      <c r="D3456" s="2" t="s">
        <v>42</v>
      </c>
      <c r="E3456" s="2">
        <v>56</v>
      </c>
      <c r="F3456" s="2">
        <v>1164.85</v>
      </c>
    </row>
    <row r="3457" spans="3:6" x14ac:dyDescent="0.25">
      <c r="C3457" s="2" t="s">
        <v>5248</v>
      </c>
      <c r="D3457" s="2" t="s">
        <v>42</v>
      </c>
      <c r="E3457" s="2">
        <v>102</v>
      </c>
      <c r="F3457" s="2">
        <v>1847.687</v>
      </c>
    </row>
    <row r="3458" spans="3:6" x14ac:dyDescent="0.25">
      <c r="C3458" s="2" t="s">
        <v>5249</v>
      </c>
      <c r="D3458" s="2" t="s">
        <v>42</v>
      </c>
      <c r="E3458" s="2">
        <v>122</v>
      </c>
      <c r="F3458" s="2">
        <v>2369.959</v>
      </c>
    </row>
    <row r="3459" spans="3:6" x14ac:dyDescent="0.25">
      <c r="C3459" s="2" t="s">
        <v>5250</v>
      </c>
      <c r="D3459" s="2" t="s">
        <v>42</v>
      </c>
      <c r="E3459" s="2">
        <v>38</v>
      </c>
      <c r="F3459" s="2">
        <v>788.16</v>
      </c>
    </row>
    <row r="3460" spans="3:6" x14ac:dyDescent="0.25">
      <c r="C3460" s="2" t="s">
        <v>5251</v>
      </c>
      <c r="D3460" s="2" t="s">
        <v>42</v>
      </c>
      <c r="E3460" s="2">
        <v>39</v>
      </c>
      <c r="F3460" s="2">
        <v>789.51</v>
      </c>
    </row>
    <row r="3461" spans="3:6" x14ac:dyDescent="0.25">
      <c r="C3461" s="2" t="s">
        <v>5252</v>
      </c>
      <c r="D3461" s="2" t="s">
        <v>42</v>
      </c>
      <c r="E3461" s="2">
        <v>19</v>
      </c>
      <c r="F3461" s="2">
        <v>355.78</v>
      </c>
    </row>
    <row r="3462" spans="3:6" x14ac:dyDescent="0.25">
      <c r="C3462" s="2" t="s">
        <v>5253</v>
      </c>
      <c r="D3462" s="2" t="s">
        <v>42</v>
      </c>
      <c r="E3462" s="2">
        <v>103</v>
      </c>
      <c r="F3462" s="2">
        <v>2069.77</v>
      </c>
    </row>
    <row r="3463" spans="3:6" x14ac:dyDescent="0.25">
      <c r="C3463" s="2" t="s">
        <v>5254</v>
      </c>
      <c r="D3463" s="2" t="s">
        <v>42</v>
      </c>
      <c r="E3463" s="2">
        <v>13</v>
      </c>
      <c r="F3463" s="2">
        <v>256.32</v>
      </c>
    </row>
    <row r="3464" spans="3:6" x14ac:dyDescent="0.25">
      <c r="C3464" s="2" t="s">
        <v>5255</v>
      </c>
      <c r="D3464" s="2" t="s">
        <v>42</v>
      </c>
      <c r="E3464" s="2">
        <v>60</v>
      </c>
      <c r="F3464" s="2">
        <v>293.3</v>
      </c>
    </row>
    <row r="3465" spans="3:6" x14ac:dyDescent="0.25">
      <c r="C3465" s="2" t="s">
        <v>5256</v>
      </c>
      <c r="D3465" s="2" t="s">
        <v>42</v>
      </c>
      <c r="E3465" s="2">
        <v>45</v>
      </c>
      <c r="F3465" s="2">
        <v>233.67</v>
      </c>
    </row>
    <row r="3466" spans="3:6" x14ac:dyDescent="0.25">
      <c r="C3466" s="2" t="s">
        <v>5257</v>
      </c>
      <c r="D3466" s="2" t="s">
        <v>42</v>
      </c>
      <c r="E3466" s="2">
        <v>87</v>
      </c>
      <c r="F3466" s="2">
        <v>1604.24</v>
      </c>
    </row>
    <row r="3467" spans="3:6" x14ac:dyDescent="0.25">
      <c r="C3467" s="2" t="s">
        <v>5258</v>
      </c>
      <c r="D3467" s="2" t="s">
        <v>42</v>
      </c>
      <c r="E3467" s="2">
        <v>16</v>
      </c>
      <c r="F3467" s="2">
        <v>299.57</v>
      </c>
    </row>
    <row r="3468" spans="3:6" x14ac:dyDescent="0.25">
      <c r="C3468" s="2" t="s">
        <v>5259</v>
      </c>
      <c r="D3468" s="2" t="s">
        <v>42</v>
      </c>
      <c r="E3468" s="2">
        <v>18</v>
      </c>
      <c r="F3468" s="2">
        <v>356.93</v>
      </c>
    </row>
    <row r="3469" spans="3:6" x14ac:dyDescent="0.25">
      <c r="C3469" s="2" t="s">
        <v>5260</v>
      </c>
      <c r="D3469" s="2" t="s">
        <v>42</v>
      </c>
      <c r="E3469" s="2">
        <v>66</v>
      </c>
      <c r="F3469" s="2">
        <v>1436.52</v>
      </c>
    </row>
    <row r="3470" spans="3:6" x14ac:dyDescent="0.25">
      <c r="C3470" s="2" t="s">
        <v>5261</v>
      </c>
      <c r="D3470" s="2" t="s">
        <v>42</v>
      </c>
      <c r="E3470" s="2">
        <v>47</v>
      </c>
      <c r="F3470" s="2">
        <v>860.93</v>
      </c>
    </row>
    <row r="3471" spans="3:6" x14ac:dyDescent="0.25">
      <c r="C3471" s="2" t="s">
        <v>5262</v>
      </c>
      <c r="D3471" s="2" t="s">
        <v>42</v>
      </c>
      <c r="E3471" s="2">
        <v>33</v>
      </c>
      <c r="F3471" s="2">
        <v>811.76</v>
      </c>
    </row>
    <row r="3472" spans="3:6" x14ac:dyDescent="0.25">
      <c r="C3472" s="2" t="s">
        <v>5263</v>
      </c>
      <c r="D3472" s="2" t="s">
        <v>42</v>
      </c>
      <c r="E3472" s="2">
        <v>41</v>
      </c>
      <c r="F3472" s="2">
        <v>944.7</v>
      </c>
    </row>
    <row r="3473" spans="3:6" x14ac:dyDescent="0.25">
      <c r="C3473" s="2" t="s">
        <v>5264</v>
      </c>
      <c r="D3473" s="2" t="s">
        <v>42</v>
      </c>
      <c r="E3473" s="2">
        <v>53</v>
      </c>
      <c r="F3473" s="2">
        <v>1055.62</v>
      </c>
    </row>
    <row r="3474" spans="3:6" x14ac:dyDescent="0.25">
      <c r="C3474" s="2" t="s">
        <v>5265</v>
      </c>
      <c r="D3474" s="2" t="s">
        <v>42</v>
      </c>
      <c r="E3474" s="2">
        <v>108</v>
      </c>
      <c r="F3474" s="2">
        <v>2137.45</v>
      </c>
    </row>
    <row r="3475" spans="3:6" x14ac:dyDescent="0.25">
      <c r="C3475" s="2" t="s">
        <v>5266</v>
      </c>
      <c r="D3475" s="2" t="s">
        <v>42</v>
      </c>
      <c r="E3475" s="2">
        <v>79</v>
      </c>
      <c r="F3475" s="2">
        <v>1680.191</v>
      </c>
    </row>
    <row r="3476" spans="3:6" x14ac:dyDescent="0.25">
      <c r="C3476" s="2" t="s">
        <v>5267</v>
      </c>
      <c r="D3476" s="2" t="s">
        <v>42</v>
      </c>
      <c r="E3476" s="2">
        <v>64</v>
      </c>
      <c r="F3476" s="2">
        <v>1330.9</v>
      </c>
    </row>
    <row r="3477" spans="3:6" x14ac:dyDescent="0.25">
      <c r="C3477" s="2" t="s">
        <v>5268</v>
      </c>
      <c r="D3477" s="2" t="s">
        <v>42</v>
      </c>
      <c r="E3477" s="2">
        <v>8</v>
      </c>
      <c r="F3477" s="2">
        <v>148.29</v>
      </c>
    </row>
    <row r="3478" spans="3:6" x14ac:dyDescent="0.25">
      <c r="C3478" s="2" t="s">
        <v>5269</v>
      </c>
      <c r="D3478" s="2" t="s">
        <v>42</v>
      </c>
      <c r="E3478" s="2">
        <v>21</v>
      </c>
      <c r="F3478" s="2">
        <v>399.65</v>
      </c>
    </row>
    <row r="3479" spans="3:6" x14ac:dyDescent="0.25">
      <c r="C3479" s="2" t="s">
        <v>5270</v>
      </c>
      <c r="D3479" s="2" t="s">
        <v>42</v>
      </c>
      <c r="E3479" s="2">
        <v>53</v>
      </c>
      <c r="F3479" s="2">
        <v>1289.82</v>
      </c>
    </row>
    <row r="3480" spans="3:6" x14ac:dyDescent="0.25">
      <c r="C3480" s="2" t="s">
        <v>5271</v>
      </c>
      <c r="D3480" s="2" t="s">
        <v>42</v>
      </c>
      <c r="E3480" s="2">
        <v>18</v>
      </c>
      <c r="F3480" s="2">
        <v>327.15</v>
      </c>
    </row>
    <row r="3481" spans="3:6" x14ac:dyDescent="0.25">
      <c r="C3481" s="2" t="s">
        <v>5272</v>
      </c>
      <c r="D3481" s="2" t="s">
        <v>42</v>
      </c>
      <c r="E3481" s="2">
        <v>14</v>
      </c>
      <c r="F3481" s="2">
        <v>254.25</v>
      </c>
    </row>
    <row r="3482" spans="3:6" x14ac:dyDescent="0.25">
      <c r="C3482" s="2" t="s">
        <v>5273</v>
      </c>
      <c r="D3482" s="2" t="s">
        <v>42</v>
      </c>
      <c r="E3482" s="2">
        <v>49</v>
      </c>
      <c r="F3482" s="2">
        <v>971.954</v>
      </c>
    </row>
    <row r="3483" spans="3:6" x14ac:dyDescent="0.25">
      <c r="C3483" s="2" t="s">
        <v>5274</v>
      </c>
      <c r="D3483" s="2" t="s">
        <v>42</v>
      </c>
      <c r="E3483" s="2">
        <v>21</v>
      </c>
      <c r="F3483" s="2">
        <v>381.31</v>
      </c>
    </row>
    <row r="3484" spans="3:6" x14ac:dyDescent="0.25">
      <c r="C3484" s="2" t="s">
        <v>5275</v>
      </c>
      <c r="D3484" s="2" t="s">
        <v>42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10</v>
      </c>
      <c r="C3486" s="2" t="s">
        <v>5276</v>
      </c>
      <c r="D3486" s="2" t="s">
        <v>12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5277</v>
      </c>
      <c r="D3487" s="2" t="s">
        <v>12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2037</v>
      </c>
      <c r="C3497" s="12">
        <f>COUNTA(C3:C3496)</f>
        <v>3254</v>
      </c>
      <c r="E3497" s="11" t="s">
        <v>2038</v>
      </c>
      <c r="F3497" s="13">
        <f>SUM(F3:F3496)</f>
        <v>5132408.746000002</v>
      </c>
      <c r="G3497" s="1" t="s">
        <v>2039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2026-09-19T06:58:24Z</dcterms:modified>
</cp:coreProperties>
</file>